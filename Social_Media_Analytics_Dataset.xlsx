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5.xml" ContentType="application/vnd.openxmlformats-officedocument.spreadsheetml.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0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1.xml" ContentType="application/vnd.openxmlformats-officedocument.spreadsheetml.pivotTable+xml"/>
  <Override PartName="/xl/drawings/drawing4.xml" ContentType="application/vnd.openxmlformats-officedocument.drawing+xml"/>
  <Override PartName="/xl/tables/table9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2.xml" ContentType="application/vnd.openxmlformats-officedocument.spreadsheetml.pivotTable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tables/table12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tables/table13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25c42b6eea7dfbf8/Desktop/intershala/Project/"/>
    </mc:Choice>
  </mc:AlternateContent>
  <xr:revisionPtr revIDLastSave="0" documentId="13_ncr:1_{EE57B9FC-9B11-4BDD-BDBE-7912A7B97ACD}" xr6:coauthVersionLast="47" xr6:coauthVersionMax="47" xr10:uidLastSave="{00000000-0000-0000-0000-000000000000}"/>
  <bookViews>
    <workbookView xWindow="1920" yWindow="1716" windowWidth="11688" windowHeight="10524" firstSheet="10" activeTab="10" xr2:uid="{00000000-000D-0000-FFFF-FFFF00000000}"/>
  </bookViews>
  <sheets>
    <sheet name="Task1_Data Preprocessing and Cl" sheetId="1" r:id="rId1"/>
    <sheet name="Task 2_Engagement Analysis " sheetId="7" r:id="rId2"/>
    <sheet name="Task2.3 Hastage_Table" sheetId="11" r:id="rId3"/>
    <sheet name="Task3_Social Media Platform ana" sheetId="13" r:id="rId4"/>
    <sheet name="Task4_Hashtag &amp; Content Strateg" sheetId="16" r:id="rId5"/>
    <sheet name="Task4.3_Compare_performance" sheetId="17" r:id="rId6"/>
    <sheet name="Task5_Campaign Effectiveness" sheetId="20" r:id="rId7"/>
    <sheet name="Task5.2Engagement_uplift" sheetId="22" r:id="rId8"/>
    <sheet name="Task5.3_Campaign_ROI" sheetId="24" r:id="rId9"/>
    <sheet name="Task5.4 campaign_strongest foll" sheetId="25" r:id="rId10"/>
    <sheet name="Task6 Follower Retention " sheetId="26" r:id="rId11"/>
    <sheet name="Task6.3Moving_Average_chart" sheetId="27" r:id="rId12"/>
    <sheet name="Task6.4 Correlation" sheetId="28" r:id="rId13"/>
    <sheet name="Task7Video_Explanation" sheetId="30" r:id="rId14"/>
  </sheets>
  <definedNames>
    <definedName name="_xlnm._FilterDatabase" localSheetId="0" hidden="1">'Task1_Data Preprocessing and Cl'!$A$1:$Z$301</definedName>
    <definedName name="_xlnm._FilterDatabase" localSheetId="7" hidden="1">Task5.2Engagement_uplift!$A$4:$H$304</definedName>
    <definedName name="_xlnm._FilterDatabase" localSheetId="8" hidden="1">Task5.3_Campaign_ROI!$A$1:$F$301</definedName>
    <definedName name="_xlnm._FilterDatabase" localSheetId="11" hidden="1">Task6.3Moving_Average_chart!$A$1:$C$1</definedName>
  </definedNames>
  <calcPr calcId="191029"/>
  <pivotCaches>
    <pivotCache cacheId="0" r:id="rId15"/>
    <pivotCache cacheId="1" r:id="rId16"/>
    <pivotCache cacheId="2" r:id="rId17"/>
    <pivotCache cacheId="3" r:id="rId18"/>
    <pivotCache cacheId="4" r:id="rId19"/>
    <pivotCache cacheId="5" r:id="rId20"/>
    <pivotCache cacheId="6" r:id="rId21"/>
    <pivotCache cacheId="7" r:id="rId22"/>
    <pivotCache cacheId="8" r:id="rId2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1" l="1"/>
  <c r="H14" i="11" s="1"/>
  <c r="G5" i="22"/>
  <c r="H237" i="22"/>
  <c r="H186" i="22"/>
  <c r="H87" i="22"/>
  <c r="H124" i="22"/>
  <c r="H154" i="22"/>
  <c r="H115" i="22"/>
  <c r="H189" i="22"/>
  <c r="H34" i="22"/>
  <c r="H73" i="22"/>
  <c r="H244" i="22"/>
  <c r="H77" i="22"/>
  <c r="H207" i="22"/>
  <c r="H100" i="22"/>
  <c r="H148" i="22"/>
  <c r="H219" i="22"/>
  <c r="H123" i="22"/>
  <c r="H22" i="22"/>
  <c r="H270" i="22"/>
  <c r="H98" i="22"/>
  <c r="H257" i="22"/>
  <c r="H232" i="22"/>
  <c r="H101" i="22"/>
  <c r="H111" i="22"/>
  <c r="H146" i="22"/>
  <c r="H281" i="22"/>
  <c r="H103" i="22"/>
  <c r="H67" i="22"/>
  <c r="H150" i="22"/>
  <c r="H253" i="22"/>
  <c r="H155" i="22"/>
  <c r="H42" i="22"/>
  <c r="H92" i="22"/>
  <c r="H91" i="22"/>
  <c r="H252" i="22"/>
  <c r="H179" i="22"/>
  <c r="H126" i="22"/>
  <c r="H236" i="22"/>
  <c r="H239" i="22"/>
  <c r="H206" i="22"/>
  <c r="H208" i="22"/>
  <c r="H137" i="22"/>
  <c r="H116" i="22"/>
  <c r="H62" i="22"/>
  <c r="H221" i="22"/>
  <c r="H264" i="22"/>
  <c r="H212" i="22"/>
  <c r="H23" i="22"/>
  <c r="H107" i="22"/>
  <c r="H88" i="22"/>
  <c r="H263" i="22"/>
  <c r="H183" i="22"/>
  <c r="H247" i="22"/>
  <c r="H222" i="22"/>
  <c r="H254" i="22"/>
  <c r="H142" i="22"/>
  <c r="H209" i="22"/>
  <c r="H79" i="22"/>
  <c r="H54" i="22"/>
  <c r="H250" i="22"/>
  <c r="H231" i="22"/>
  <c r="H95" i="22"/>
  <c r="H210" i="22"/>
  <c r="H119" i="22"/>
  <c r="H218" i="22"/>
  <c r="H215" i="22"/>
  <c r="H173" i="22"/>
  <c r="H162" i="22"/>
  <c r="H112" i="22"/>
  <c r="H19" i="22"/>
  <c r="H147" i="22"/>
  <c r="H56" i="22"/>
  <c r="H89" i="22"/>
  <c r="H16" i="22"/>
  <c r="H275" i="22"/>
  <c r="H258" i="22"/>
  <c r="H104" i="22"/>
  <c r="H168" i="22"/>
  <c r="H105" i="22"/>
  <c r="H84" i="22"/>
  <c r="H25" i="22"/>
  <c r="H33" i="22"/>
  <c r="H145" i="22"/>
  <c r="H134" i="22"/>
  <c r="H55" i="22"/>
  <c r="H181" i="22"/>
  <c r="H36" i="22"/>
  <c r="H81" i="22"/>
  <c r="H31" i="22"/>
  <c r="H211" i="22"/>
  <c r="H166" i="22"/>
  <c r="H60" i="22"/>
  <c r="H68" i="22"/>
  <c r="H110" i="22"/>
  <c r="H213" i="22"/>
  <c r="H50" i="22"/>
  <c r="H167" i="22"/>
  <c r="H214" i="22"/>
  <c r="H235" i="22"/>
  <c r="H35" i="22"/>
  <c r="H43" i="22"/>
  <c r="H272" i="22"/>
  <c r="H47" i="22"/>
  <c r="H20" i="22"/>
  <c r="H200" i="22"/>
  <c r="H226" i="22"/>
  <c r="H57" i="22"/>
  <c r="H194" i="22"/>
  <c r="H282" i="22"/>
  <c r="H234" i="22"/>
  <c r="H141" i="22"/>
  <c r="H202" i="22"/>
  <c r="H267" i="22"/>
  <c r="H248" i="22"/>
  <c r="H290" i="22"/>
  <c r="H63" i="22"/>
  <c r="H286" i="22"/>
  <c r="H180" i="22"/>
  <c r="H72" i="22"/>
  <c r="H74" i="22"/>
  <c r="H192" i="22"/>
  <c r="H199" i="22"/>
  <c r="H278" i="22"/>
  <c r="H277" i="22"/>
  <c r="H171" i="22"/>
  <c r="H241" i="22"/>
  <c r="H96" i="22"/>
  <c r="H152" i="22"/>
  <c r="H283" i="22"/>
  <c r="H188" i="22"/>
  <c r="H287" i="22"/>
  <c r="H187" i="22"/>
  <c r="H245" i="22"/>
  <c r="H163" i="22"/>
  <c r="H118" i="22"/>
  <c r="H238" i="22"/>
  <c r="H243" i="22"/>
  <c r="H46" i="22"/>
  <c r="H160" i="22"/>
  <c r="H223" i="22"/>
  <c r="H190" i="22"/>
  <c r="H184" i="22"/>
  <c r="H164" i="22"/>
  <c r="H99" i="22"/>
  <c r="H108" i="22"/>
  <c r="H289" i="22"/>
  <c r="H76" i="22"/>
  <c r="H24" i="22"/>
  <c r="H249" i="22"/>
  <c r="H296" i="22"/>
  <c r="H169" i="22"/>
  <c r="H122" i="22"/>
  <c r="H66" i="22"/>
  <c r="H293" i="22"/>
  <c r="H280" i="22"/>
  <c r="H233" i="22"/>
  <c r="H161" i="22"/>
  <c r="H201" i="22"/>
  <c r="H149" i="22"/>
  <c r="H93" i="22"/>
  <c r="H157" i="22"/>
  <c r="H176" i="22"/>
  <c r="H228" i="22"/>
  <c r="H196" i="22"/>
  <c r="H121" i="22"/>
  <c r="H225" i="22"/>
  <c r="H203" i="22"/>
  <c r="H114" i="22"/>
  <c r="H113" i="22"/>
  <c r="H52" i="22"/>
  <c r="H53" i="22"/>
  <c r="H27" i="22"/>
  <c r="H143" i="22"/>
  <c r="H44" i="22"/>
  <c r="H174" i="22"/>
  <c r="H156" i="22"/>
  <c r="H12" i="22"/>
  <c r="H6" i="22"/>
  <c r="H5" i="22"/>
  <c r="H274" i="22"/>
  <c r="H276" i="22"/>
  <c r="H32" i="22"/>
  <c r="H136" i="22"/>
  <c r="H80" i="22"/>
  <c r="H255" i="22"/>
  <c r="H82" i="22"/>
  <c r="H45" i="22"/>
  <c r="H59" i="22"/>
  <c r="H151" i="22"/>
  <c r="H37" i="22"/>
  <c r="H279" i="22"/>
  <c r="H175" i="22"/>
  <c r="H138" i="22"/>
  <c r="H48" i="22"/>
  <c r="H18" i="22"/>
  <c r="H165" i="22"/>
  <c r="H30" i="22"/>
  <c r="H90" i="22"/>
  <c r="H261" i="22"/>
  <c r="H83" i="22"/>
  <c r="H182" i="22"/>
  <c r="H178" i="22"/>
  <c r="H295" i="22"/>
  <c r="H120" i="22"/>
  <c r="H197" i="22"/>
  <c r="H271" i="22"/>
  <c r="H75" i="22"/>
  <c r="H39" i="22"/>
  <c r="H117" i="22"/>
  <c r="H38" i="22"/>
  <c r="H86" i="22"/>
  <c r="H266" i="22"/>
  <c r="H28" i="22"/>
  <c r="H97" i="22"/>
  <c r="H260" i="22"/>
  <c r="H15" i="22"/>
  <c r="H284" i="22"/>
  <c r="H144" i="22"/>
  <c r="H49" i="22"/>
  <c r="H71" i="22"/>
  <c r="H288" i="22"/>
  <c r="H224" i="22"/>
  <c r="H29" i="22"/>
  <c r="H41" i="22"/>
  <c r="H125" i="22"/>
  <c r="H217" i="22"/>
  <c r="H78" i="22"/>
  <c r="H195" i="22"/>
  <c r="H40" i="22"/>
  <c r="H177" i="22"/>
  <c r="H294" i="22"/>
  <c r="H8" i="22"/>
  <c r="H69" i="22"/>
  <c r="H251" i="22"/>
  <c r="H300" i="22"/>
  <c r="H140" i="22"/>
  <c r="H10" i="22"/>
  <c r="H230" i="22"/>
  <c r="H65" i="22"/>
  <c r="H7" i="22"/>
  <c r="H292" i="22"/>
  <c r="H127" i="22"/>
  <c r="H128" i="22"/>
  <c r="H130" i="22"/>
  <c r="H131" i="22"/>
  <c r="E3" i="28"/>
  <c r="E4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E61" i="28"/>
  <c r="E62" i="28"/>
  <c r="E63" i="28"/>
  <c r="E64" i="28"/>
  <c r="E65" i="28"/>
  <c r="E66" i="28"/>
  <c r="E67" i="28"/>
  <c r="E68" i="28"/>
  <c r="E69" i="28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120" i="28"/>
  <c r="E121" i="28"/>
  <c r="E122" i="28"/>
  <c r="E123" i="28"/>
  <c r="E124" i="28"/>
  <c r="E125" i="28"/>
  <c r="E126" i="28"/>
  <c r="E127" i="28"/>
  <c r="E128" i="28"/>
  <c r="E129" i="28"/>
  <c r="E130" i="28"/>
  <c r="E131" i="28"/>
  <c r="E132" i="28"/>
  <c r="E133" i="28"/>
  <c r="E134" i="28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170" i="28"/>
  <c r="E171" i="28"/>
  <c r="E172" i="28"/>
  <c r="E173" i="28"/>
  <c r="E174" i="28"/>
  <c r="E175" i="28"/>
  <c r="E176" i="28"/>
  <c r="E177" i="28"/>
  <c r="E178" i="28"/>
  <c r="E179" i="28"/>
  <c r="E180" i="28"/>
  <c r="E181" i="28"/>
  <c r="E182" i="28"/>
  <c r="E183" i="28"/>
  <c r="E184" i="28"/>
  <c r="E185" i="28"/>
  <c r="E186" i="28"/>
  <c r="E187" i="28"/>
  <c r="E188" i="28"/>
  <c r="E189" i="28"/>
  <c r="E190" i="28"/>
  <c r="E191" i="28"/>
  <c r="E192" i="28"/>
  <c r="E193" i="28"/>
  <c r="E194" i="28"/>
  <c r="E195" i="28"/>
  <c r="E196" i="28"/>
  <c r="E197" i="28"/>
  <c r="E198" i="28"/>
  <c r="E199" i="28"/>
  <c r="E200" i="28"/>
  <c r="E201" i="28"/>
  <c r="E2" i="28"/>
  <c r="C3" i="28"/>
  <c r="C4" i="28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C84" i="28"/>
  <c r="C85" i="28"/>
  <c r="C86" i="28"/>
  <c r="C87" i="28"/>
  <c r="C88" i="28"/>
  <c r="C89" i="28"/>
  <c r="C90" i="28"/>
  <c r="C91" i="28"/>
  <c r="C92" i="28"/>
  <c r="C93" i="28"/>
  <c r="C94" i="28"/>
  <c r="C95" i="28"/>
  <c r="C96" i="28"/>
  <c r="C97" i="28"/>
  <c r="C98" i="28"/>
  <c r="C99" i="28"/>
  <c r="C100" i="28"/>
  <c r="C101" i="28"/>
  <c r="C102" i="28"/>
  <c r="C103" i="28"/>
  <c r="C104" i="28"/>
  <c r="C105" i="28"/>
  <c r="C106" i="28"/>
  <c r="C107" i="28"/>
  <c r="C108" i="28"/>
  <c r="C109" i="28"/>
  <c r="C110" i="28"/>
  <c r="C111" i="28"/>
  <c r="C112" i="28"/>
  <c r="C113" i="28"/>
  <c r="C114" i="28"/>
  <c r="C115" i="28"/>
  <c r="C116" i="28"/>
  <c r="C117" i="28"/>
  <c r="C118" i="28"/>
  <c r="C119" i="28"/>
  <c r="C120" i="28"/>
  <c r="C121" i="28"/>
  <c r="C122" i="28"/>
  <c r="C123" i="28"/>
  <c r="C124" i="28"/>
  <c r="C125" i="28"/>
  <c r="C126" i="28"/>
  <c r="C127" i="28"/>
  <c r="C128" i="28"/>
  <c r="C129" i="28"/>
  <c r="C130" i="28"/>
  <c r="C131" i="28"/>
  <c r="C132" i="28"/>
  <c r="C133" i="28"/>
  <c r="C134" i="28"/>
  <c r="C135" i="28"/>
  <c r="C136" i="28"/>
  <c r="C137" i="28"/>
  <c r="C138" i="28"/>
  <c r="C139" i="28"/>
  <c r="C140" i="28"/>
  <c r="C141" i="28"/>
  <c r="C142" i="28"/>
  <c r="C143" i="28"/>
  <c r="C144" i="28"/>
  <c r="C145" i="28"/>
  <c r="C146" i="28"/>
  <c r="C147" i="28"/>
  <c r="C148" i="28"/>
  <c r="C149" i="28"/>
  <c r="C150" i="28"/>
  <c r="C151" i="28"/>
  <c r="C152" i="28"/>
  <c r="C153" i="28"/>
  <c r="C154" i="28"/>
  <c r="C155" i="28"/>
  <c r="C156" i="28"/>
  <c r="C157" i="28"/>
  <c r="C158" i="28"/>
  <c r="C159" i="28"/>
  <c r="C160" i="28"/>
  <c r="C161" i="28"/>
  <c r="C162" i="28"/>
  <c r="C163" i="28"/>
  <c r="C164" i="28"/>
  <c r="C165" i="28"/>
  <c r="C166" i="28"/>
  <c r="C167" i="28"/>
  <c r="C168" i="28"/>
  <c r="C169" i="28"/>
  <c r="C170" i="28"/>
  <c r="C171" i="28"/>
  <c r="C172" i="28"/>
  <c r="C173" i="28"/>
  <c r="C174" i="28"/>
  <c r="C175" i="28"/>
  <c r="C176" i="28"/>
  <c r="C177" i="28"/>
  <c r="C178" i="28"/>
  <c r="C179" i="28"/>
  <c r="C180" i="28"/>
  <c r="C181" i="28"/>
  <c r="C182" i="28"/>
  <c r="C183" i="28"/>
  <c r="C184" i="28"/>
  <c r="C185" i="28"/>
  <c r="C186" i="28"/>
  <c r="C187" i="28"/>
  <c r="C188" i="28"/>
  <c r="C189" i="28"/>
  <c r="C190" i="28"/>
  <c r="C191" i="28"/>
  <c r="C192" i="28"/>
  <c r="C193" i="28"/>
  <c r="C194" i="28"/>
  <c r="C195" i="28"/>
  <c r="C196" i="28"/>
  <c r="C197" i="28"/>
  <c r="C198" i="28"/>
  <c r="C199" i="28"/>
  <c r="C200" i="28"/>
  <c r="C201" i="28"/>
  <c r="C2" i="28"/>
  <c r="B3" i="27"/>
  <c r="B4" i="27"/>
  <c r="B5" i="27"/>
  <c r="B6" i="27"/>
  <c r="B7" i="27"/>
  <c r="B8" i="27"/>
  <c r="B9" i="27"/>
  <c r="B10" i="27"/>
  <c r="B11" i="27"/>
  <c r="B12" i="27"/>
  <c r="B13" i="27"/>
  <c r="B14" i="27"/>
  <c r="B15" i="27"/>
  <c r="B16" i="27"/>
  <c r="B17" i="27"/>
  <c r="B18" i="27"/>
  <c r="B19" i="27"/>
  <c r="B20" i="27"/>
  <c r="B21" i="27"/>
  <c r="B22" i="27"/>
  <c r="B23" i="27"/>
  <c r="B24" i="27"/>
  <c r="B25" i="27"/>
  <c r="B26" i="27"/>
  <c r="B27" i="27"/>
  <c r="B28" i="27"/>
  <c r="B29" i="27"/>
  <c r="B30" i="27"/>
  <c r="B31" i="27"/>
  <c r="B32" i="27"/>
  <c r="B33" i="27"/>
  <c r="B34" i="27"/>
  <c r="B35" i="27"/>
  <c r="B36" i="27"/>
  <c r="B37" i="27"/>
  <c r="B38" i="27"/>
  <c r="B39" i="27"/>
  <c r="B40" i="27"/>
  <c r="B41" i="27"/>
  <c r="B42" i="27"/>
  <c r="B43" i="27"/>
  <c r="B44" i="27"/>
  <c r="B45" i="27"/>
  <c r="B46" i="27"/>
  <c r="B47" i="27"/>
  <c r="B48" i="27"/>
  <c r="B49" i="27"/>
  <c r="B50" i="27"/>
  <c r="B51" i="27"/>
  <c r="B52" i="27"/>
  <c r="B53" i="27"/>
  <c r="B54" i="27"/>
  <c r="B55" i="27"/>
  <c r="B56" i="27"/>
  <c r="B57" i="27"/>
  <c r="B58" i="27"/>
  <c r="B59" i="27"/>
  <c r="B60" i="27"/>
  <c r="B61" i="27"/>
  <c r="B62" i="27"/>
  <c r="B63" i="27"/>
  <c r="B64" i="27"/>
  <c r="B65" i="27"/>
  <c r="B66" i="27"/>
  <c r="B67" i="27"/>
  <c r="B68" i="27"/>
  <c r="B69" i="27"/>
  <c r="B70" i="27"/>
  <c r="B71" i="27"/>
  <c r="B72" i="27"/>
  <c r="B73" i="27"/>
  <c r="B74" i="27"/>
  <c r="B75" i="27"/>
  <c r="B76" i="27"/>
  <c r="B77" i="27"/>
  <c r="B78" i="27"/>
  <c r="B79" i="27"/>
  <c r="B80" i="27"/>
  <c r="B81" i="27"/>
  <c r="B82" i="27"/>
  <c r="B83" i="27"/>
  <c r="B84" i="27"/>
  <c r="B85" i="27"/>
  <c r="B86" i="27"/>
  <c r="B87" i="27"/>
  <c r="B88" i="27"/>
  <c r="B89" i="27"/>
  <c r="B90" i="27"/>
  <c r="B91" i="27"/>
  <c r="B92" i="27"/>
  <c r="B93" i="27"/>
  <c r="B94" i="27"/>
  <c r="B95" i="27"/>
  <c r="B96" i="27"/>
  <c r="B97" i="27"/>
  <c r="B98" i="27"/>
  <c r="B99" i="27"/>
  <c r="B100" i="27"/>
  <c r="B101" i="27"/>
  <c r="B102" i="27"/>
  <c r="B103" i="27"/>
  <c r="B104" i="27"/>
  <c r="B105" i="27"/>
  <c r="B106" i="27"/>
  <c r="B107" i="27"/>
  <c r="B108" i="27"/>
  <c r="B109" i="27"/>
  <c r="B110" i="27"/>
  <c r="B111" i="27"/>
  <c r="B112" i="27"/>
  <c r="B113" i="27"/>
  <c r="B114" i="27"/>
  <c r="B115" i="27"/>
  <c r="B116" i="27"/>
  <c r="B117" i="27"/>
  <c r="B118" i="27"/>
  <c r="B119" i="27"/>
  <c r="B120" i="27"/>
  <c r="B121" i="27"/>
  <c r="B122" i="27"/>
  <c r="B123" i="27"/>
  <c r="B124" i="27"/>
  <c r="B125" i="27"/>
  <c r="B126" i="27"/>
  <c r="B127" i="27"/>
  <c r="B128" i="27"/>
  <c r="B129" i="27"/>
  <c r="B130" i="27"/>
  <c r="B131" i="27"/>
  <c r="B132" i="27"/>
  <c r="B133" i="27"/>
  <c r="B134" i="27"/>
  <c r="B135" i="27"/>
  <c r="B136" i="27"/>
  <c r="B137" i="27"/>
  <c r="B138" i="27"/>
  <c r="B139" i="27"/>
  <c r="B140" i="27"/>
  <c r="B141" i="27"/>
  <c r="B142" i="27"/>
  <c r="B143" i="27"/>
  <c r="B144" i="27"/>
  <c r="B145" i="27"/>
  <c r="B146" i="27"/>
  <c r="B147" i="27"/>
  <c r="B148" i="27"/>
  <c r="B149" i="27"/>
  <c r="B150" i="27"/>
  <c r="B151" i="27"/>
  <c r="B152" i="27"/>
  <c r="B153" i="27"/>
  <c r="B154" i="27"/>
  <c r="B155" i="27"/>
  <c r="B156" i="27"/>
  <c r="B157" i="27"/>
  <c r="B158" i="27"/>
  <c r="B159" i="27"/>
  <c r="B160" i="27"/>
  <c r="B161" i="27"/>
  <c r="B162" i="27"/>
  <c r="B163" i="27"/>
  <c r="B164" i="27"/>
  <c r="B165" i="27"/>
  <c r="B166" i="27"/>
  <c r="B167" i="27"/>
  <c r="B168" i="27"/>
  <c r="B169" i="27"/>
  <c r="B170" i="27"/>
  <c r="B171" i="27"/>
  <c r="B172" i="27"/>
  <c r="B173" i="27"/>
  <c r="B174" i="27"/>
  <c r="B175" i="27"/>
  <c r="B176" i="27"/>
  <c r="B177" i="27"/>
  <c r="B178" i="27"/>
  <c r="B179" i="27"/>
  <c r="B180" i="27"/>
  <c r="B181" i="27"/>
  <c r="B182" i="27"/>
  <c r="B183" i="27"/>
  <c r="B184" i="27"/>
  <c r="B185" i="27"/>
  <c r="B186" i="27"/>
  <c r="B187" i="27"/>
  <c r="B188" i="27"/>
  <c r="B189" i="27"/>
  <c r="B190" i="27"/>
  <c r="B191" i="27"/>
  <c r="B192" i="27"/>
  <c r="B193" i="27"/>
  <c r="B194" i="27"/>
  <c r="B195" i="27"/>
  <c r="B196" i="27"/>
  <c r="B197" i="27"/>
  <c r="B198" i="27"/>
  <c r="B199" i="27"/>
  <c r="B200" i="27"/>
  <c r="B201" i="27"/>
  <c r="B2" i="27"/>
  <c r="E4" i="26"/>
  <c r="E5" i="26"/>
  <c r="E2" i="26"/>
  <c r="E8" i="26"/>
  <c r="E6" i="26"/>
  <c r="E9" i="26"/>
  <c r="E7" i="26"/>
  <c r="E12" i="26"/>
  <c r="E10" i="26"/>
  <c r="E11" i="26"/>
  <c r="E13" i="26"/>
  <c r="E16" i="26"/>
  <c r="E14" i="26"/>
  <c r="E15" i="26"/>
  <c r="E17" i="26"/>
  <c r="E21" i="26"/>
  <c r="E20" i="26"/>
  <c r="E18" i="26"/>
  <c r="E19" i="26"/>
  <c r="E22" i="26"/>
  <c r="E25" i="26"/>
  <c r="E23" i="26"/>
  <c r="E24" i="26"/>
  <c r="E26" i="26"/>
  <c r="E29" i="26"/>
  <c r="E27" i="26"/>
  <c r="E28" i="26"/>
  <c r="E33" i="26"/>
  <c r="E31" i="26"/>
  <c r="E30" i="26"/>
  <c r="E32" i="26"/>
  <c r="E35" i="26"/>
  <c r="E37" i="26"/>
  <c r="E34" i="26"/>
  <c r="E36" i="26"/>
  <c r="E38" i="26"/>
  <c r="E41" i="26"/>
  <c r="E39" i="26"/>
  <c r="E40" i="26"/>
  <c r="E43" i="26"/>
  <c r="E42" i="26"/>
  <c r="E45" i="26"/>
  <c r="E44" i="26"/>
  <c r="E49" i="26"/>
  <c r="E47" i="26"/>
  <c r="E46" i="26"/>
  <c r="E48" i="26"/>
  <c r="E50" i="26"/>
  <c r="E52" i="26"/>
  <c r="E51" i="26"/>
  <c r="E53" i="26"/>
  <c r="E54" i="26"/>
  <c r="E55" i="26"/>
  <c r="E57" i="26"/>
  <c r="E56" i="26"/>
  <c r="E58" i="26"/>
  <c r="E59" i="26"/>
  <c r="E61" i="26"/>
  <c r="E60" i="26"/>
  <c r="E63" i="26"/>
  <c r="E64" i="26"/>
  <c r="E62" i="26"/>
  <c r="E65" i="26"/>
  <c r="E68" i="26"/>
  <c r="E69" i="26"/>
  <c r="E66" i="26"/>
  <c r="E67" i="26"/>
  <c r="E71" i="26"/>
  <c r="E73" i="26"/>
  <c r="E72" i="26"/>
  <c r="E70" i="26"/>
  <c r="E74" i="26"/>
  <c r="E75" i="26"/>
  <c r="E77" i="26"/>
  <c r="E76" i="26"/>
  <c r="E78" i="26"/>
  <c r="E80" i="26"/>
  <c r="E81" i="26"/>
  <c r="E79" i="26"/>
  <c r="E85" i="26"/>
  <c r="E84" i="26"/>
  <c r="E83" i="26"/>
  <c r="E82" i="26"/>
  <c r="E87" i="26"/>
  <c r="E88" i="26"/>
  <c r="E89" i="26"/>
  <c r="E86" i="26"/>
  <c r="E91" i="26"/>
  <c r="E93" i="26"/>
  <c r="E90" i="26"/>
  <c r="E92" i="26"/>
  <c r="E95" i="26"/>
  <c r="E97" i="26"/>
  <c r="E94" i="26"/>
  <c r="E96" i="26"/>
  <c r="E101" i="26"/>
  <c r="E99" i="26"/>
  <c r="E98" i="26"/>
  <c r="E100" i="26"/>
  <c r="E102" i="26"/>
  <c r="E103" i="26"/>
  <c r="E105" i="26"/>
  <c r="E104" i="26"/>
  <c r="E107" i="26"/>
  <c r="E106" i="26"/>
  <c r="E108" i="26"/>
  <c r="E109" i="26"/>
  <c r="E112" i="26"/>
  <c r="E111" i="26"/>
  <c r="E110" i="26"/>
  <c r="E113" i="26"/>
  <c r="E114" i="26"/>
  <c r="E115" i="26"/>
  <c r="E116" i="26"/>
  <c r="E117" i="26"/>
  <c r="E121" i="26"/>
  <c r="E120" i="26"/>
  <c r="E119" i="26"/>
  <c r="E118" i="26"/>
  <c r="E123" i="26"/>
  <c r="E122" i="26"/>
  <c r="E124" i="26"/>
  <c r="E125" i="26"/>
  <c r="E127" i="26"/>
  <c r="E129" i="26"/>
  <c r="E126" i="26"/>
  <c r="E128" i="26"/>
  <c r="E130" i="26"/>
  <c r="E132" i="26"/>
  <c r="E133" i="26"/>
  <c r="E131" i="26"/>
  <c r="E134" i="26"/>
  <c r="E137" i="26"/>
  <c r="E135" i="26"/>
  <c r="E136" i="26"/>
  <c r="E141" i="26"/>
  <c r="E140" i="26"/>
  <c r="E138" i="26"/>
  <c r="E139" i="26"/>
  <c r="E142" i="26"/>
  <c r="E143" i="26"/>
  <c r="E144" i="26"/>
  <c r="E145" i="26"/>
  <c r="E146" i="26"/>
  <c r="E149" i="26"/>
  <c r="E148" i="26"/>
  <c r="E147" i="26"/>
  <c r="E152" i="26"/>
  <c r="E150" i="26"/>
  <c r="E153" i="26"/>
  <c r="E151" i="26"/>
  <c r="E155" i="26"/>
  <c r="E154" i="26"/>
  <c r="E157" i="26"/>
  <c r="E156" i="26"/>
  <c r="E158" i="26"/>
  <c r="E161" i="26"/>
  <c r="E159" i="26"/>
  <c r="E160" i="26"/>
  <c r="E165" i="26"/>
  <c r="E164" i="26"/>
  <c r="E162" i="26"/>
  <c r="E163" i="26"/>
  <c r="E169" i="26"/>
  <c r="E167" i="26"/>
  <c r="E168" i="26"/>
  <c r="E166" i="26"/>
  <c r="E171" i="26"/>
  <c r="E170" i="26"/>
  <c r="E173" i="26"/>
  <c r="E172" i="26"/>
  <c r="E176" i="26"/>
  <c r="E177" i="26"/>
  <c r="E174" i="26"/>
  <c r="E175" i="26"/>
  <c r="E181" i="26"/>
  <c r="E178" i="26"/>
  <c r="E179" i="26"/>
  <c r="E180" i="26"/>
  <c r="E184" i="26"/>
  <c r="E185" i="26"/>
  <c r="E183" i="26"/>
  <c r="E182" i="26"/>
  <c r="E189" i="26"/>
  <c r="E187" i="26"/>
  <c r="E188" i="26"/>
  <c r="E186" i="26"/>
  <c r="E190" i="26"/>
  <c r="E193" i="26"/>
  <c r="E191" i="26"/>
  <c r="E192" i="26"/>
  <c r="E194" i="26"/>
  <c r="E197" i="26"/>
  <c r="E195" i="26"/>
  <c r="E196" i="26"/>
  <c r="E198" i="26"/>
  <c r="E199" i="26"/>
  <c r="E200" i="26"/>
  <c r="E201" i="26"/>
  <c r="E3" i="26"/>
  <c r="D3" i="25"/>
  <c r="D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D105" i="25"/>
  <c r="D106" i="25"/>
  <c r="D107" i="25"/>
  <c r="D108" i="25"/>
  <c r="D109" i="25"/>
  <c r="D110" i="25"/>
  <c r="D111" i="25"/>
  <c r="D112" i="25"/>
  <c r="D113" i="25"/>
  <c r="D114" i="25"/>
  <c r="D115" i="25"/>
  <c r="D116" i="25"/>
  <c r="D117" i="25"/>
  <c r="D118" i="25"/>
  <c r="D119" i="25"/>
  <c r="D120" i="25"/>
  <c r="D121" i="25"/>
  <c r="D122" i="25"/>
  <c r="D123" i="25"/>
  <c r="D124" i="25"/>
  <c r="D125" i="25"/>
  <c r="D126" i="25"/>
  <c r="D127" i="25"/>
  <c r="D128" i="25"/>
  <c r="D129" i="25"/>
  <c r="D130" i="25"/>
  <c r="D131" i="25"/>
  <c r="D132" i="25"/>
  <c r="D133" i="25"/>
  <c r="D134" i="25"/>
  <c r="D135" i="25"/>
  <c r="D136" i="25"/>
  <c r="D137" i="25"/>
  <c r="D138" i="25"/>
  <c r="D139" i="25"/>
  <c r="D140" i="25"/>
  <c r="D141" i="25"/>
  <c r="D142" i="25"/>
  <c r="D143" i="25"/>
  <c r="D144" i="25"/>
  <c r="D145" i="25"/>
  <c r="D146" i="25"/>
  <c r="D147" i="25"/>
  <c r="D148" i="25"/>
  <c r="D149" i="25"/>
  <c r="D150" i="25"/>
  <c r="D151" i="25"/>
  <c r="D152" i="25"/>
  <c r="D153" i="25"/>
  <c r="D154" i="25"/>
  <c r="D155" i="25"/>
  <c r="D156" i="25"/>
  <c r="D157" i="25"/>
  <c r="D158" i="25"/>
  <c r="D159" i="25"/>
  <c r="D160" i="25"/>
  <c r="D161" i="25"/>
  <c r="D162" i="25"/>
  <c r="D163" i="25"/>
  <c r="D164" i="25"/>
  <c r="D165" i="25"/>
  <c r="D166" i="25"/>
  <c r="D167" i="25"/>
  <c r="D168" i="25"/>
  <c r="D169" i="25"/>
  <c r="D170" i="25"/>
  <c r="D171" i="25"/>
  <c r="D172" i="25"/>
  <c r="D173" i="25"/>
  <c r="D174" i="25"/>
  <c r="D175" i="25"/>
  <c r="D176" i="25"/>
  <c r="D177" i="25"/>
  <c r="D178" i="25"/>
  <c r="D179" i="25"/>
  <c r="D180" i="25"/>
  <c r="D181" i="25"/>
  <c r="D182" i="25"/>
  <c r="D183" i="25"/>
  <c r="D184" i="25"/>
  <c r="D185" i="25"/>
  <c r="D186" i="25"/>
  <c r="D187" i="25"/>
  <c r="D188" i="25"/>
  <c r="D189" i="25"/>
  <c r="D190" i="25"/>
  <c r="D191" i="25"/>
  <c r="D192" i="25"/>
  <c r="D193" i="25"/>
  <c r="D194" i="25"/>
  <c r="D195" i="25"/>
  <c r="D196" i="25"/>
  <c r="D197" i="25"/>
  <c r="D198" i="25"/>
  <c r="D199" i="25"/>
  <c r="D200" i="25"/>
  <c r="D201" i="25"/>
  <c r="D2" i="25"/>
  <c r="H301" i="24"/>
  <c r="H300" i="24"/>
  <c r="H299" i="24"/>
  <c r="H298" i="24"/>
  <c r="H295" i="24"/>
  <c r="H293" i="24"/>
  <c r="H292" i="24"/>
  <c r="H291" i="24"/>
  <c r="H290" i="24"/>
  <c r="H289" i="24"/>
  <c r="H288" i="24"/>
  <c r="H287" i="24"/>
  <c r="H286" i="24"/>
  <c r="H284" i="24"/>
  <c r="H283" i="24"/>
  <c r="H282" i="24"/>
  <c r="H281" i="24"/>
  <c r="H279" i="24"/>
  <c r="H278" i="24"/>
  <c r="H277" i="24"/>
  <c r="H276" i="24"/>
  <c r="H275" i="24"/>
  <c r="H274" i="24"/>
  <c r="H272" i="24"/>
  <c r="H271" i="24"/>
  <c r="H270" i="24"/>
  <c r="H269" i="24"/>
  <c r="H268" i="24"/>
  <c r="H267" i="24"/>
  <c r="H266" i="24"/>
  <c r="H265" i="24"/>
  <c r="H264" i="24"/>
  <c r="H263" i="24"/>
  <c r="H262" i="24"/>
  <c r="H261" i="24"/>
  <c r="H260" i="24"/>
  <c r="H258" i="24"/>
  <c r="H256" i="24"/>
  <c r="H255" i="24"/>
  <c r="H254" i="24"/>
  <c r="H253" i="24"/>
  <c r="H252" i="24"/>
  <c r="H251" i="24"/>
  <c r="H250" i="24"/>
  <c r="H249" i="24"/>
  <c r="H248" i="24"/>
  <c r="H247" i="24"/>
  <c r="H245" i="24"/>
  <c r="H244" i="24"/>
  <c r="H242" i="24"/>
  <c r="H241" i="24"/>
  <c r="H240" i="24"/>
  <c r="H239" i="24"/>
  <c r="H236" i="24"/>
  <c r="H235" i="24"/>
  <c r="H234" i="24"/>
  <c r="H233" i="24"/>
  <c r="H232" i="24"/>
  <c r="H231" i="24"/>
  <c r="H230" i="24"/>
  <c r="H227" i="24"/>
  <c r="H226" i="24"/>
  <c r="H225" i="24"/>
  <c r="H224" i="24"/>
  <c r="H223" i="24"/>
  <c r="H222" i="24"/>
  <c r="H221" i="24"/>
  <c r="H220" i="24"/>
  <c r="H219" i="24"/>
  <c r="H218" i="24"/>
  <c r="H217" i="24"/>
  <c r="H216" i="24"/>
  <c r="H215" i="24"/>
  <c r="H214" i="24"/>
  <c r="H213" i="24"/>
  <c r="H212" i="24"/>
  <c r="H211" i="24"/>
  <c r="H210" i="24"/>
  <c r="H207" i="24"/>
  <c r="H206" i="24"/>
  <c r="H205" i="24"/>
  <c r="H204" i="24"/>
  <c r="H201" i="24"/>
  <c r="H200" i="24"/>
  <c r="H199" i="24"/>
  <c r="H198" i="24"/>
  <c r="H197" i="24"/>
  <c r="H195" i="24"/>
  <c r="H194" i="24"/>
  <c r="H193" i="24"/>
  <c r="H192" i="24"/>
  <c r="H190" i="24"/>
  <c r="H187" i="24"/>
  <c r="H183" i="24"/>
  <c r="H182" i="24"/>
  <c r="H181" i="24"/>
  <c r="H179" i="24"/>
  <c r="H178" i="24"/>
  <c r="H176" i="24"/>
  <c r="H174" i="24"/>
  <c r="H173" i="24"/>
  <c r="H172" i="24"/>
  <c r="H170" i="24"/>
  <c r="H169" i="24"/>
  <c r="H168" i="24"/>
  <c r="H167" i="24"/>
  <c r="H166" i="24"/>
  <c r="H165" i="24"/>
  <c r="H164" i="24"/>
  <c r="H163" i="24"/>
  <c r="H162" i="24"/>
  <c r="H160" i="24"/>
  <c r="H159" i="24"/>
  <c r="H157" i="24"/>
  <c r="H156" i="24"/>
  <c r="H155" i="24"/>
  <c r="H154" i="24"/>
  <c r="H152" i="24"/>
  <c r="H151" i="24"/>
  <c r="H150" i="24"/>
  <c r="H149" i="24"/>
  <c r="H148" i="24"/>
  <c r="H147" i="24"/>
  <c r="H146" i="24"/>
  <c r="H145" i="24"/>
  <c r="H144" i="24"/>
  <c r="H143" i="24"/>
  <c r="H142" i="24"/>
  <c r="H141" i="24"/>
  <c r="H140" i="24"/>
  <c r="H139" i="24"/>
  <c r="H138" i="24"/>
  <c r="H137" i="24"/>
  <c r="H135" i="24"/>
  <c r="H134" i="24"/>
  <c r="H133" i="24"/>
  <c r="H132" i="24"/>
  <c r="H129" i="24"/>
  <c r="H128" i="24"/>
  <c r="H127" i="24"/>
  <c r="H126" i="24"/>
  <c r="H123" i="24"/>
  <c r="H122" i="24"/>
  <c r="H120" i="24"/>
  <c r="H119" i="24"/>
  <c r="H117" i="24"/>
  <c r="H116" i="24"/>
  <c r="H115" i="24"/>
  <c r="H114" i="24"/>
  <c r="H113" i="24"/>
  <c r="H112" i="24"/>
  <c r="H111" i="24"/>
  <c r="H110" i="24"/>
  <c r="H109" i="24"/>
  <c r="H108" i="24"/>
  <c r="H107" i="24"/>
  <c r="H105" i="24"/>
  <c r="H104" i="24"/>
  <c r="H102" i="24"/>
  <c r="H100" i="24"/>
  <c r="H99" i="24"/>
  <c r="H98" i="24"/>
  <c r="H97" i="24"/>
  <c r="H96" i="24"/>
  <c r="H95" i="24"/>
  <c r="H94" i="24"/>
  <c r="H92" i="24"/>
  <c r="H91" i="24"/>
  <c r="H89" i="24"/>
  <c r="H88" i="24"/>
  <c r="H87" i="24"/>
  <c r="H86" i="24"/>
  <c r="H85" i="24"/>
  <c r="H84" i="24"/>
  <c r="H83" i="24"/>
  <c r="H82" i="24"/>
  <c r="H81" i="24"/>
  <c r="H80" i="24"/>
  <c r="H79" i="24"/>
  <c r="H78" i="24"/>
  <c r="H77" i="24"/>
  <c r="H76" i="24"/>
  <c r="H75" i="24"/>
  <c r="H74" i="24"/>
  <c r="H73" i="24"/>
  <c r="H72" i="24"/>
  <c r="H71" i="24"/>
  <c r="H70" i="24"/>
  <c r="H69" i="24"/>
  <c r="H68" i="24"/>
  <c r="H66" i="24"/>
  <c r="H65" i="24"/>
  <c r="H61" i="24"/>
  <c r="H60" i="24"/>
  <c r="H59" i="24"/>
  <c r="H58" i="24"/>
  <c r="H56" i="24"/>
  <c r="H55" i="24"/>
  <c r="H53" i="24"/>
  <c r="H52" i="24"/>
  <c r="H51" i="24"/>
  <c r="H50" i="24"/>
  <c r="H49" i="24"/>
  <c r="H48" i="24"/>
  <c r="H47" i="24"/>
  <c r="H45" i="24"/>
  <c r="H44" i="24"/>
  <c r="H42" i="24"/>
  <c r="H41" i="24"/>
  <c r="H40" i="24"/>
  <c r="H39" i="24"/>
  <c r="H38" i="24"/>
  <c r="H37" i="24"/>
  <c r="H36" i="24"/>
  <c r="H35" i="24"/>
  <c r="H33" i="24"/>
  <c r="H32" i="24"/>
  <c r="H31" i="24"/>
  <c r="H30" i="24"/>
  <c r="H29" i="24"/>
  <c r="H28" i="24"/>
  <c r="H27" i="24"/>
  <c r="H25" i="24"/>
  <c r="H24" i="24"/>
  <c r="H23" i="24"/>
  <c r="H22" i="24"/>
  <c r="H20" i="24"/>
  <c r="H19" i="24"/>
  <c r="H18" i="24"/>
  <c r="H17" i="24"/>
  <c r="H16" i="24"/>
  <c r="H15" i="24"/>
  <c r="H14" i="24"/>
  <c r="H13" i="24"/>
  <c r="H12" i="24"/>
  <c r="H10" i="24"/>
  <c r="H8" i="24"/>
  <c r="H7" i="24"/>
  <c r="H6" i="24"/>
  <c r="H5" i="24"/>
  <c r="H4" i="24"/>
  <c r="H3" i="24"/>
  <c r="H2" i="24"/>
  <c r="G3" i="24"/>
  <c r="G4" i="24"/>
  <c r="G5" i="24"/>
  <c r="G6" i="24"/>
  <c r="G7" i="24"/>
  <c r="G8" i="24"/>
  <c r="G10" i="24"/>
  <c r="G11" i="24"/>
  <c r="G12" i="24"/>
  <c r="G13" i="24"/>
  <c r="G14" i="24"/>
  <c r="G15" i="24"/>
  <c r="G16" i="24"/>
  <c r="G17" i="24"/>
  <c r="G18" i="24"/>
  <c r="G19" i="24"/>
  <c r="G20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34" i="24"/>
  <c r="G35" i="24"/>
  <c r="G36" i="24"/>
  <c r="G37" i="24"/>
  <c r="G38" i="24"/>
  <c r="G39" i="24"/>
  <c r="G40" i="24"/>
  <c r="G41" i="24"/>
  <c r="G42" i="24"/>
  <c r="G43" i="24"/>
  <c r="G44" i="24"/>
  <c r="G45" i="24"/>
  <c r="G46" i="24"/>
  <c r="G47" i="24"/>
  <c r="G48" i="24"/>
  <c r="G49" i="24"/>
  <c r="G50" i="24"/>
  <c r="G51" i="24"/>
  <c r="G52" i="24"/>
  <c r="G53" i="24"/>
  <c r="G54" i="24"/>
  <c r="G55" i="24"/>
  <c r="G56" i="24"/>
  <c r="G57" i="24"/>
  <c r="G58" i="24"/>
  <c r="G59" i="24"/>
  <c r="G60" i="24"/>
  <c r="G61" i="24"/>
  <c r="G62" i="24"/>
  <c r="G63" i="24"/>
  <c r="G64" i="24"/>
  <c r="G65" i="24"/>
  <c r="G66" i="24"/>
  <c r="G67" i="24"/>
  <c r="G68" i="24"/>
  <c r="G69" i="24"/>
  <c r="G70" i="24"/>
  <c r="G71" i="24"/>
  <c r="G72" i="24"/>
  <c r="G73" i="24"/>
  <c r="G74" i="24"/>
  <c r="G75" i="24"/>
  <c r="G76" i="24"/>
  <c r="G77" i="24"/>
  <c r="G78" i="24"/>
  <c r="G79" i="24"/>
  <c r="G80" i="24"/>
  <c r="G81" i="24"/>
  <c r="G82" i="24"/>
  <c r="G83" i="24"/>
  <c r="G84" i="24"/>
  <c r="G85" i="24"/>
  <c r="G86" i="24"/>
  <c r="G87" i="24"/>
  <c r="G88" i="24"/>
  <c r="G89" i="24"/>
  <c r="G90" i="24"/>
  <c r="G91" i="24"/>
  <c r="G92" i="24"/>
  <c r="G93" i="24"/>
  <c r="G94" i="24"/>
  <c r="G95" i="24"/>
  <c r="G96" i="24"/>
  <c r="G97" i="24"/>
  <c r="G98" i="24"/>
  <c r="G99" i="24"/>
  <c r="G100" i="24"/>
  <c r="G101" i="24"/>
  <c r="G102" i="24"/>
  <c r="G103" i="24"/>
  <c r="G104" i="24"/>
  <c r="G105" i="24"/>
  <c r="G106" i="24"/>
  <c r="G107" i="24"/>
  <c r="G108" i="24"/>
  <c r="G109" i="24"/>
  <c r="G110" i="24"/>
  <c r="G111" i="24"/>
  <c r="G112" i="24"/>
  <c r="G113" i="24"/>
  <c r="G114" i="24"/>
  <c r="G115" i="24"/>
  <c r="G116" i="24"/>
  <c r="G117" i="24"/>
  <c r="G118" i="24"/>
  <c r="G119" i="24"/>
  <c r="G120" i="24"/>
  <c r="G121" i="24"/>
  <c r="G122" i="24"/>
  <c r="G123" i="24"/>
  <c r="G124" i="24"/>
  <c r="G125" i="24"/>
  <c r="G126" i="24"/>
  <c r="G127" i="24"/>
  <c r="G128" i="24"/>
  <c r="G129" i="24"/>
  <c r="G130" i="24"/>
  <c r="G131" i="24"/>
  <c r="G132" i="24"/>
  <c r="G133" i="24"/>
  <c r="G134" i="24"/>
  <c r="G135" i="24"/>
  <c r="G136" i="24"/>
  <c r="G137" i="24"/>
  <c r="G138" i="24"/>
  <c r="G139" i="24"/>
  <c r="G140" i="24"/>
  <c r="G141" i="24"/>
  <c r="G142" i="24"/>
  <c r="G143" i="24"/>
  <c r="G144" i="24"/>
  <c r="G145" i="24"/>
  <c r="G146" i="24"/>
  <c r="G147" i="24"/>
  <c r="G148" i="24"/>
  <c r="G149" i="24"/>
  <c r="G150" i="24"/>
  <c r="G151" i="24"/>
  <c r="G152" i="24"/>
  <c r="G153" i="24"/>
  <c r="G154" i="24"/>
  <c r="G155" i="24"/>
  <c r="G156" i="24"/>
  <c r="G157" i="24"/>
  <c r="G158" i="24"/>
  <c r="G159" i="24"/>
  <c r="G160" i="24"/>
  <c r="G161" i="24"/>
  <c r="G162" i="24"/>
  <c r="G163" i="24"/>
  <c r="G164" i="24"/>
  <c r="G165" i="24"/>
  <c r="G166" i="24"/>
  <c r="G167" i="24"/>
  <c r="G168" i="24"/>
  <c r="G169" i="24"/>
  <c r="G170" i="24"/>
  <c r="G171" i="24"/>
  <c r="G172" i="24"/>
  <c r="G173" i="24"/>
  <c r="G174" i="24"/>
  <c r="G175" i="24"/>
  <c r="G176" i="24"/>
  <c r="G177" i="24"/>
  <c r="G178" i="24"/>
  <c r="G179" i="24"/>
  <c r="G180" i="24"/>
  <c r="G181" i="24"/>
  <c r="G182" i="24"/>
  <c r="G183" i="24"/>
  <c r="G184" i="24"/>
  <c r="G185" i="24"/>
  <c r="G186" i="24"/>
  <c r="G187" i="24"/>
  <c r="G188" i="24"/>
  <c r="G189" i="24"/>
  <c r="G190" i="24"/>
  <c r="G191" i="24"/>
  <c r="G192" i="24"/>
  <c r="G193" i="24"/>
  <c r="G194" i="24"/>
  <c r="G195" i="24"/>
  <c r="G196" i="24"/>
  <c r="G197" i="24"/>
  <c r="G198" i="24"/>
  <c r="G199" i="24"/>
  <c r="G200" i="24"/>
  <c r="G201" i="24"/>
  <c r="G202" i="24"/>
  <c r="G203" i="24"/>
  <c r="G204" i="24"/>
  <c r="G205" i="24"/>
  <c r="G206" i="24"/>
  <c r="G207" i="24"/>
  <c r="G208" i="24"/>
  <c r="G209" i="24"/>
  <c r="G210" i="24"/>
  <c r="G211" i="24"/>
  <c r="G212" i="24"/>
  <c r="G213" i="24"/>
  <c r="G214" i="24"/>
  <c r="G215" i="24"/>
  <c r="G216" i="24"/>
  <c r="G217" i="24"/>
  <c r="G218" i="24"/>
  <c r="G219" i="24"/>
  <c r="G220" i="24"/>
  <c r="G221" i="24"/>
  <c r="G222" i="24"/>
  <c r="G223" i="24"/>
  <c r="G224" i="24"/>
  <c r="G225" i="24"/>
  <c r="G226" i="24"/>
  <c r="G227" i="24"/>
  <c r="G228" i="24"/>
  <c r="G229" i="24"/>
  <c r="G230" i="24"/>
  <c r="G231" i="24"/>
  <c r="G232" i="24"/>
  <c r="G233" i="24"/>
  <c r="G234" i="24"/>
  <c r="G235" i="24"/>
  <c r="G236" i="24"/>
  <c r="G237" i="24"/>
  <c r="G238" i="24"/>
  <c r="G239" i="24"/>
  <c r="G240" i="24"/>
  <c r="G241" i="24"/>
  <c r="G242" i="24"/>
  <c r="G243" i="24"/>
  <c r="G244" i="24"/>
  <c r="G245" i="24"/>
  <c r="G246" i="24"/>
  <c r="G247" i="24"/>
  <c r="G248" i="24"/>
  <c r="G249" i="24"/>
  <c r="G250" i="24"/>
  <c r="G251" i="24"/>
  <c r="G252" i="24"/>
  <c r="G253" i="24"/>
  <c r="G254" i="24"/>
  <c r="G255" i="24"/>
  <c r="G256" i="24"/>
  <c r="G257" i="24"/>
  <c r="G258" i="24"/>
  <c r="G259" i="24"/>
  <c r="G260" i="24"/>
  <c r="G261" i="24"/>
  <c r="G262" i="24"/>
  <c r="G263" i="24"/>
  <c r="G264" i="24"/>
  <c r="G265" i="24"/>
  <c r="G266" i="24"/>
  <c r="G267" i="24"/>
  <c r="G268" i="24"/>
  <c r="G269" i="24"/>
  <c r="G270" i="24"/>
  <c r="G271" i="24"/>
  <c r="G272" i="24"/>
  <c r="G273" i="24"/>
  <c r="G274" i="24"/>
  <c r="G275" i="24"/>
  <c r="G276" i="24"/>
  <c r="G277" i="24"/>
  <c r="G278" i="24"/>
  <c r="G279" i="24"/>
  <c r="G280" i="24"/>
  <c r="G281" i="24"/>
  <c r="G282" i="24"/>
  <c r="G283" i="24"/>
  <c r="G284" i="24"/>
  <c r="G285" i="24"/>
  <c r="G286" i="24"/>
  <c r="G287" i="24"/>
  <c r="G288" i="24"/>
  <c r="G289" i="24"/>
  <c r="G290" i="24"/>
  <c r="G291" i="24"/>
  <c r="G292" i="24"/>
  <c r="G293" i="24"/>
  <c r="G294" i="24"/>
  <c r="G295" i="24"/>
  <c r="G296" i="24"/>
  <c r="G297" i="24"/>
  <c r="G298" i="24"/>
  <c r="G299" i="24"/>
  <c r="G300" i="24"/>
  <c r="G301" i="24"/>
  <c r="G2" i="24"/>
  <c r="G78" i="22"/>
  <c r="G161" i="22"/>
  <c r="G238" i="22"/>
  <c r="G145" i="22"/>
  <c r="G206" i="22"/>
  <c r="G32" i="22"/>
  <c r="G102" i="22"/>
  <c r="G214" i="22"/>
  <c r="G204" i="22"/>
  <c r="G300" i="22"/>
  <c r="G247" i="22"/>
  <c r="G103" i="22"/>
  <c r="G218" i="22"/>
  <c r="G164" i="22"/>
  <c r="G260" i="22"/>
  <c r="G60" i="22"/>
  <c r="G28" i="22"/>
  <c r="G69" i="22"/>
  <c r="G9" i="22"/>
  <c r="G137" i="22"/>
  <c r="G282" i="22"/>
  <c r="G224" i="22"/>
  <c r="G92" i="22"/>
  <c r="G242" i="22"/>
  <c r="G190" i="22"/>
  <c r="G8" i="22"/>
  <c r="G36" i="22"/>
  <c r="G128" i="22"/>
  <c r="G270" i="22"/>
  <c r="G248" i="22"/>
  <c r="G168" i="22"/>
  <c r="G229" i="22"/>
  <c r="G280" i="22"/>
  <c r="G284" i="22"/>
  <c r="G136" i="22"/>
  <c r="G150" i="22"/>
  <c r="G258" i="22"/>
  <c r="G22" i="22"/>
  <c r="G167" i="22"/>
  <c r="G187" i="22"/>
  <c r="G109" i="22"/>
  <c r="G233" i="22"/>
  <c r="G199" i="22"/>
  <c r="G291" i="22"/>
  <c r="G56" i="22"/>
  <c r="G254" i="22"/>
  <c r="G116" i="22"/>
  <c r="G251" i="22"/>
  <c r="G90" i="22"/>
  <c r="G88" i="22"/>
  <c r="G281" i="22"/>
  <c r="G205" i="22"/>
  <c r="G48" i="22"/>
  <c r="G97" i="22"/>
  <c r="G170" i="22"/>
  <c r="G275" i="22"/>
  <c r="G42" i="22"/>
  <c r="G101" i="22"/>
  <c r="G176" i="22"/>
  <c r="G285" i="22"/>
  <c r="G13" i="22"/>
  <c r="G240" i="22"/>
  <c r="G207" i="22"/>
  <c r="G152" i="22"/>
  <c r="G216" i="22"/>
  <c r="G154" i="22"/>
  <c r="G104" i="22"/>
  <c r="G279" i="22"/>
  <c r="G244" i="22"/>
  <c r="G189" i="22"/>
  <c r="G294" i="22"/>
  <c r="G122" i="22"/>
  <c r="G203" i="22"/>
  <c r="G261" i="22"/>
  <c r="G38" i="22"/>
  <c r="G263" i="22"/>
  <c r="G166" i="22"/>
  <c r="G123" i="22"/>
  <c r="G44" i="22"/>
  <c r="G180" i="22"/>
  <c r="G179" i="22"/>
  <c r="G253" i="22"/>
  <c r="G211" i="22"/>
  <c r="G71" i="22"/>
  <c r="G151" i="22"/>
  <c r="G283" i="22"/>
  <c r="G134" i="22"/>
  <c r="G26" i="22"/>
  <c r="G115" i="22"/>
  <c r="G156" i="22"/>
  <c r="G227" i="22"/>
  <c r="G108" i="22"/>
  <c r="G117" i="22"/>
  <c r="G118" i="22"/>
  <c r="G29" i="22"/>
  <c r="G142" i="22"/>
  <c r="G144" i="22"/>
  <c r="G113" i="22"/>
  <c r="G159" i="22"/>
  <c r="G155" i="22"/>
  <c r="G158" i="22"/>
  <c r="G146" i="22"/>
  <c r="G31" i="22"/>
  <c r="G273" i="22"/>
  <c r="G121" i="22"/>
  <c r="G10" i="22"/>
  <c r="G114" i="22"/>
  <c r="G111" i="22"/>
  <c r="G239" i="22"/>
  <c r="G292" i="22"/>
  <c r="G138" i="22"/>
  <c r="G50" i="22"/>
  <c r="G195" i="22"/>
  <c r="G80" i="22"/>
  <c r="G53" i="22"/>
  <c r="G94" i="22"/>
  <c r="G266" i="22"/>
  <c r="G174" i="22"/>
  <c r="G268" i="22"/>
  <c r="G257" i="22"/>
  <c r="G41" i="22"/>
  <c r="G135" i="22"/>
  <c r="G133" i="22"/>
  <c r="G213" i="22"/>
  <c r="G59" i="22"/>
  <c r="G296" i="22"/>
  <c r="G198" i="22"/>
  <c r="G302" i="22"/>
  <c r="G96" i="22"/>
  <c r="G163" i="22"/>
  <c r="G15" i="22"/>
  <c r="G287" i="22"/>
  <c r="G132" i="22"/>
  <c r="G288" i="22"/>
  <c r="G25" i="22"/>
  <c r="G93" i="22"/>
  <c r="G188" i="22"/>
  <c r="G197" i="22"/>
  <c r="G293" i="22"/>
  <c r="G264" i="22"/>
  <c r="G18" i="22"/>
  <c r="G171" i="22"/>
  <c r="G98" i="22"/>
  <c r="G178" i="22"/>
  <c r="G62" i="22"/>
  <c r="G278" i="22"/>
  <c r="G86" i="22"/>
  <c r="G73" i="22"/>
  <c r="G215" i="22"/>
  <c r="G172" i="22"/>
  <c r="G232" i="22"/>
  <c r="G202" i="22"/>
  <c r="G236" i="22"/>
  <c r="G125" i="22"/>
  <c r="G193" i="22"/>
  <c r="G234" i="22"/>
  <c r="G91" i="22"/>
  <c r="G256" i="22"/>
  <c r="G79" i="22"/>
  <c r="G119" i="22"/>
  <c r="G47" i="22"/>
  <c r="G295" i="22"/>
  <c r="G35" i="22"/>
  <c r="G169" i="22"/>
  <c r="G272" i="22"/>
  <c r="G83" i="22"/>
  <c r="G243" i="22"/>
  <c r="G64" i="22"/>
  <c r="G65" i="22"/>
  <c r="G148" i="22"/>
  <c r="G147" i="22"/>
  <c r="G301" i="22"/>
  <c r="G112" i="22"/>
  <c r="G11" i="22"/>
  <c r="G274" i="22"/>
  <c r="G235" i="22"/>
  <c r="G51" i="22"/>
  <c r="G290" i="22"/>
  <c r="G110" i="22"/>
  <c r="G34" i="22"/>
  <c r="G246" i="22"/>
  <c r="G265" i="22"/>
  <c r="G58" i="22"/>
  <c r="G231" i="22"/>
  <c r="G61" i="22"/>
  <c r="G299" i="22"/>
  <c r="G12" i="22"/>
  <c r="G14" i="22"/>
  <c r="G241" i="22"/>
  <c r="G223" i="22"/>
  <c r="G250" i="22"/>
  <c r="G208" i="22"/>
  <c r="G298" i="22"/>
  <c r="G39" i="22"/>
  <c r="G289" i="22"/>
  <c r="G276" i="22"/>
  <c r="G157" i="22"/>
  <c r="G181" i="22"/>
  <c r="G129" i="22"/>
  <c r="G259" i="22"/>
  <c r="G52" i="22"/>
  <c r="G217" i="22"/>
  <c r="G126" i="22"/>
  <c r="G200" i="22"/>
  <c r="G21" i="22"/>
  <c r="G139" i="22"/>
  <c r="G140" i="22"/>
  <c r="G24" i="22"/>
  <c r="G89" i="22"/>
  <c r="G84" i="22"/>
  <c r="G219" i="22"/>
  <c r="G196" i="22"/>
  <c r="G183" i="22"/>
  <c r="G192" i="22"/>
  <c r="G177" i="22"/>
  <c r="G20" i="22"/>
  <c r="G99" i="22"/>
  <c r="G221" i="22"/>
  <c r="G162" i="22"/>
  <c r="G81" i="22"/>
  <c r="G55" i="22"/>
  <c r="G105" i="22"/>
  <c r="G67" i="22"/>
  <c r="G33" i="22"/>
  <c r="G304" i="22"/>
  <c r="G303" i="22"/>
  <c r="G255" i="22"/>
  <c r="G68" i="22"/>
  <c r="G141" i="22"/>
  <c r="G173" i="22"/>
  <c r="G100" i="22"/>
  <c r="G143" i="22"/>
  <c r="G23" i="22"/>
  <c r="G262" i="22"/>
  <c r="G297" i="22"/>
  <c r="G37" i="22"/>
  <c r="G286" i="22"/>
  <c r="G30" i="22"/>
  <c r="G7" i="22"/>
  <c r="G70" i="22"/>
  <c r="G160" i="22"/>
  <c r="G6" i="22"/>
  <c r="G191" i="22"/>
  <c r="G82" i="22"/>
  <c r="G27" i="22"/>
  <c r="G252" i="22"/>
  <c r="G230" i="22"/>
  <c r="G40" i="22"/>
  <c r="G226" i="22"/>
  <c r="G77" i="22"/>
  <c r="G43" i="22"/>
  <c r="G249" i="22"/>
  <c r="G74" i="22"/>
  <c r="G106" i="22"/>
  <c r="G49" i="22"/>
  <c r="G269" i="22"/>
  <c r="G186" i="22"/>
  <c r="G228" i="22"/>
  <c r="G201" i="22"/>
  <c r="G124" i="22"/>
  <c r="G237" i="22"/>
  <c r="G209" i="22"/>
  <c r="G184" i="22"/>
  <c r="G95" i="22"/>
  <c r="G245" i="22"/>
  <c r="G271" i="22"/>
  <c r="G120" i="22"/>
  <c r="G76" i="22"/>
  <c r="G107" i="22"/>
  <c r="G220" i="22"/>
  <c r="G66" i="22"/>
  <c r="G19" i="22"/>
  <c r="G194" i="22"/>
  <c r="G222" i="22"/>
  <c r="G54" i="22"/>
  <c r="G165" i="22"/>
  <c r="G85" i="22"/>
  <c r="G225" i="22"/>
  <c r="G182" i="22"/>
  <c r="G210" i="22"/>
  <c r="G63" i="22"/>
  <c r="G153" i="22"/>
  <c r="G127" i="22"/>
  <c r="G45" i="22"/>
  <c r="G277" i="22"/>
  <c r="G149" i="22"/>
  <c r="G46" i="22"/>
  <c r="G72" i="22"/>
  <c r="G16" i="22"/>
  <c r="G87" i="22"/>
  <c r="G17" i="22"/>
  <c r="G212" i="22"/>
  <c r="G185" i="22"/>
  <c r="G130" i="22"/>
  <c r="G175" i="22"/>
  <c r="G75" i="22"/>
  <c r="G57" i="22"/>
  <c r="G131" i="22"/>
  <c r="G267" i="22"/>
  <c r="D24" i="11"/>
  <c r="D29" i="11"/>
  <c r="D30" i="11"/>
  <c r="D43" i="11"/>
  <c r="D44" i="11"/>
  <c r="D48" i="11"/>
  <c r="D57" i="11"/>
  <c r="D59" i="11"/>
  <c r="D60" i="11"/>
  <c r="D66" i="11"/>
  <c r="D68" i="11"/>
  <c r="D73" i="11"/>
  <c r="D80" i="11"/>
  <c r="D81" i="11"/>
  <c r="D83" i="11"/>
  <c r="D84" i="11"/>
  <c r="D93" i="11"/>
  <c r="D97" i="11"/>
  <c r="D101" i="11"/>
  <c r="D107" i="11"/>
  <c r="D109" i="11"/>
  <c r="D115" i="11"/>
  <c r="D118" i="11"/>
  <c r="D121" i="11"/>
  <c r="D127" i="11"/>
  <c r="D131" i="11"/>
  <c r="D132" i="11"/>
  <c r="D138" i="11"/>
  <c r="D139" i="11"/>
  <c r="D143" i="11"/>
  <c r="D145" i="11"/>
  <c r="D154" i="11"/>
  <c r="D156" i="11"/>
  <c r="D157" i="11"/>
  <c r="D162" i="11"/>
  <c r="D164" i="11"/>
  <c r="D165" i="11"/>
  <c r="D178" i="11"/>
  <c r="D179" i="11"/>
  <c r="D180" i="11"/>
  <c r="D181" i="11"/>
  <c r="D185" i="11"/>
  <c r="D189" i="11"/>
  <c r="D192" i="11"/>
  <c r="D193" i="11"/>
  <c r="D205" i="11"/>
  <c r="D210" i="11"/>
  <c r="D211" i="11"/>
  <c r="D212" i="11"/>
  <c r="D213" i="11"/>
  <c r="D215" i="11"/>
  <c r="D216" i="11"/>
  <c r="D225" i="11"/>
  <c r="D226" i="11"/>
  <c r="D229" i="11"/>
  <c r="D237" i="11"/>
  <c r="D238" i="11"/>
  <c r="D239" i="11"/>
  <c r="D240" i="11"/>
  <c r="D251" i="11"/>
  <c r="D252" i="11"/>
  <c r="D259" i="11"/>
  <c r="D260" i="11"/>
  <c r="D261" i="11"/>
  <c r="D262" i="11"/>
  <c r="D263" i="11"/>
  <c r="D272" i="11"/>
  <c r="D276" i="11"/>
  <c r="D283" i="11"/>
  <c r="D286" i="11"/>
  <c r="D287" i="11"/>
  <c r="D288" i="11"/>
  <c r="D289" i="11"/>
  <c r="D296" i="11"/>
  <c r="D308" i="11"/>
  <c r="D311" i="11"/>
  <c r="D312" i="11"/>
  <c r="D313" i="11"/>
  <c r="D320" i="11"/>
  <c r="D332" i="11"/>
  <c r="D335" i="11"/>
  <c r="G115" i="13"/>
  <c r="G38" i="13"/>
  <c r="G137" i="13"/>
  <c r="G17" i="13"/>
  <c r="G183" i="13"/>
  <c r="G140" i="13"/>
  <c r="G166" i="13"/>
  <c r="G180" i="13"/>
  <c r="G44" i="13"/>
  <c r="G41" i="13"/>
  <c r="G155" i="13"/>
  <c r="G70" i="13"/>
  <c r="G14" i="13"/>
  <c r="G154" i="13"/>
  <c r="G176" i="13"/>
  <c r="G8" i="13"/>
  <c r="G131" i="13"/>
  <c r="G89" i="13"/>
  <c r="G25" i="13"/>
  <c r="G24" i="13"/>
  <c r="G190" i="13"/>
  <c r="G124" i="13"/>
  <c r="G171" i="13"/>
  <c r="G150" i="13"/>
  <c r="G80" i="13"/>
  <c r="G31" i="13"/>
  <c r="G127" i="13"/>
  <c r="G50" i="13"/>
  <c r="G51" i="13"/>
  <c r="G107" i="13"/>
  <c r="G103" i="13"/>
  <c r="G138" i="13"/>
  <c r="G57" i="13"/>
  <c r="G134" i="13"/>
  <c r="G156" i="13"/>
  <c r="G53" i="13"/>
  <c r="G90" i="13"/>
  <c r="G4" i="13"/>
  <c r="G139" i="13"/>
  <c r="G86" i="13"/>
  <c r="G94" i="13"/>
  <c r="G32" i="13"/>
  <c r="G105" i="13"/>
  <c r="G163" i="13"/>
  <c r="G23" i="13"/>
  <c r="G65" i="13"/>
  <c r="G88" i="13"/>
  <c r="G97" i="13"/>
  <c r="G18" i="13"/>
  <c r="G142" i="13"/>
  <c r="G52" i="13"/>
  <c r="G67" i="13"/>
  <c r="G81" i="13"/>
  <c r="G48" i="13"/>
  <c r="G145" i="13"/>
  <c r="G15" i="13"/>
  <c r="G196" i="13"/>
  <c r="G10" i="13"/>
  <c r="G20" i="13"/>
  <c r="G157" i="13"/>
  <c r="G13" i="13"/>
  <c r="G30" i="13"/>
  <c r="G153" i="13"/>
  <c r="G184" i="13"/>
  <c r="G61" i="13"/>
  <c r="G33" i="13"/>
  <c r="G42" i="13"/>
  <c r="G160" i="13"/>
  <c r="G195" i="13"/>
  <c r="G186" i="13"/>
  <c r="G62" i="13"/>
  <c r="G85" i="13"/>
  <c r="G198" i="13"/>
  <c r="G116" i="13"/>
  <c r="G9" i="13"/>
  <c r="G21" i="13"/>
  <c r="G144" i="13"/>
  <c r="G95" i="13"/>
  <c r="G201" i="13"/>
  <c r="G78" i="13"/>
  <c r="G167" i="13"/>
  <c r="G39" i="13"/>
  <c r="G106" i="13"/>
  <c r="G96" i="13"/>
  <c r="G133" i="13"/>
  <c r="G111" i="13"/>
  <c r="G189" i="13"/>
  <c r="G71" i="13"/>
  <c r="G158" i="13"/>
  <c r="G99" i="13"/>
  <c r="G93" i="13"/>
  <c r="G125" i="13"/>
  <c r="G26" i="13"/>
  <c r="G181" i="13"/>
  <c r="G49" i="13"/>
  <c r="G5" i="13"/>
  <c r="G174" i="13"/>
  <c r="G63" i="13"/>
  <c r="G121" i="13"/>
  <c r="G113" i="13"/>
  <c r="G87" i="13"/>
  <c r="G173" i="13"/>
  <c r="G22" i="13"/>
  <c r="G149" i="13"/>
  <c r="G119" i="13"/>
  <c r="G83" i="13"/>
  <c r="G175" i="13"/>
  <c r="G193" i="13"/>
  <c r="G60" i="13"/>
  <c r="G136" i="13"/>
  <c r="G104" i="13"/>
  <c r="G159" i="13"/>
  <c r="G43" i="13"/>
  <c r="G75" i="13"/>
  <c r="G45" i="13"/>
  <c r="G35" i="13"/>
  <c r="G187" i="13"/>
  <c r="G56" i="13"/>
  <c r="G170" i="13"/>
  <c r="G197" i="13"/>
  <c r="G168" i="13"/>
  <c r="G123" i="13"/>
  <c r="G132" i="13"/>
  <c r="G109" i="13"/>
  <c r="G40" i="13"/>
  <c r="G185" i="13"/>
  <c r="G37" i="13"/>
  <c r="G161" i="13"/>
  <c r="G100" i="13"/>
  <c r="G178" i="13"/>
  <c r="G162" i="13"/>
  <c r="G11" i="13"/>
  <c r="G129" i="13"/>
  <c r="G110" i="13"/>
  <c r="G122" i="13"/>
  <c r="G12" i="13"/>
  <c r="G82" i="13"/>
  <c r="G188" i="13"/>
  <c r="G151" i="13"/>
  <c r="G143" i="13"/>
  <c r="G27" i="13"/>
  <c r="G69" i="13"/>
  <c r="G2" i="13"/>
  <c r="G126" i="13"/>
  <c r="G47" i="13"/>
  <c r="G68" i="13"/>
  <c r="G19" i="13"/>
  <c r="G172" i="13"/>
  <c r="G148" i="13"/>
  <c r="G64" i="13"/>
  <c r="G16" i="13"/>
  <c r="G135" i="13"/>
  <c r="G54" i="13"/>
  <c r="G147" i="13"/>
  <c r="G76" i="13"/>
  <c r="G29" i="13"/>
  <c r="G128" i="13"/>
  <c r="G36" i="13"/>
  <c r="G6" i="13"/>
  <c r="G66" i="13"/>
  <c r="G7" i="13"/>
  <c r="G114" i="13"/>
  <c r="G91" i="13"/>
  <c r="G55" i="13"/>
  <c r="G117" i="13"/>
  <c r="G194" i="13"/>
  <c r="G28" i="13"/>
  <c r="G200" i="13"/>
  <c r="G34" i="13"/>
  <c r="G102" i="13"/>
  <c r="G191" i="13"/>
  <c r="G84" i="13"/>
  <c r="G3" i="13"/>
  <c r="G59" i="13"/>
  <c r="G120" i="13"/>
  <c r="G164" i="13"/>
  <c r="G179" i="13"/>
  <c r="G130" i="13"/>
  <c r="G79" i="13"/>
  <c r="G74" i="13"/>
  <c r="G118" i="13"/>
  <c r="G108" i="13"/>
  <c r="G77" i="13"/>
  <c r="G73" i="13"/>
  <c r="G177" i="13"/>
  <c r="G182" i="13"/>
  <c r="G169" i="13"/>
  <c r="G98" i="13"/>
  <c r="G146" i="13"/>
  <c r="G165" i="13"/>
  <c r="G199" i="13"/>
  <c r="G92" i="13"/>
  <c r="G101" i="13"/>
  <c r="G152" i="13"/>
  <c r="G112" i="13"/>
  <c r="G192" i="13"/>
  <c r="G141" i="13"/>
  <c r="G58" i="13"/>
  <c r="G72" i="13"/>
  <c r="G46" i="13"/>
  <c r="C136" i="11"/>
  <c r="D136" i="11" s="1"/>
  <c r="C75" i="11"/>
  <c r="D75" i="11" s="1"/>
  <c r="C226" i="11"/>
  <c r="C340" i="11"/>
  <c r="D340" i="11" s="1"/>
  <c r="C312" i="11"/>
  <c r="C113" i="11"/>
  <c r="D113" i="11" s="1"/>
  <c r="C181" i="11"/>
  <c r="C131" i="11"/>
  <c r="C21" i="11"/>
  <c r="D21" i="11" s="1"/>
  <c r="C122" i="11"/>
  <c r="D122" i="11" s="1"/>
  <c r="C249" i="11"/>
  <c r="D249" i="11" s="1"/>
  <c r="C135" i="11"/>
  <c r="D135" i="11" s="1"/>
  <c r="C108" i="11"/>
  <c r="D108" i="11" s="1"/>
  <c r="C74" i="11"/>
  <c r="D74" i="11" s="1"/>
  <c r="C68" i="11"/>
  <c r="C225" i="11"/>
  <c r="C339" i="11"/>
  <c r="D339" i="11" s="1"/>
  <c r="C311" i="11"/>
  <c r="C112" i="11"/>
  <c r="D112" i="11" s="1"/>
  <c r="C180" i="11"/>
  <c r="C130" i="11"/>
  <c r="D130" i="11" s="1"/>
  <c r="C294" i="11"/>
  <c r="D294" i="11" s="1"/>
  <c r="C281" i="11"/>
  <c r="D281" i="11" s="1"/>
  <c r="C199" i="11"/>
  <c r="D199" i="11" s="1"/>
  <c r="C155" i="11"/>
  <c r="D155" i="11" s="1"/>
  <c r="C20" i="11"/>
  <c r="D20" i="11" s="1"/>
  <c r="C160" i="11"/>
  <c r="D160" i="11" s="1"/>
  <c r="C121" i="11"/>
  <c r="C338" i="11"/>
  <c r="D338" i="11" s="1"/>
  <c r="C57" i="11"/>
  <c r="C298" i="11"/>
  <c r="D298" i="11" s="1"/>
  <c r="C56" i="11"/>
  <c r="D56" i="11" s="1"/>
  <c r="C120" i="11"/>
  <c r="D120" i="11" s="1"/>
  <c r="C248" i="11"/>
  <c r="D248" i="11" s="1"/>
  <c r="C333" i="11"/>
  <c r="D333" i="11" s="1"/>
  <c r="C88" i="11"/>
  <c r="D88" i="11" s="1"/>
  <c r="C91" i="11"/>
  <c r="D91" i="11" s="1"/>
  <c r="C217" i="11"/>
  <c r="D217" i="11" s="1"/>
  <c r="C327" i="11"/>
  <c r="D327" i="11" s="1"/>
  <c r="C134" i="11"/>
  <c r="D134" i="11" s="1"/>
  <c r="C259" i="11"/>
  <c r="C328" i="11"/>
  <c r="D328" i="11" s="1"/>
  <c r="C313" i="11"/>
  <c r="C107" i="11"/>
  <c r="C73" i="11"/>
  <c r="C239" i="11"/>
  <c r="C25" i="11"/>
  <c r="D25" i="11" s="1"/>
  <c r="C67" i="11"/>
  <c r="D67" i="11" s="1"/>
  <c r="C299" i="11"/>
  <c r="D299" i="11" s="1"/>
  <c r="C133" i="11"/>
  <c r="D133" i="11" s="1"/>
  <c r="C198" i="11"/>
  <c r="D198" i="11" s="1"/>
  <c r="C40" i="11"/>
  <c r="D40" i="11" s="1"/>
  <c r="C252" i="11"/>
  <c r="C83" i="11"/>
  <c r="C150" i="11"/>
  <c r="D150" i="11" s="1"/>
  <c r="C79" i="11"/>
  <c r="D79" i="11" s="1"/>
  <c r="C171" i="11"/>
  <c r="D171" i="11" s="1"/>
  <c r="C304" i="11"/>
  <c r="D304" i="11" s="1"/>
  <c r="C191" i="11"/>
  <c r="D191" i="11" s="1"/>
  <c r="C224" i="11"/>
  <c r="D224" i="11" s="1"/>
  <c r="C22" i="11"/>
  <c r="D22" i="11" s="1"/>
  <c r="C19" i="11"/>
  <c r="D19" i="11" s="1"/>
  <c r="C66" i="11"/>
  <c r="C189" i="11"/>
  <c r="C269" i="11"/>
  <c r="D269" i="11" s="1"/>
  <c r="C286" i="11"/>
  <c r="C7" i="11"/>
  <c r="D7" i="11" s="1"/>
  <c r="C98" i="11"/>
  <c r="D98" i="11" s="1"/>
  <c r="C128" i="11"/>
  <c r="D128" i="11" s="1"/>
  <c r="C60" i="11"/>
  <c r="C284" i="11"/>
  <c r="D284" i="11" s="1"/>
  <c r="C33" i="11"/>
  <c r="D33" i="11" s="1"/>
  <c r="C267" i="11"/>
  <c r="D267" i="11" s="1"/>
  <c r="C337" i="11"/>
  <c r="D337" i="11" s="1"/>
  <c r="C290" i="11"/>
  <c r="D290" i="11" s="1"/>
  <c r="C8" i="11"/>
  <c r="D8" i="11" s="1"/>
  <c r="C320" i="11"/>
  <c r="C69" i="11"/>
  <c r="D69" i="11" s="1"/>
  <c r="C157" i="11"/>
  <c r="C336" i="11"/>
  <c r="D336" i="11" s="1"/>
  <c r="C235" i="11"/>
  <c r="D235" i="11" s="1"/>
  <c r="C153" i="11"/>
  <c r="D153" i="11" s="1"/>
  <c r="C310" i="11"/>
  <c r="D310" i="11" s="1"/>
  <c r="C51" i="11"/>
  <c r="D51" i="11" s="1"/>
  <c r="C85" i="11"/>
  <c r="D85" i="11" s="1"/>
  <c r="C90" i="11"/>
  <c r="D90" i="11" s="1"/>
  <c r="C115" i="11"/>
  <c r="C264" i="11"/>
  <c r="D264" i="11" s="1"/>
  <c r="C137" i="11"/>
  <c r="D137" i="11" s="1"/>
  <c r="C48" i="11"/>
  <c r="C44" i="11"/>
  <c r="C104" i="11"/>
  <c r="D104" i="11" s="1"/>
  <c r="C111" i="11"/>
  <c r="D111" i="11" s="1"/>
  <c r="C166" i="11"/>
  <c r="D166" i="11" s="1"/>
  <c r="C146" i="11"/>
  <c r="D146" i="11" s="1"/>
  <c r="C266" i="11"/>
  <c r="D266" i="11" s="1"/>
  <c r="C302" i="11"/>
  <c r="D302" i="11" s="1"/>
  <c r="C106" i="11"/>
  <c r="D106" i="11" s="1"/>
  <c r="C207" i="11"/>
  <c r="D207" i="11" s="1"/>
  <c r="C179" i="11"/>
  <c r="C230" i="11"/>
  <c r="D230" i="11" s="1"/>
  <c r="C288" i="11"/>
  <c r="C255" i="11"/>
  <c r="D255" i="11" s="1"/>
  <c r="C129" i="11"/>
  <c r="D129" i="11" s="1"/>
  <c r="C59" i="11"/>
  <c r="C289" i="11"/>
  <c r="C49" i="11"/>
  <c r="D49" i="11" s="1"/>
  <c r="C117" i="11"/>
  <c r="D117" i="11" s="1"/>
  <c r="C47" i="11"/>
  <c r="D47" i="11" s="1"/>
  <c r="C247" i="11"/>
  <c r="D247" i="11" s="1"/>
  <c r="C213" i="11"/>
  <c r="C127" i="11"/>
  <c r="C97" i="11"/>
  <c r="C208" i="11"/>
  <c r="D208" i="11" s="1"/>
  <c r="C212" i="11"/>
  <c r="C163" i="11"/>
  <c r="D163" i="11" s="1"/>
  <c r="C45" i="11"/>
  <c r="D45" i="11" s="1"/>
  <c r="C293" i="11"/>
  <c r="D293" i="11" s="1"/>
  <c r="C314" i="11"/>
  <c r="D314" i="11" s="1"/>
  <c r="C330" i="11"/>
  <c r="D330" i="11" s="1"/>
  <c r="C32" i="11"/>
  <c r="D32" i="11" s="1"/>
  <c r="C27" i="11"/>
  <c r="D27" i="11" s="1"/>
  <c r="C272" i="11"/>
  <c r="C211" i="11"/>
  <c r="C238" i="11"/>
  <c r="C18" i="11"/>
  <c r="D18" i="11" s="1"/>
  <c r="C50" i="11"/>
  <c r="D50" i="11" s="1"/>
  <c r="C96" i="11"/>
  <c r="D96" i="11" s="1"/>
  <c r="C317" i="11"/>
  <c r="D317" i="11" s="1"/>
  <c r="C13" i="11"/>
  <c r="D13" i="11" s="1"/>
  <c r="C280" i="11"/>
  <c r="D280" i="11" s="1"/>
  <c r="C190" i="11"/>
  <c r="D190" i="11" s="1"/>
  <c r="C197" i="11"/>
  <c r="D197" i="11" s="1"/>
  <c r="C244" i="11"/>
  <c r="D244" i="11" s="1"/>
  <c r="C154" i="11"/>
  <c r="C124" i="11"/>
  <c r="D124" i="11" s="1"/>
  <c r="C14" i="11"/>
  <c r="D14" i="11" s="1"/>
  <c r="C12" i="11"/>
  <c r="D12" i="11" s="1"/>
  <c r="C279" i="11"/>
  <c r="D279" i="11" s="1"/>
  <c r="C78" i="11"/>
  <c r="D78" i="11" s="1"/>
  <c r="C24" i="11"/>
  <c r="C169" i="11"/>
  <c r="D169" i="11" s="1"/>
  <c r="C323" i="11"/>
  <c r="D323" i="11" s="1"/>
  <c r="C245" i="11"/>
  <c r="D245" i="11" s="1"/>
  <c r="C17" i="11"/>
  <c r="D17" i="11" s="1"/>
  <c r="C126" i="11"/>
  <c r="D126" i="11" s="1"/>
  <c r="C93" i="11"/>
  <c r="C29" i="11"/>
  <c r="C278" i="11"/>
  <c r="D278" i="11" s="1"/>
  <c r="C178" i="11"/>
  <c r="C132" i="11"/>
  <c r="C188" i="11"/>
  <c r="D188" i="11" s="1"/>
  <c r="C2" i="11"/>
  <c r="D2" i="11" s="1"/>
  <c r="C38" i="11"/>
  <c r="D38" i="11" s="1"/>
  <c r="C258" i="11"/>
  <c r="D258" i="11" s="1"/>
  <c r="C46" i="11"/>
  <c r="D46" i="11" s="1"/>
  <c r="C110" i="11"/>
  <c r="D110" i="11" s="1"/>
  <c r="C152" i="11"/>
  <c r="D152" i="11" s="1"/>
  <c r="C63" i="11"/>
  <c r="D63" i="11" s="1"/>
  <c r="C332" i="11"/>
  <c r="C9" i="11"/>
  <c r="D9" i="11" s="1"/>
  <c r="C65" i="11"/>
  <c r="D65" i="11" s="1"/>
  <c r="C276" i="11"/>
  <c r="C35" i="11"/>
  <c r="D35" i="11" s="1"/>
  <c r="C172" i="11"/>
  <c r="D172" i="11" s="1"/>
  <c r="C72" i="11"/>
  <c r="D72" i="11" s="1"/>
  <c r="C82" i="11"/>
  <c r="D82" i="11" s="1"/>
  <c r="C52" i="11"/>
  <c r="D52" i="11" s="1"/>
  <c r="C295" i="11"/>
  <c r="D295" i="11" s="1"/>
  <c r="C273" i="11"/>
  <c r="D273" i="11" s="1"/>
  <c r="C251" i="11"/>
  <c r="C143" i="11"/>
  <c r="C174" i="11"/>
  <c r="D174" i="11" s="1"/>
  <c r="C223" i="11"/>
  <c r="D223" i="11" s="1"/>
  <c r="C81" i="11"/>
  <c r="C159" i="11"/>
  <c r="D159" i="11" s="1"/>
  <c r="C193" i="11"/>
  <c r="C209" i="11"/>
  <c r="D209" i="11" s="1"/>
  <c r="C53" i="11"/>
  <c r="D53" i="11" s="1"/>
  <c r="C319" i="11"/>
  <c r="D319" i="11" s="1"/>
  <c r="C325" i="11"/>
  <c r="D325" i="11" s="1"/>
  <c r="C309" i="11"/>
  <c r="D309" i="11" s="1"/>
  <c r="C138" i="11"/>
  <c r="C62" i="11"/>
  <c r="D62" i="11" s="1"/>
  <c r="C183" i="11"/>
  <c r="D183" i="11" s="1"/>
  <c r="C263" i="11"/>
  <c r="C103" i="11"/>
  <c r="D103" i="11" s="1"/>
  <c r="C282" i="11"/>
  <c r="D282" i="11" s="1"/>
  <c r="C206" i="11"/>
  <c r="D206" i="11" s="1"/>
  <c r="C10" i="11"/>
  <c r="D10" i="11" s="1"/>
  <c r="C254" i="11"/>
  <c r="D254" i="11" s="1"/>
  <c r="C148" i="11"/>
  <c r="D148" i="11" s="1"/>
  <c r="C182" i="11"/>
  <c r="D182" i="11" s="1"/>
  <c r="C119" i="11"/>
  <c r="D119" i="11" s="1"/>
  <c r="C185" i="11"/>
  <c r="C260" i="11"/>
  <c r="C216" i="11"/>
  <c r="C219" i="11"/>
  <c r="D219" i="11" s="1"/>
  <c r="C61" i="11"/>
  <c r="D61" i="11" s="1"/>
  <c r="C335" i="11"/>
  <c r="C177" i="11"/>
  <c r="D177" i="11" s="1"/>
  <c r="C76" i="11"/>
  <c r="D76" i="11" s="1"/>
  <c r="C23" i="11"/>
  <c r="D23" i="11" s="1"/>
  <c r="C196" i="11"/>
  <c r="D196" i="11" s="1"/>
  <c r="C28" i="11"/>
  <c r="D28" i="11" s="1"/>
  <c r="C228" i="11"/>
  <c r="D228" i="11" s="1"/>
  <c r="C308" i="11"/>
  <c r="C139" i="11"/>
  <c r="C271" i="11"/>
  <c r="D271" i="11" s="1"/>
  <c r="C315" i="11"/>
  <c r="D315" i="11" s="1"/>
  <c r="C156" i="11"/>
  <c r="C229" i="11"/>
  <c r="C168" i="11"/>
  <c r="D168" i="11" s="1"/>
  <c r="C184" i="11"/>
  <c r="D184" i="11" s="1"/>
  <c r="C77" i="11"/>
  <c r="D77" i="11" s="1"/>
  <c r="C322" i="11"/>
  <c r="D322" i="11" s="1"/>
  <c r="C170" i="11"/>
  <c r="D170" i="11" s="1"/>
  <c r="C37" i="11"/>
  <c r="D37" i="11" s="1"/>
  <c r="C140" i="11"/>
  <c r="D140" i="11" s="1"/>
  <c r="C237" i="11"/>
  <c r="C215" i="11"/>
  <c r="C270" i="11"/>
  <c r="D270" i="11" s="1"/>
  <c r="C95" i="11"/>
  <c r="D95" i="11" s="1"/>
  <c r="C195" i="11"/>
  <c r="D195" i="11" s="1"/>
  <c r="C55" i="11"/>
  <c r="D55" i="11" s="1"/>
  <c r="C285" i="11"/>
  <c r="D285" i="11" s="1"/>
  <c r="C334" i="11"/>
  <c r="D334" i="11" s="1"/>
  <c r="C6" i="11"/>
  <c r="D6" i="11" s="1"/>
  <c r="C291" i="11"/>
  <c r="D291" i="11" s="1"/>
  <c r="C31" i="11"/>
  <c r="D31" i="11" s="1"/>
  <c r="C162" i="11"/>
  <c r="C109" i="11"/>
  <c r="C142" i="11"/>
  <c r="D142" i="11" s="1"/>
  <c r="D4" i="11"/>
  <c r="C301" i="11"/>
  <c r="D301" i="11" s="1"/>
  <c r="C123" i="11"/>
  <c r="D123" i="11" s="1"/>
  <c r="C102" i="11"/>
  <c r="D102" i="11" s="1"/>
  <c r="C92" i="11"/>
  <c r="D92" i="11" s="1"/>
  <c r="C329" i="11"/>
  <c r="D329" i="11" s="1"/>
  <c r="C275" i="11"/>
  <c r="D275" i="11" s="1"/>
  <c r="C151" i="11"/>
  <c r="D151" i="11" s="1"/>
  <c r="C324" i="11"/>
  <c r="D324" i="11" s="1"/>
  <c r="C297" i="11"/>
  <c r="D297" i="11" s="1"/>
  <c r="C205" i="11"/>
  <c r="C164" i="11"/>
  <c r="C283" i="11"/>
  <c r="C173" i="11"/>
  <c r="D173" i="11" s="1"/>
  <c r="C70" i="11"/>
  <c r="D70" i="11" s="1"/>
  <c r="C187" i="11"/>
  <c r="D187" i="11" s="1"/>
  <c r="C5" i="11"/>
  <c r="D5" i="11" s="1"/>
  <c r="C144" i="11"/>
  <c r="D144" i="11" s="1"/>
  <c r="C307" i="11"/>
  <c r="D307" i="11" s="1"/>
  <c r="C125" i="11"/>
  <c r="D125" i="11" s="1"/>
  <c r="C54" i="11"/>
  <c r="D54" i="11" s="1"/>
  <c r="C80" i="11"/>
  <c r="C43" i="11"/>
  <c r="C222" i="11"/>
  <c r="D222" i="11" s="1"/>
  <c r="C118" i="11"/>
  <c r="C15" i="11"/>
  <c r="D15" i="11" s="1"/>
  <c r="C305" i="11"/>
  <c r="D305" i="11" s="1"/>
  <c r="C34" i="11"/>
  <c r="D34" i="11" s="1"/>
  <c r="C316" i="11"/>
  <c r="D316" i="11" s="1"/>
  <c r="C265" i="11"/>
  <c r="D265" i="11" s="1"/>
  <c r="C232" i="11"/>
  <c r="D232" i="11" s="1"/>
  <c r="C42" i="11"/>
  <c r="D42" i="11" s="1"/>
  <c r="C204" i="11"/>
  <c r="D204" i="11" s="1"/>
  <c r="C241" i="11"/>
  <c r="D241" i="11" s="1"/>
  <c r="C240" i="11"/>
  <c r="C84" i="11"/>
  <c r="C287" i="11"/>
  <c r="C175" i="11"/>
  <c r="D175" i="11" s="1"/>
  <c r="C257" i="11"/>
  <c r="D257" i="11" s="1"/>
  <c r="C231" i="11"/>
  <c r="D231" i="11" s="1"/>
  <c r="C141" i="11"/>
  <c r="D141" i="11" s="1"/>
  <c r="C11" i="11"/>
  <c r="D11" i="11" s="1"/>
  <c r="C256" i="11"/>
  <c r="D256" i="11" s="1"/>
  <c r="C202" i="11"/>
  <c r="D202" i="11" s="1"/>
  <c r="C176" i="11"/>
  <c r="D176" i="11" s="1"/>
  <c r="C262" i="11"/>
  <c r="C246" i="11"/>
  <c r="D246" i="11" s="1"/>
  <c r="C149" i="11"/>
  <c r="D149" i="11" s="1"/>
  <c r="C39" i="11"/>
  <c r="D39" i="11" s="1"/>
  <c r="C158" i="11"/>
  <c r="D158" i="11" s="1"/>
  <c r="C268" i="11"/>
  <c r="D268" i="11" s="1"/>
  <c r="C203" i="11"/>
  <c r="D203" i="11" s="1"/>
  <c r="C274" i="11"/>
  <c r="D274" i="11" s="1"/>
  <c r="C331" i="11"/>
  <c r="D331" i="11" s="1"/>
  <c r="C300" i="11"/>
  <c r="D300" i="11" s="1"/>
  <c r="C87" i="11"/>
  <c r="D87" i="11" s="1"/>
  <c r="C221" i="11"/>
  <c r="D221" i="11" s="1"/>
  <c r="C145" i="11"/>
  <c r="C210" i="11"/>
  <c r="C201" i="11"/>
  <c r="D201" i="11" s="1"/>
  <c r="C233" i="11"/>
  <c r="D233" i="11" s="1"/>
  <c r="C147" i="11"/>
  <c r="D147" i="11" s="1"/>
  <c r="C99" i="11"/>
  <c r="D99" i="11" s="1"/>
  <c r="C186" i="11"/>
  <c r="D186" i="11" s="1"/>
  <c r="C58" i="11"/>
  <c r="D58" i="11" s="1"/>
  <c r="C114" i="11"/>
  <c r="D114" i="11" s="1"/>
  <c r="C3" i="11"/>
  <c r="D3" i="11" s="1"/>
  <c r="C236" i="11"/>
  <c r="D236" i="11" s="1"/>
  <c r="C243" i="11"/>
  <c r="D243" i="11" s="1"/>
  <c r="C296" i="11"/>
  <c r="C303" i="11"/>
  <c r="D303" i="11" s="1"/>
  <c r="C30" i="11"/>
  <c r="C100" i="11"/>
  <c r="D100" i="11" s="1"/>
  <c r="C220" i="11"/>
  <c r="D220" i="11" s="1"/>
  <c r="C26" i="11"/>
  <c r="D26" i="11" s="1"/>
  <c r="C16" i="11"/>
  <c r="D16" i="11" s="1"/>
  <c r="C234" i="11"/>
  <c r="D234" i="11" s="1"/>
  <c r="C94" i="11"/>
  <c r="D94" i="11" s="1"/>
  <c r="C253" i="11"/>
  <c r="D253" i="11" s="1"/>
  <c r="C277" i="11"/>
  <c r="D277" i="11" s="1"/>
  <c r="C105" i="11"/>
  <c r="D105" i="11" s="1"/>
  <c r="C64" i="11"/>
  <c r="D64" i="11" s="1"/>
  <c r="C165" i="11"/>
  <c r="C86" i="11"/>
  <c r="D86" i="11" s="1"/>
  <c r="C192" i="11"/>
  <c r="C250" i="11"/>
  <c r="D250" i="11" s="1"/>
  <c r="C306" i="11"/>
  <c r="D306" i="11" s="1"/>
  <c r="C227" i="11"/>
  <c r="D227" i="11" s="1"/>
  <c r="C321" i="11"/>
  <c r="D321" i="11" s="1"/>
  <c r="C167" i="11"/>
  <c r="D167" i="11" s="1"/>
  <c r="C242" i="11"/>
  <c r="D242" i="11" s="1"/>
  <c r="C318" i="11"/>
  <c r="D318" i="11" s="1"/>
  <c r="C36" i="11"/>
  <c r="D36" i="11" s="1"/>
  <c r="C218" i="11"/>
  <c r="D218" i="11" s="1"/>
  <c r="C101" i="11"/>
  <c r="C261" i="11"/>
  <c r="C161" i="11"/>
  <c r="D161" i="11" s="1"/>
  <c r="C194" i="11"/>
  <c r="D194" i="11" s="1"/>
  <c r="C292" i="11"/>
  <c r="D292" i="11" s="1"/>
  <c r="C71" i="11"/>
  <c r="D71" i="11" s="1"/>
  <c r="C41" i="11"/>
  <c r="D41" i="11" s="1"/>
  <c r="C89" i="11"/>
  <c r="D89" i="11" s="1"/>
  <c r="C200" i="11"/>
  <c r="D200" i="11" s="1"/>
  <c r="C116" i="11"/>
  <c r="D116" i="11" s="1"/>
  <c r="C214" i="11"/>
  <c r="D214" i="11" s="1"/>
  <c r="C326" i="11"/>
  <c r="D326" i="11" s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2" i="7"/>
  <c r="H16" i="11" l="1"/>
  <c r="H15" i="11"/>
  <c r="H19" i="11"/>
  <c r="H17" i="11"/>
  <c r="H18" i="11"/>
  <c r="J232" i="22"/>
  <c r="I257" i="22"/>
  <c r="I43" i="22"/>
  <c r="I112" i="22"/>
  <c r="I242" i="22"/>
  <c r="I76" i="22"/>
  <c r="I81" i="22"/>
  <c r="I276" i="22"/>
  <c r="I301" i="22"/>
  <c r="I93" i="22"/>
  <c r="I195" i="22"/>
  <c r="I109" i="22"/>
  <c r="I206" i="22"/>
  <c r="J126" i="22"/>
  <c r="I41" i="22"/>
  <c r="I46" i="22"/>
  <c r="I243" i="22"/>
  <c r="I212" i="22"/>
  <c r="I269" i="22"/>
  <c r="I143" i="22"/>
  <c r="I24" i="22"/>
  <c r="I231" i="22"/>
  <c r="I214" i="22"/>
  <c r="J303" i="22"/>
  <c r="I37" i="22"/>
  <c r="I73" i="22"/>
  <c r="I158" i="22"/>
  <c r="I270" i="22"/>
  <c r="I279" i="22"/>
  <c r="I278" i="22"/>
  <c r="I95" i="22"/>
  <c r="J41" i="22"/>
  <c r="J223" i="22"/>
  <c r="J212" i="22"/>
  <c r="I25" i="22"/>
  <c r="I152" i="22"/>
  <c r="I157" i="22"/>
  <c r="I94" i="22"/>
  <c r="J32" i="22"/>
  <c r="J264" i="22"/>
  <c r="I127" i="22"/>
  <c r="I151" i="22"/>
  <c r="I192" i="22"/>
  <c r="I273" i="22"/>
  <c r="J224" i="22"/>
  <c r="J245" i="22"/>
  <c r="J14" i="22"/>
  <c r="I246" i="22"/>
  <c r="I88" i="22"/>
  <c r="I7" i="22"/>
  <c r="I5" i="22"/>
  <c r="I101" i="22"/>
  <c r="I232" i="22"/>
  <c r="J188" i="22"/>
  <c r="J81" i="22"/>
  <c r="I54" i="22"/>
  <c r="I255" i="22"/>
  <c r="I126" i="22"/>
  <c r="I98" i="22"/>
  <c r="I75" i="22"/>
  <c r="I259" i="22"/>
  <c r="J156" i="22"/>
  <c r="J283" i="22"/>
  <c r="J25" i="22"/>
  <c r="I271" i="22"/>
  <c r="I99" i="22"/>
  <c r="I134" i="22"/>
  <c r="I34" i="22"/>
  <c r="J176" i="22"/>
  <c r="J150" i="22"/>
  <c r="I197" i="22"/>
  <c r="I164" i="22"/>
  <c r="I145" i="22"/>
  <c r="I124" i="22"/>
  <c r="J157" i="22"/>
  <c r="J173" i="22"/>
  <c r="I121" i="22"/>
  <c r="I56" i="22"/>
  <c r="I18" i="22"/>
  <c r="I33" i="22"/>
  <c r="I87" i="22"/>
  <c r="J93" i="22"/>
  <c r="J215" i="22"/>
  <c r="I274" i="22"/>
  <c r="I13" i="22"/>
  <c r="I19" i="22"/>
  <c r="I186" i="22"/>
  <c r="J165" i="22"/>
  <c r="J149" i="22"/>
  <c r="J20" i="22"/>
  <c r="J281" i="22"/>
  <c r="I217" i="22"/>
  <c r="I138" i="22"/>
  <c r="I196" i="22"/>
  <c r="I238" i="22"/>
  <c r="I239" i="22"/>
  <c r="I237" i="22"/>
  <c r="J256" i="22"/>
  <c r="J201" i="22"/>
  <c r="J158" i="22"/>
  <c r="J119" i="22"/>
  <c r="I166" i="22"/>
  <c r="I176" i="22"/>
  <c r="I235" i="22"/>
  <c r="I51" i="22"/>
  <c r="J136" i="22"/>
  <c r="J110" i="22"/>
  <c r="I162" i="22"/>
  <c r="I86" i="22"/>
  <c r="I155" i="22"/>
  <c r="I229" i="22"/>
  <c r="I199" i="22"/>
  <c r="J29" i="22"/>
  <c r="J163" i="22"/>
  <c r="J133" i="22"/>
  <c r="I207" i="22"/>
  <c r="I260" i="22"/>
  <c r="I31" i="22"/>
  <c r="I111" i="22"/>
  <c r="J276" i="22"/>
  <c r="J211" i="22"/>
  <c r="I132" i="22"/>
  <c r="I266" i="22"/>
  <c r="I149" i="22"/>
  <c r="I74" i="22"/>
  <c r="I250" i="22"/>
  <c r="J285" i="22"/>
  <c r="J11" i="22"/>
  <c r="J191" i="22"/>
  <c r="J31" i="22"/>
  <c r="J236" i="22"/>
  <c r="J154" i="22"/>
  <c r="I65" i="22"/>
  <c r="I102" i="22"/>
  <c r="I11" i="22"/>
  <c r="I233" i="22"/>
  <c r="I72" i="22"/>
  <c r="I55" i="22"/>
  <c r="J288" i="22"/>
  <c r="I184" i="22"/>
  <c r="I177" i="22"/>
  <c r="I110" i="22"/>
  <c r="I193" i="22"/>
  <c r="I15" i="22"/>
  <c r="I223" i="22"/>
  <c r="J189" i="22"/>
  <c r="J221" i="22"/>
  <c r="J275" i="22"/>
  <c r="J214" i="22"/>
  <c r="J241" i="22"/>
  <c r="J233" i="22"/>
  <c r="J58" i="22"/>
  <c r="J120" i="22"/>
  <c r="J298" i="22"/>
  <c r="J124" i="22"/>
  <c r="J22" i="22"/>
  <c r="J51" i="22"/>
  <c r="J137" i="22"/>
  <c r="J209" i="22"/>
  <c r="J112" i="22"/>
  <c r="J55" i="22"/>
  <c r="J70" i="22"/>
  <c r="J226" i="22"/>
  <c r="J278" i="22"/>
  <c r="J238" i="22"/>
  <c r="J296" i="22"/>
  <c r="J203" i="22"/>
  <c r="J12" i="22"/>
  <c r="J59" i="22"/>
  <c r="J185" i="22"/>
  <c r="J260" i="22"/>
  <c r="J217" i="22"/>
  <c r="J7" i="22"/>
  <c r="I281" i="22"/>
  <c r="I30" i="22"/>
  <c r="J115" i="22"/>
  <c r="J98" i="22"/>
  <c r="J139" i="22"/>
  <c r="J62" i="22"/>
  <c r="J54" i="22"/>
  <c r="J16" i="22"/>
  <c r="J135" i="22"/>
  <c r="J291" i="22"/>
  <c r="J234" i="22"/>
  <c r="J171" i="22"/>
  <c r="J46" i="22"/>
  <c r="J280" i="22"/>
  <c r="J113" i="22"/>
  <c r="J304" i="22"/>
  <c r="J175" i="22"/>
  <c r="J295" i="22"/>
  <c r="J26" i="22"/>
  <c r="J177" i="22"/>
  <c r="J292" i="22"/>
  <c r="I183" i="22"/>
  <c r="I68" i="22"/>
  <c r="I52" i="22"/>
  <c r="I304" i="22"/>
  <c r="I261" i="22"/>
  <c r="I29" i="22"/>
  <c r="J257" i="22"/>
  <c r="J250" i="22"/>
  <c r="J36" i="22"/>
  <c r="J141" i="22"/>
  <c r="J160" i="22"/>
  <c r="J52" i="22"/>
  <c r="J138" i="22"/>
  <c r="J15" i="22"/>
  <c r="I106" i="22"/>
  <c r="J34" i="22"/>
  <c r="J253" i="22"/>
  <c r="J23" i="22"/>
  <c r="J258" i="22"/>
  <c r="J213" i="22"/>
  <c r="J290" i="22"/>
  <c r="J99" i="22"/>
  <c r="J228" i="22"/>
  <c r="J80" i="22"/>
  <c r="J75" i="22"/>
  <c r="J294" i="22"/>
  <c r="I240" i="22"/>
  <c r="I147" i="22"/>
  <c r="I211" i="22"/>
  <c r="I241" i="22"/>
  <c r="I159" i="22"/>
  <c r="I256" i="22"/>
  <c r="I26" i="22"/>
  <c r="J244" i="22"/>
  <c r="J82" i="22"/>
  <c r="J69" i="22"/>
  <c r="I91" i="22"/>
  <c r="I194" i="22"/>
  <c r="I249" i="22"/>
  <c r="I284" i="22"/>
  <c r="J77" i="22"/>
  <c r="J198" i="22"/>
  <c r="J222" i="22"/>
  <c r="J17" i="22"/>
  <c r="J61" i="22"/>
  <c r="J180" i="22"/>
  <c r="J289" i="22"/>
  <c r="J27" i="22"/>
  <c r="J85" i="22"/>
  <c r="J266" i="22"/>
  <c r="J251" i="22"/>
  <c r="I139" i="22"/>
  <c r="I79" i="22"/>
  <c r="I16" i="22"/>
  <c r="I282" i="22"/>
  <c r="I187" i="22"/>
  <c r="I144" i="22"/>
  <c r="I10" i="22"/>
  <c r="J172" i="22"/>
  <c r="J254" i="22"/>
  <c r="J105" i="22"/>
  <c r="J21" i="22"/>
  <c r="J96" i="22"/>
  <c r="J76" i="22"/>
  <c r="J227" i="22"/>
  <c r="J28" i="22"/>
  <c r="I291" i="22"/>
  <c r="I191" i="22"/>
  <c r="I227" i="22"/>
  <c r="I120" i="22"/>
  <c r="I230" i="22"/>
  <c r="J252" i="22"/>
  <c r="J84" i="22"/>
  <c r="J152" i="22"/>
  <c r="J174" i="22"/>
  <c r="J284" i="22"/>
  <c r="J73" i="22"/>
  <c r="J155" i="22"/>
  <c r="J107" i="22"/>
  <c r="J104" i="22"/>
  <c r="J205" i="22"/>
  <c r="J63" i="22"/>
  <c r="J259" i="22"/>
  <c r="J64" i="22"/>
  <c r="J255" i="22"/>
  <c r="J102" i="22"/>
  <c r="J8" i="22"/>
  <c r="I92" i="22"/>
  <c r="I247" i="22"/>
  <c r="I57" i="22"/>
  <c r="I287" i="22"/>
  <c r="I64" i="22"/>
  <c r="I83" i="22"/>
  <c r="I300" i="22"/>
  <c r="J204" i="22"/>
  <c r="J247" i="22"/>
  <c r="J168" i="22"/>
  <c r="J235" i="22"/>
  <c r="J286" i="22"/>
  <c r="J108" i="22"/>
  <c r="J53" i="22"/>
  <c r="J86" i="22"/>
  <c r="I148" i="22"/>
  <c r="I222" i="22"/>
  <c r="I213" i="22"/>
  <c r="I53" i="22"/>
  <c r="I182" i="22"/>
  <c r="I140" i="22"/>
  <c r="I167" i="22"/>
  <c r="J216" i="22"/>
  <c r="J48" i="22"/>
  <c r="J299" i="22"/>
  <c r="I204" i="22"/>
  <c r="I275" i="22"/>
  <c r="I234" i="22"/>
  <c r="I169" i="22"/>
  <c r="I49" i="22"/>
  <c r="J148" i="22"/>
  <c r="J273" i="22"/>
  <c r="J47" i="22"/>
  <c r="J24" i="22"/>
  <c r="J13" i="22"/>
  <c r="J300" i="22"/>
  <c r="I297" i="22"/>
  <c r="I58" i="22"/>
  <c r="I180" i="22"/>
  <c r="I264" i="22"/>
  <c r="J132" i="22"/>
  <c r="J179" i="22"/>
  <c r="I40" i="22"/>
  <c r="I174" i="22"/>
  <c r="I286" i="22"/>
  <c r="I137" i="22"/>
  <c r="J271" i="22"/>
  <c r="J248" i="22"/>
  <c r="J162" i="22"/>
  <c r="I9" i="22"/>
  <c r="I226" i="22"/>
  <c r="I208" i="22"/>
  <c r="J197" i="22"/>
  <c r="J267" i="22"/>
  <c r="J67" i="22"/>
  <c r="I244" i="22"/>
  <c r="I78" i="22"/>
  <c r="I44" i="22"/>
  <c r="I200" i="22"/>
  <c r="I262" i="22"/>
  <c r="J30" i="22"/>
  <c r="J202" i="22"/>
  <c r="J103" i="22"/>
  <c r="I20" i="22"/>
  <c r="J218" i="22"/>
  <c r="I185" i="22"/>
  <c r="I63" i="22"/>
  <c r="I27" i="22"/>
  <c r="I23" i="22"/>
  <c r="I89" i="22"/>
  <c r="I61" i="22"/>
  <c r="I188" i="22"/>
  <c r="I296" i="22"/>
  <c r="I248" i="22"/>
  <c r="I69" i="22"/>
  <c r="I32" i="22"/>
  <c r="I125" i="22"/>
  <c r="I175" i="22"/>
  <c r="I228" i="22"/>
  <c r="I245" i="22"/>
  <c r="I35" i="22"/>
  <c r="I170" i="22"/>
  <c r="I42" i="22"/>
  <c r="J140" i="22"/>
  <c r="J18" i="22"/>
  <c r="J161" i="22"/>
  <c r="J220" i="22"/>
  <c r="J153" i="22"/>
  <c r="J219" i="22"/>
  <c r="I66" i="22"/>
  <c r="I129" i="22"/>
  <c r="I12" i="22"/>
  <c r="I45" i="22"/>
  <c r="I14" i="22"/>
  <c r="I302" i="22"/>
  <c r="I117" i="22"/>
  <c r="I280" i="22"/>
  <c r="I153" i="22"/>
  <c r="I105" i="22"/>
  <c r="I299" i="22"/>
  <c r="I172" i="22"/>
  <c r="I130" i="22"/>
  <c r="I251" i="22"/>
  <c r="I288" i="22"/>
  <c r="I38" i="22"/>
  <c r="I90" i="22"/>
  <c r="I59" i="22"/>
  <c r="I6" i="22"/>
  <c r="I203" i="22"/>
  <c r="I293" i="22"/>
  <c r="I190" i="22"/>
  <c r="I283" i="22"/>
  <c r="I290" i="22"/>
  <c r="I21" i="22"/>
  <c r="I60" i="22"/>
  <c r="I84" i="22"/>
  <c r="I119" i="22"/>
  <c r="I263" i="22"/>
  <c r="I236" i="22"/>
  <c r="I103" i="22"/>
  <c r="I100" i="22"/>
  <c r="J265" i="22"/>
  <c r="J109" i="22"/>
  <c r="J229" i="22"/>
  <c r="J178" i="22"/>
  <c r="J302" i="22"/>
  <c r="J6" i="22"/>
  <c r="J114" i="22"/>
  <c r="J169" i="22"/>
  <c r="J243" i="22"/>
  <c r="J277" i="22"/>
  <c r="J193" i="22"/>
  <c r="J167" i="22"/>
  <c r="J181" i="22"/>
  <c r="J19" i="22"/>
  <c r="J79" i="22"/>
  <c r="J116" i="22"/>
  <c r="J42" i="22"/>
  <c r="J270" i="22"/>
  <c r="J106" i="22"/>
  <c r="J207" i="22"/>
  <c r="J101" i="22"/>
  <c r="J240" i="22"/>
  <c r="J239" i="22"/>
  <c r="J88" i="22"/>
  <c r="J231" i="22"/>
  <c r="J147" i="22"/>
  <c r="J33" i="22"/>
  <c r="J166" i="22"/>
  <c r="J35" i="22"/>
  <c r="J57" i="22"/>
  <c r="J72" i="22"/>
  <c r="J287" i="22"/>
  <c r="J190" i="22"/>
  <c r="J122" i="22"/>
  <c r="J196" i="22"/>
  <c r="J143" i="22"/>
  <c r="J5" i="22"/>
  <c r="J151" i="22"/>
  <c r="J90" i="22"/>
  <c r="J39" i="22"/>
  <c r="J144" i="22"/>
  <c r="K144" i="22" s="1"/>
  <c r="J78" i="22"/>
  <c r="J10" i="22"/>
  <c r="I154" i="22"/>
  <c r="I219" i="22"/>
  <c r="I67" i="22"/>
  <c r="I198" i="22"/>
  <c r="I116" i="22"/>
  <c r="I254" i="22"/>
  <c r="I218" i="22"/>
  <c r="I258" i="22"/>
  <c r="I181" i="22"/>
  <c r="I205" i="22"/>
  <c r="I47" i="22"/>
  <c r="I202" i="22"/>
  <c r="I277" i="22"/>
  <c r="I163" i="22"/>
  <c r="I108" i="22"/>
  <c r="I161" i="22"/>
  <c r="I114" i="22"/>
  <c r="I303" i="22"/>
  <c r="I136" i="22"/>
  <c r="I85" i="22"/>
  <c r="I178" i="22"/>
  <c r="I28" i="22"/>
  <c r="I285" i="22"/>
  <c r="I294" i="22"/>
  <c r="I265" i="22"/>
  <c r="J237" i="22"/>
  <c r="J100" i="22"/>
  <c r="J111" i="22"/>
  <c r="J92" i="22"/>
  <c r="J206" i="22"/>
  <c r="J263" i="22"/>
  <c r="J95" i="22"/>
  <c r="J56" i="22"/>
  <c r="J145" i="22"/>
  <c r="J60" i="22"/>
  <c r="J43" i="22"/>
  <c r="J194" i="22"/>
  <c r="J74" i="22"/>
  <c r="J301" i="22"/>
  <c r="J184" i="22"/>
  <c r="J66" i="22"/>
  <c r="J121" i="22"/>
  <c r="J44" i="22"/>
  <c r="J159" i="22"/>
  <c r="J37" i="22"/>
  <c r="J261" i="22"/>
  <c r="J117" i="22"/>
  <c r="J49" i="22"/>
  <c r="J195" i="22"/>
  <c r="J230" i="22"/>
  <c r="I115" i="22"/>
  <c r="I123" i="22"/>
  <c r="I150" i="22"/>
  <c r="I216" i="22"/>
  <c r="I62" i="22"/>
  <c r="I142" i="22"/>
  <c r="I215" i="22"/>
  <c r="I104" i="22"/>
  <c r="I135" i="22"/>
  <c r="I50" i="22"/>
  <c r="I220" i="22"/>
  <c r="I267" i="22"/>
  <c r="I171" i="22"/>
  <c r="I118" i="22"/>
  <c r="I289" i="22"/>
  <c r="I201" i="22"/>
  <c r="I113" i="22"/>
  <c r="I268" i="22"/>
  <c r="I80" i="22"/>
  <c r="I48" i="22"/>
  <c r="I295" i="22"/>
  <c r="I97" i="22"/>
  <c r="I224" i="22"/>
  <c r="I8" i="22"/>
  <c r="I292" i="22"/>
  <c r="J186" i="22"/>
  <c r="J269" i="22"/>
  <c r="J146" i="22"/>
  <c r="J91" i="22"/>
  <c r="J262" i="22"/>
  <c r="J183" i="22"/>
  <c r="J210" i="22"/>
  <c r="J89" i="22"/>
  <c r="J134" i="22"/>
  <c r="J68" i="22"/>
  <c r="J272" i="22"/>
  <c r="J282" i="22"/>
  <c r="J192" i="22"/>
  <c r="J187" i="22"/>
  <c r="J164" i="22"/>
  <c r="J293" i="22"/>
  <c r="J225" i="22"/>
  <c r="J9" i="22"/>
  <c r="J274" i="22"/>
  <c r="J279" i="22"/>
  <c r="J83" i="22"/>
  <c r="J38" i="22"/>
  <c r="J71" i="22"/>
  <c r="J40" i="22"/>
  <c r="J297" i="22"/>
  <c r="I189" i="22"/>
  <c r="I22" i="22"/>
  <c r="I253" i="22"/>
  <c r="I252" i="22"/>
  <c r="I221" i="22"/>
  <c r="I209" i="22"/>
  <c r="I173" i="22"/>
  <c r="I168" i="22"/>
  <c r="I36" i="22"/>
  <c r="I70" i="22"/>
  <c r="I128" i="22"/>
  <c r="I298" i="22"/>
  <c r="I71" i="22"/>
  <c r="I39" i="22"/>
  <c r="I165" i="22"/>
  <c r="I82" i="22"/>
  <c r="I156" i="22"/>
  <c r="I225" i="22"/>
  <c r="I122" i="22"/>
  <c r="I160" i="22"/>
  <c r="K160" i="22" s="1"/>
  <c r="I96" i="22"/>
  <c r="I141" i="22"/>
  <c r="I272" i="22"/>
  <c r="I133" i="22"/>
  <c r="I17" i="22"/>
  <c r="I210" i="22"/>
  <c r="I107" i="22"/>
  <c r="I179" i="22"/>
  <c r="I146" i="22"/>
  <c r="I77" i="22"/>
  <c r="J65" i="22"/>
  <c r="J125" i="22"/>
  <c r="J97" i="22"/>
  <c r="J182" i="22"/>
  <c r="J45" i="22"/>
  <c r="J268" i="22"/>
  <c r="J246" i="22"/>
  <c r="J249" i="22"/>
  <c r="J118" i="22"/>
  <c r="J199" i="22"/>
  <c r="J200" i="22"/>
  <c r="J50" i="22"/>
  <c r="J242" i="22"/>
  <c r="J170" i="22"/>
  <c r="J142" i="22"/>
  <c r="J208" i="22"/>
  <c r="J94" i="22"/>
  <c r="J123" i="22"/>
  <c r="J87" i="22"/>
  <c r="C201" i="27"/>
  <c r="C200" i="27"/>
  <c r="C199" i="27"/>
  <c r="C37" i="27"/>
  <c r="C181" i="27"/>
  <c r="C145" i="27"/>
  <c r="C109" i="27"/>
  <c r="C29" i="27"/>
  <c r="C195" i="27"/>
  <c r="C183" i="27"/>
  <c r="C171" i="27"/>
  <c r="C159" i="27"/>
  <c r="C147" i="27"/>
  <c r="C135" i="27"/>
  <c r="C123" i="27"/>
  <c r="C111" i="27"/>
  <c r="C99" i="27"/>
  <c r="C87" i="27"/>
  <c r="C75" i="27"/>
  <c r="C63" i="27"/>
  <c r="C51" i="27"/>
  <c r="C39" i="27"/>
  <c r="C27" i="27"/>
  <c r="C15" i="27"/>
  <c r="C3" i="27"/>
  <c r="C182" i="27"/>
  <c r="C162" i="27"/>
  <c r="C150" i="27"/>
  <c r="C114" i="27"/>
  <c r="C102" i="27"/>
  <c r="C90" i="27"/>
  <c r="C78" i="27"/>
  <c r="C18" i="27"/>
  <c r="C61" i="27"/>
  <c r="C196" i="27"/>
  <c r="C184" i="27"/>
  <c r="C172" i="27"/>
  <c r="C160" i="27"/>
  <c r="C148" i="27"/>
  <c r="C136" i="27"/>
  <c r="C124" i="27"/>
  <c r="C112" i="27"/>
  <c r="C100" i="27"/>
  <c r="C88" i="27"/>
  <c r="C76" i="27"/>
  <c r="C64" i="27"/>
  <c r="C52" i="27"/>
  <c r="C35" i="27"/>
  <c r="C24" i="27"/>
  <c r="C16" i="27"/>
  <c r="C4" i="27"/>
  <c r="C190" i="27"/>
  <c r="C178" i="27"/>
  <c r="C166" i="27"/>
  <c r="C154" i="27"/>
  <c r="C142" i="27"/>
  <c r="C130" i="27"/>
  <c r="C118" i="27"/>
  <c r="C106" i="27"/>
  <c r="C94" i="27"/>
  <c r="C82" i="27"/>
  <c r="C70" i="27"/>
  <c r="C58" i="27"/>
  <c r="C45" i="27"/>
  <c r="C33" i="27"/>
  <c r="C21" i="27"/>
  <c r="C10" i="27"/>
  <c r="C54" i="27"/>
  <c r="C41" i="27"/>
  <c r="C189" i="27"/>
  <c r="C177" i="27"/>
  <c r="C165" i="27"/>
  <c r="C153" i="27"/>
  <c r="C141" i="27"/>
  <c r="C129" i="27"/>
  <c r="C117" i="27"/>
  <c r="C105" i="27"/>
  <c r="C93" i="27"/>
  <c r="C81" i="27"/>
  <c r="C69" i="27"/>
  <c r="C57" i="27"/>
  <c r="C44" i="27"/>
  <c r="C32" i="27"/>
  <c r="C9" i="27"/>
  <c r="C66" i="27"/>
  <c r="C53" i="27"/>
  <c r="C188" i="27"/>
  <c r="C176" i="27"/>
  <c r="C164" i="27"/>
  <c r="C152" i="27"/>
  <c r="C140" i="27"/>
  <c r="C128" i="27"/>
  <c r="C116" i="27"/>
  <c r="C104" i="27"/>
  <c r="C92" i="27"/>
  <c r="C80" i="27"/>
  <c r="C68" i="27"/>
  <c r="C56" i="27"/>
  <c r="C19" i="27"/>
  <c r="C8" i="27"/>
  <c r="C174" i="27"/>
  <c r="C126" i="27"/>
  <c r="C25" i="27"/>
  <c r="C193" i="27"/>
  <c r="C157" i="27"/>
  <c r="C121" i="27"/>
  <c r="C85" i="27"/>
  <c r="C13" i="27"/>
  <c r="C187" i="27"/>
  <c r="C175" i="27"/>
  <c r="C163" i="27"/>
  <c r="C151" i="27"/>
  <c r="C139" i="27"/>
  <c r="C127" i="27"/>
  <c r="C115" i="27"/>
  <c r="C103" i="27"/>
  <c r="C91" i="27"/>
  <c r="C79" i="27"/>
  <c r="C67" i="27"/>
  <c r="C55" i="27"/>
  <c r="C43" i="27"/>
  <c r="C31" i="27"/>
  <c r="C7" i="27"/>
  <c r="C50" i="27"/>
  <c r="C198" i="27"/>
  <c r="C138" i="27"/>
  <c r="C6" i="27"/>
  <c r="C169" i="27"/>
  <c r="C133" i="27"/>
  <c r="C97" i="27"/>
  <c r="C73" i="27"/>
  <c r="C5" i="27"/>
  <c r="C38" i="27"/>
  <c r="C194" i="27"/>
  <c r="C170" i="27"/>
  <c r="C158" i="27"/>
  <c r="C146" i="27"/>
  <c r="C134" i="27"/>
  <c r="C122" i="27"/>
  <c r="C110" i="27"/>
  <c r="C98" i="27"/>
  <c r="C86" i="27"/>
  <c r="C74" i="27"/>
  <c r="C62" i="27"/>
  <c r="C14" i="27"/>
  <c r="C49" i="27"/>
  <c r="C192" i="27"/>
  <c r="C180" i="27"/>
  <c r="C168" i="27"/>
  <c r="C156" i="27"/>
  <c r="C144" i="27"/>
  <c r="C132" i="27"/>
  <c r="C120" i="27"/>
  <c r="C108" i="27"/>
  <c r="C96" i="27"/>
  <c r="C84" i="27"/>
  <c r="C72" i="27"/>
  <c r="C60" i="27"/>
  <c r="C48" i="27"/>
  <c r="C12" i="27"/>
  <c r="C191" i="27"/>
  <c r="C167" i="27"/>
  <c r="C143" i="27"/>
  <c r="C119" i="27"/>
  <c r="C95" i="27"/>
  <c r="C71" i="27"/>
  <c r="C59" i="27"/>
  <c r="C11" i="27"/>
  <c r="C22" i="27"/>
  <c r="C186" i="27"/>
  <c r="C42" i="27"/>
  <c r="C30" i="27"/>
  <c r="C36" i="27"/>
  <c r="C47" i="27"/>
  <c r="C46" i="27"/>
  <c r="C197" i="27"/>
  <c r="C185" i="27"/>
  <c r="C173" i="27"/>
  <c r="C161" i="27"/>
  <c r="C149" i="27"/>
  <c r="C137" i="27"/>
  <c r="C125" i="27"/>
  <c r="C113" i="27"/>
  <c r="C101" i="27"/>
  <c r="C89" i="27"/>
  <c r="C77" i="27"/>
  <c r="C65" i="27"/>
  <c r="C17" i="27"/>
  <c r="C26" i="27"/>
  <c r="C179" i="27"/>
  <c r="C155" i="27"/>
  <c r="C131" i="27"/>
  <c r="C107" i="27"/>
  <c r="C83" i="27"/>
  <c r="C23" i="27"/>
  <c r="C2" i="27"/>
  <c r="C20" i="27"/>
  <c r="C40" i="27"/>
  <c r="C28" i="27"/>
  <c r="C34" i="27"/>
  <c r="K201" i="22" l="1"/>
  <c r="K73" i="22"/>
  <c r="K7" i="22"/>
  <c r="K148" i="22"/>
  <c r="K120" i="22"/>
  <c r="K69" i="22"/>
  <c r="K189" i="22"/>
  <c r="K123" i="22"/>
  <c r="K159" i="22"/>
  <c r="K46" i="22"/>
  <c r="K165" i="22"/>
  <c r="K253" i="22"/>
  <c r="K292" i="22"/>
  <c r="K27" i="22"/>
  <c r="K289" i="22"/>
  <c r="K88" i="22"/>
  <c r="K76" i="22"/>
  <c r="K114" i="22"/>
  <c r="K13" i="22"/>
  <c r="K167" i="22"/>
  <c r="K8" i="22"/>
  <c r="K171" i="22"/>
  <c r="K72" i="22"/>
  <c r="K149" i="22"/>
  <c r="K158" i="22"/>
  <c r="K97" i="22"/>
  <c r="K271" i="22"/>
  <c r="K60" i="22"/>
  <c r="K34" i="22"/>
  <c r="K265" i="22"/>
  <c r="K168" i="22"/>
  <c r="K190" i="22"/>
  <c r="K23" i="22"/>
  <c r="K278" i="22"/>
  <c r="K266" i="22"/>
  <c r="K195" i="22"/>
  <c r="K65" i="22"/>
  <c r="K89" i="22"/>
  <c r="K78" i="22"/>
  <c r="K10" i="22"/>
  <c r="K12" i="22"/>
  <c r="K162" i="22"/>
  <c r="K261" i="22"/>
  <c r="K36" i="22"/>
  <c r="K203" i="22"/>
  <c r="K124" i="22"/>
  <c r="K135" i="22"/>
  <c r="K22" i="22"/>
  <c r="K209" i="22"/>
  <c r="K200" i="22"/>
  <c r="K156" i="22"/>
  <c r="K39" i="22"/>
  <c r="K166" i="22"/>
  <c r="K219" i="22"/>
  <c r="K125" i="22"/>
  <c r="K132" i="22"/>
  <c r="K187" i="22"/>
  <c r="K256" i="22"/>
  <c r="K150" i="22"/>
  <c r="K269" i="22"/>
  <c r="K173" i="22"/>
  <c r="K279" i="22"/>
  <c r="K57" i="22"/>
  <c r="K67" i="22"/>
  <c r="K221" i="22"/>
  <c r="K80" i="22"/>
  <c r="K82" i="22"/>
  <c r="K252" i="22"/>
  <c r="K262" i="22"/>
  <c r="K142" i="22"/>
  <c r="K90" i="22"/>
  <c r="K229" i="22"/>
  <c r="K32" i="22"/>
  <c r="K257" i="22"/>
  <c r="K260" i="22"/>
  <c r="K138" i="22"/>
  <c r="K255" i="22"/>
  <c r="K249" i="22"/>
  <c r="K216" i="22"/>
  <c r="K70" i="22"/>
  <c r="K299" i="22"/>
  <c r="K304" i="22"/>
  <c r="K151" i="22"/>
  <c r="K103" i="22"/>
  <c r="K207" i="22"/>
  <c r="K235" i="22"/>
  <c r="K240" i="22"/>
  <c r="K84" i="22"/>
  <c r="K29" i="22"/>
  <c r="K85" i="22"/>
  <c r="K52" i="22"/>
  <c r="K137" i="22"/>
  <c r="K238" i="22"/>
  <c r="K53" i="22"/>
  <c r="K241" i="22"/>
  <c r="K248" i="22"/>
  <c r="K101" i="22"/>
  <c r="K63" i="22"/>
  <c r="K295" i="22"/>
  <c r="K222" i="22"/>
  <c r="K258" i="22"/>
  <c r="K28" i="22"/>
  <c r="K196" i="22"/>
  <c r="K225" i="22"/>
  <c r="K268" i="22"/>
  <c r="K122" i="22"/>
  <c r="K152" i="22"/>
  <c r="K205" i="22"/>
  <c r="K178" i="22"/>
  <c r="K20" i="22"/>
  <c r="K102" i="22"/>
  <c r="K109" i="22"/>
  <c r="K298" i="22"/>
  <c r="K110" i="22"/>
  <c r="K98" i="22"/>
  <c r="K286" i="22"/>
  <c r="K117" i="22"/>
  <c r="K155" i="22"/>
  <c r="K24" i="22"/>
  <c r="K94" i="22"/>
  <c r="K157" i="22"/>
  <c r="K218" i="22"/>
  <c r="K244" i="22"/>
  <c r="K283" i="22"/>
  <c r="K77" i="22"/>
  <c r="K188" i="22"/>
  <c r="K106" i="22"/>
  <c r="K43" i="22"/>
  <c r="K230" i="22"/>
  <c r="K204" i="22"/>
  <c r="K186" i="22"/>
  <c r="K192" i="22"/>
  <c r="K297" i="22"/>
  <c r="K234" i="22"/>
  <c r="K177" i="22"/>
  <c r="K50" i="22"/>
  <c r="K113" i="22"/>
  <c r="K211" i="22"/>
  <c r="K133" i="22"/>
  <c r="K95" i="22"/>
  <c r="K16" i="22"/>
  <c r="K251" i="22"/>
  <c r="K15" i="22"/>
  <c r="K38" i="22"/>
  <c r="K182" i="22"/>
  <c r="K217" i="22"/>
  <c r="K287" i="22"/>
  <c r="K272" i="22"/>
  <c r="K243" i="22"/>
  <c r="K180" i="22"/>
  <c r="K61" i="22"/>
  <c r="K118" i="22"/>
  <c r="K93" i="22"/>
  <c r="K232" i="22"/>
  <c r="K194" i="22"/>
  <c r="K212" i="22"/>
  <c r="K303" i="22"/>
  <c r="K169" i="22"/>
  <c r="K237" i="22"/>
  <c r="K198" i="22"/>
  <c r="K191" i="22"/>
  <c r="K224" i="22"/>
  <c r="K79" i="22"/>
  <c r="K6" i="22"/>
  <c r="K54" i="22"/>
  <c r="K45" i="22"/>
  <c r="K294" i="22"/>
  <c r="K236" i="22"/>
  <c r="K176" i="22"/>
  <c r="K231" i="22"/>
  <c r="K14" i="22"/>
  <c r="K228" i="22"/>
  <c r="K239" i="22"/>
  <c r="K100" i="22"/>
  <c r="K301" i="22"/>
  <c r="K213" i="22"/>
  <c r="K115" i="22"/>
  <c r="K91" i="22"/>
  <c r="K293" i="22"/>
  <c r="K281" i="22"/>
  <c r="K99" i="22"/>
  <c r="K116" i="22"/>
  <c r="K254" i="22"/>
  <c r="K30" i="22"/>
  <c r="K276" i="22"/>
  <c r="K134" i="22"/>
  <c r="K242" i="22"/>
  <c r="K226" i="22"/>
  <c r="K193" i="22"/>
  <c r="K145" i="22"/>
  <c r="K49" i="22"/>
  <c r="K300" i="22"/>
  <c r="K282" i="22"/>
  <c r="K223" i="22"/>
  <c r="K199" i="22"/>
  <c r="K64" i="22"/>
  <c r="K55" i="22"/>
  <c r="K296" i="22"/>
  <c r="K42" i="22"/>
  <c r="K74" i="22"/>
  <c r="K275" i="22"/>
  <c r="K172" i="22"/>
  <c r="K35" i="22"/>
  <c r="K107" i="22"/>
  <c r="K227" i="22"/>
  <c r="K111" i="22"/>
  <c r="K184" i="22"/>
  <c r="K141" i="22"/>
  <c r="K277" i="22"/>
  <c r="K62" i="22"/>
  <c r="K139" i="22"/>
  <c r="K280" i="22"/>
  <c r="K181" i="22"/>
  <c r="K44" i="22"/>
  <c r="K75" i="22"/>
  <c r="K83" i="22"/>
  <c r="K175" i="22"/>
  <c r="K288" i="22"/>
  <c r="K214" i="22"/>
  <c r="K37" i="22"/>
  <c r="K68" i="22"/>
  <c r="K71" i="22"/>
  <c r="K140" i="22"/>
  <c r="K179" i="22"/>
  <c r="K5" i="22"/>
  <c r="K87" i="22"/>
  <c r="K154" i="22"/>
  <c r="K264" i="22"/>
  <c r="K51" i="22"/>
  <c r="K164" i="22"/>
  <c r="K250" i="22"/>
  <c r="K58" i="22"/>
  <c r="K273" i="22"/>
  <c r="K11" i="22"/>
  <c r="K147" i="22"/>
  <c r="K92" i="22"/>
  <c r="K66" i="22"/>
  <c r="K245" i="22"/>
  <c r="K108" i="22"/>
  <c r="K215" i="22"/>
  <c r="K183" i="22"/>
  <c r="K9" i="22"/>
  <c r="K208" i="22"/>
  <c r="K246" i="22"/>
  <c r="K21" i="22"/>
  <c r="K161" i="22"/>
  <c r="K47" i="22"/>
  <c r="K291" i="22"/>
  <c r="K25" i="22"/>
  <c r="K263" i="22"/>
  <c r="K153" i="22"/>
  <c r="K41" i="22"/>
  <c r="K290" i="22"/>
  <c r="K284" i="22"/>
  <c r="K56" i="22"/>
  <c r="K104" i="22"/>
  <c r="K96" i="22"/>
  <c r="K86" i="22"/>
  <c r="K267" i="22"/>
  <c r="K270" i="22"/>
  <c r="K40" i="22"/>
  <c r="K126" i="22"/>
  <c r="K202" i="22"/>
  <c r="K119" i="22"/>
  <c r="K146" i="22"/>
  <c r="K48" i="22"/>
  <c r="K170" i="22"/>
  <c r="K17" i="22"/>
  <c r="K18" i="22"/>
  <c r="K105" i="22"/>
  <c r="K185" i="22"/>
  <c r="K81" i="22"/>
  <c r="K197" i="22"/>
  <c r="K31" i="22"/>
  <c r="K26" i="22"/>
  <c r="K112" i="22"/>
  <c r="K59" i="22"/>
  <c r="K143" i="22"/>
  <c r="K19" i="22"/>
  <c r="K302" i="22"/>
  <c r="K33" i="22"/>
  <c r="K206" i="22"/>
  <c r="K121" i="22"/>
  <c r="K233" i="22"/>
  <c r="K136" i="22"/>
  <c r="K220" i="22"/>
  <c r="K210" i="22"/>
  <c r="K274" i="22"/>
  <c r="K247" i="22"/>
  <c r="K174" i="22"/>
  <c r="K259" i="22"/>
  <c r="K285" i="22"/>
  <c r="K163" i="22"/>
</calcChain>
</file>

<file path=xl/sharedStrings.xml><?xml version="1.0" encoding="utf-8"?>
<sst xmlns="http://schemas.openxmlformats.org/spreadsheetml/2006/main" count="6094" uniqueCount="742">
  <si>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</si>
  <si>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</si>
  <si>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</si>
  <si>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</si>
  <si>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</si>
  <si>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</si>
  <si>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</si>
  <si>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</si>
  <si>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</si>
  <si>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</si>
  <si>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</si>
  <si>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</si>
  <si>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</si>
  <si>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</si>
  <si>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</si>
  <si>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</si>
  <si>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</si>
  <si>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SummerSplash</t>
  </si>
  <si>
    <t>P002</t>
  </si>
  <si>
    <t>2025-04-03</t>
  </si>
  <si>
    <t>Text</t>
  </si>
  <si>
    <t>FestiveRadiance</t>
  </si>
  <si>
    <t>P003</t>
  </si>
  <si>
    <t>YouTube</t>
  </si>
  <si>
    <t>2025-05-12</t>
  </si>
  <si>
    <t>Check out our latest reel on youtube!</t>
  </si>
  <si>
    <t>#PepsiCoRefresh</t>
  </si>
  <si>
    <t>NewYearRefresh</t>
  </si>
  <si>
    <t>P004</t>
  </si>
  <si>
    <t>Instagram</t>
  </si>
  <si>
    <t>2024-08-12</t>
  </si>
  <si>
    <t>Story</t>
  </si>
  <si>
    <t>Check out our latest story on instagram!</t>
  </si>
  <si>
    <t>#ThirstyForMore</t>
  </si>
  <si>
    <t>DailyWellness</t>
  </si>
  <si>
    <t>P005</t>
  </si>
  <si>
    <t>2024-06-26</t>
  </si>
  <si>
    <t>#ThirstyForMore,#PepsiCoRefresh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</si>
  <si>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</si>
  <si>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</si>
  <si>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</si>
  <si>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</si>
  <si>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</si>
  <si>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</si>
  <si>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</si>
  <si>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</si>
  <si>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</si>
  <si>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</si>
  <si>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</si>
  <si>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</si>
  <si>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</si>
  <si>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</si>
  <si>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</si>
  <si>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</si>
  <si>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</si>
  <si>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</si>
  <si>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</si>
  <si>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#LiveForNow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</si>
  <si>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</si>
  <si>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</si>
  <si>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</si>
  <si>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</si>
  <si>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</si>
  <si>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</si>
  <si>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</si>
  <si>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</si>
  <si>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</si>
  <si>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</si>
  <si>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</si>
  <si>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</si>
  <si>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</si>
  <si>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</si>
  <si>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</si>
  <si>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</si>
  <si>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</si>
  <si>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</si>
  <si>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</si>
  <si>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</si>
  <si>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</si>
  <si>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</si>
  <si>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</si>
  <si>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</si>
  <si>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</si>
  <si>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</si>
  <si>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</si>
  <si>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</si>
  <si>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</si>
  <si>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</si>
  <si>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</si>
  <si>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</si>
  <si>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</si>
  <si>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</si>
  <si>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</si>
  <si>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</si>
  <si>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</si>
  <si>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</si>
  <si>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</si>
  <si>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</si>
  <si>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</si>
  <si>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</si>
  <si>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</si>
  <si>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</si>
  <si>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</si>
  <si>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</si>
  <si>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</si>
  <si>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</si>
  <si>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</si>
  <si>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</si>
  <si>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</si>
  <si>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</si>
  <si>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</si>
  <si>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</si>
  <si>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</si>
  <si>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</si>
  <si>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</si>
  <si>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</si>
  <si>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</si>
  <si>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</si>
  <si>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</si>
  <si>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</si>
  <si>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</si>
  <si>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</si>
  <si>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</si>
  <si>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</si>
  <si>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</si>
  <si>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</si>
  <si>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</si>
  <si>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</si>
  <si>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</si>
  <si>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</si>
  <si>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</si>
  <si>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</si>
  <si>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</si>
  <si>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</si>
  <si>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</si>
  <si>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</si>
  <si>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</si>
  <si>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</si>
  <si>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P047</t>
  </si>
  <si>
    <t>2025-02-24</t>
  </si>
  <si>
    <t>P048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</si>
  <si>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</si>
  <si>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</si>
  <si>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</si>
  <si>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</si>
  <si>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</si>
  <si>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</si>
  <si>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</si>
  <si>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</si>
  <si>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</si>
  <si>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</si>
  <si>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</si>
  <si>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</si>
  <si>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</si>
  <si>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</si>
  <si>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</si>
  <si>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</si>
  <si>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</si>
  <si>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</si>
  <si>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</si>
  <si>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</si>
  <si>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</si>
  <si>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</si>
  <si>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</si>
  <si>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</si>
  <si>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</si>
  <si>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</si>
  <si>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</si>
  <si>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</si>
  <si>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</si>
  <si>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</si>
  <si>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</si>
  <si>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</si>
  <si>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</si>
  <si>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</si>
  <si>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</si>
  <si>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</si>
  <si>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</si>
  <si>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</si>
  <si>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</si>
  <si>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</si>
  <si>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</si>
  <si>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</si>
  <si>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</si>
  <si>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</si>
  <si>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</si>
  <si>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</si>
  <si>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</si>
  <si>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</si>
  <si>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</si>
  <si>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</si>
  <si>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</si>
  <si>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</si>
  <si>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</si>
  <si>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</si>
  <si>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</si>
  <si>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</si>
  <si>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</si>
  <si>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</si>
  <si>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</si>
  <si>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</si>
  <si>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</si>
  <si>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</si>
  <si>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</si>
  <si>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</si>
  <si>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</si>
  <si>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</si>
  <si>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</si>
  <si>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</si>
  <si>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</si>
  <si>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</si>
  <si>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</si>
  <si>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</si>
  <si>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</si>
  <si>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</si>
  <si>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</si>
  <si>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</si>
  <si>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</si>
  <si>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</si>
  <si>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</si>
  <si>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</si>
  <si>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</si>
  <si>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</si>
  <si>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</si>
  <si>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</si>
  <si>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</si>
  <si>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</si>
  <si>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</si>
  <si>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</si>
  <si>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</si>
  <si>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</si>
  <si>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</si>
  <si>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</si>
  <si>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</si>
  <si>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</si>
  <si>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</si>
  <si>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</si>
  <si>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</si>
  <si>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</si>
  <si>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</si>
  <si>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</si>
  <si>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</si>
  <si>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</si>
  <si>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</si>
  <si>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</si>
  <si>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</si>
  <si>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</si>
  <si>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</si>
  <si>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</si>
  <si>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</si>
  <si>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</si>
  <si>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</si>
  <si>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</si>
  <si>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</si>
  <si>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</si>
  <si>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</si>
  <si>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</si>
  <si>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</si>
  <si>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</si>
  <si>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</si>
  <si>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</si>
  <si>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</si>
  <si>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</si>
  <si>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</si>
  <si>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</si>
  <si>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</si>
  <si>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</si>
  <si>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</si>
  <si>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</si>
  <si>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</si>
  <si>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</si>
  <si>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</si>
  <si>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</si>
  <si>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</si>
  <si>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</si>
  <si>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</si>
  <si>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</si>
  <si>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</si>
  <si>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</si>
  <si>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</si>
  <si>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</si>
  <si>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</si>
  <si>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</si>
  <si>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</si>
  <si>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</si>
  <si>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</si>
  <si>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</si>
  <si>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</si>
  <si>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</si>
  <si>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</si>
  <si>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</si>
  <si>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</si>
  <si>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</si>
  <si>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</si>
  <si>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</si>
  <si>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</si>
  <si>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</si>
  <si>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</si>
  <si>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</si>
  <si>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</si>
  <si>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</si>
  <si>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</si>
  <si>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</si>
  <si>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</si>
  <si>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</si>
  <si>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</si>
  <si>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</si>
  <si>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</si>
  <si>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</si>
  <si>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</si>
  <si>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</si>
  <si>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</si>
  <si>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</si>
  <si>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</si>
  <si>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</si>
  <si>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</si>
  <si>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</si>
  <si>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</si>
  <si>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</si>
  <si>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</si>
  <si>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</si>
  <si>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</si>
  <si>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</si>
  <si>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</si>
  <si>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</si>
  <si>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</si>
  <si>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</si>
  <si>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</si>
  <si>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</si>
  <si>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</si>
  <si>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</si>
  <si>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</si>
  <si>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</si>
  <si>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</si>
  <si>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</si>
  <si>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</si>
  <si>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</si>
  <si>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</si>
  <si>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</si>
  <si>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</si>
  <si>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</si>
  <si>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</si>
  <si>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</si>
  <si>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</si>
  <si>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</si>
  <si>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</si>
  <si>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</si>
  <si>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</si>
  <si>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</si>
  <si>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</si>
  <si>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</si>
  <si>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</si>
  <si>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</si>
  <si>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</si>
  <si>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</si>
  <si>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</si>
  <si>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</si>
  <si>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</si>
  <si>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</si>
  <si>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</si>
  <si>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</si>
  <si>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</si>
  <si>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</si>
  <si>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</si>
  <si>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</si>
  <si>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</si>
  <si>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</si>
  <si>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</si>
  <si>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</si>
  <si>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</si>
  <si>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</si>
  <si>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</si>
  <si>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</si>
  <si>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</si>
  <si>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</si>
  <si>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</si>
  <si>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</si>
  <si>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</si>
  <si>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</si>
  <si>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</si>
  <si>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</si>
  <si>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</si>
  <si>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</si>
  <si>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</si>
  <si>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</si>
  <si>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</si>
  <si>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</si>
  <si>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</si>
  <si>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</si>
  <si>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</si>
  <si>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</si>
  <si>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</si>
  <si>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</si>
  <si>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</si>
  <si>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</si>
  <si>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</si>
  <si>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</si>
  <si>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</si>
  <si>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</si>
  <si>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</si>
  <si>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</si>
  <si>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</si>
  <si>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</si>
  <si>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</si>
  <si>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</si>
  <si>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</si>
  <si>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</si>
  <si>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</si>
  <si>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</si>
  <si>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</si>
  <si>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</si>
  <si>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</si>
  <si>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</si>
  <si>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</si>
  <si>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</si>
  <si>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</si>
  <si>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</si>
  <si>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</si>
  <si>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</si>
  <si>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</si>
  <si>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</si>
  <si>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</si>
  <si>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</si>
  <si>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</si>
  <si>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</si>
  <si>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</si>
  <si>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</si>
  <si>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</si>
  <si>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</si>
  <si>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</si>
  <si>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</si>
  <si>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</si>
  <si>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</si>
  <si>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</si>
  <si>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</si>
  <si>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</si>
  <si>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</si>
  <si>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</si>
  <si>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</si>
  <si>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</si>
  <si>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</si>
  <si>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</si>
  <si>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</si>
  <si>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</si>
  <si>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</si>
  <si>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</si>
  <si>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</si>
  <si>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</si>
  <si>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</si>
  <si>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</si>
  <si>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</si>
  <si>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</si>
  <si>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</si>
  <si>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</si>
  <si>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</si>
  <si>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</si>
  <si>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</si>
  <si>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</si>
  <si>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</si>
  <si>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</si>
  <si>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</si>
  <si>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</si>
  <si>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</si>
  <si>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</si>
  <si>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</si>
  <si>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</si>
  <si>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</si>
  <si>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</si>
  <si>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</si>
  <si>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</si>
  <si>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</si>
  <si>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</si>
  <si>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</si>
  <si>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</si>
  <si>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</si>
  <si>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</si>
  <si>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</si>
  <si>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</si>
  <si>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</si>
  <si>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</si>
  <si>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</si>
  <si>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</si>
  <si>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</si>
  <si>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</si>
  <si>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</si>
  <si>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</si>
  <si>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</si>
  <si>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</si>
  <si>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</si>
  <si>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</si>
  <si>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</si>
  <si>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</si>
  <si>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</si>
  <si>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</si>
  <si>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</si>
  <si>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</si>
  <si>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</si>
  <si>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</si>
  <si>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</si>
  <si>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</si>
  <si>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</si>
  <si>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</si>
  <si>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</si>
  <si>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</si>
  <si>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</si>
  <si>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</si>
  <si>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</si>
  <si>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</si>
  <si>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</si>
  <si>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</si>
  <si>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</si>
  <si>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</si>
  <si>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</si>
  <si>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</si>
  <si>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</si>
  <si>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</si>
  <si>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</si>
  <si>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</si>
  <si>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</si>
  <si>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</si>
  <si>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</si>
  <si>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</si>
  <si>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</si>
  <si>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</si>
  <si>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</si>
  <si>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</si>
  <si>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</si>
  <si>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</si>
  <si>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</si>
  <si>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</si>
  <si>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</si>
  <si>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</si>
  <si>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</si>
  <si>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</si>
  <si>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</si>
  <si>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</si>
  <si>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</si>
  <si>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</si>
  <si>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</si>
  <si>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</si>
  <si>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</si>
  <si>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</si>
  <si>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</si>
  <si>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</si>
  <si>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</si>
  <si>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</si>
  <si>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</si>
  <si>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</si>
  <si>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</si>
  <si>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</si>
  <si>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</si>
  <si>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</si>
  <si>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</si>
  <si>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</si>
  <si>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</si>
  <si>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</si>
  <si>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</si>
  <si>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</si>
  <si>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</si>
  <si>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</si>
  <si>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</si>
  <si>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</si>
  <si>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</si>
  <si>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</si>
  <si>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</si>
  <si>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</si>
  <si>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</si>
  <si>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</si>
  <si>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</si>
  <si>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</si>
  <si>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</si>
  <si>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</si>
  <si>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</si>
  <si>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</si>
  <si>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</si>
  <si>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</si>
  <si>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</si>
  <si>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</si>
  <si>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Brand Awareness</t>
  </si>
  <si>
    <t>Instagram,Facebook</t>
  </si>
  <si>
    <t>2024-10-01</t>
  </si>
  <si>
    <t>Engagement</t>
  </si>
  <si>
    <t>Instagram,YouTube</t>
  </si>
  <si>
    <t>#AnytimeIsPepsiTime,</t>
  </si>
  <si>
    <t>2024-12-25</t>
  </si>
  <si>
    <t>Product Launch</t>
  </si>
  <si>
    <t>Facebook,Twitter</t>
  </si>
  <si>
    <t>#SmoothLikeNitroPepsi</t>
  </si>
  <si>
    <t>2025-03-01</t>
  </si>
  <si>
    <t>Traffic</t>
  </si>
  <si>
    <t>Instagram,Twitter</t>
  </si>
  <si>
    <t>#BetterWithPepsi,#LiveForNow</t>
  </si>
  <si>
    <t>X</t>
  </si>
  <si>
    <t>Check out our latest reel on X!</t>
  </si>
  <si>
    <t>Check out our latest text on X!</t>
  </si>
  <si>
    <t>Check out our latest carousel on X!</t>
  </si>
  <si>
    <t>Check out our latest image on X!</t>
  </si>
  <si>
    <t>Check out our latest video on X!</t>
  </si>
  <si>
    <t>Check out our latest story on X!</t>
  </si>
  <si>
    <t>Hastags 2</t>
  </si>
  <si>
    <t>Hastags 3</t>
  </si>
  <si>
    <t>#AnytimeIsPepsiTime</t>
  </si>
  <si>
    <t>#BetterWithPepsi</t>
  </si>
  <si>
    <t>N/A</t>
  </si>
  <si>
    <t>Top 10 Posts with Highest Engagement</t>
  </si>
  <si>
    <t>Column1</t>
  </si>
  <si>
    <t>Average Engagement_Rate</t>
  </si>
  <si>
    <t>Total Likes</t>
  </si>
  <si>
    <t>Total Comments</t>
  </si>
  <si>
    <t>Total Shares</t>
  </si>
  <si>
    <t>Pivot table that shows: Total Likes, Shares, and Comments by Content Type and Platform.</t>
  </si>
  <si>
    <t>Average of Clicks</t>
  </si>
  <si>
    <t>Hastags</t>
  </si>
  <si>
    <t>Hashtags_rank</t>
  </si>
  <si>
    <t>Top_Hastage</t>
  </si>
  <si>
    <t>Average of Engagement_Rate</t>
  </si>
  <si>
    <t>1. Removed duplicate posts using Post_ID to avoid repeated data.</t>
  </si>
  <si>
    <t>2. Standardized date formats for consistency across analysis.</t>
  </si>
  <si>
    <t>3. Corrected platform name variations (Instagram, Facebook, etc.).</t>
  </si>
  <si>
    <t>4. Converted Likes, Reach, Impressions, Clicks, and Ad Spend to numeric format.</t>
  </si>
  <si>
    <t>5. Split multiple hashtags into individual tags for hashtag-level analysis.</t>
  </si>
  <si>
    <r>
      <t xml:space="preserve">    </t>
    </r>
    <r>
      <rPr>
        <b/>
        <sz val="14"/>
        <color theme="3"/>
        <rFont val="Calibri"/>
        <family val="2"/>
        <scheme val="minor"/>
      </rPr>
      <t>Data Preprocessing &amp; Cleaning</t>
    </r>
  </si>
  <si>
    <t>Engagement Analysis</t>
  </si>
  <si>
    <t>1. Calculated engagement rate using Likes, Shares, and Comments divided by Impressions.</t>
  </si>
  <si>
    <t>3. Created pivot tables to analyze engagement by content type and platform.</t>
  </si>
  <si>
    <t>Rank</t>
  </si>
  <si>
    <t>Avg Click</t>
  </si>
  <si>
    <t xml:space="preserve">Hastage Ranking </t>
  </si>
  <si>
    <t>1.Calculated average clicks per hashtag using pivot tables.</t>
  </si>
  <si>
    <t>2.Ranked and highlighted top-performing hashtags using formula-based ranking.</t>
  </si>
  <si>
    <t xml:space="preserve">Highlight Performance </t>
  </si>
  <si>
    <t>Top Performing: #AnytimelsPepsitime</t>
  </si>
  <si>
    <t>Best Performing: #PepsiCoRefresh,#ThirtyForMore</t>
  </si>
  <si>
    <t>Lowest Performing: #</t>
  </si>
  <si>
    <t># SmoothiLikeNitroPepsi</t>
  </si>
  <si>
    <t xml:space="preserve">A performance score was calculated clicks impressions. Hashtags were ranked using the </t>
  </si>
  <si>
    <t>"Top-performing hashtags were identified using a IF formula-based ranking system.</t>
  </si>
  <si>
    <t xml:space="preserve"> RANK function, and conditional formatting was applied to highlight the top-performing hashtags."</t>
  </si>
  <si>
    <t>2. Identified top 10 posts with the highest engagement rate to using Sort in descending order.</t>
  </si>
  <si>
    <t xml:space="preserve">“Instagram shows the highest average engagement rate, </t>
  </si>
  <si>
    <t xml:space="preserve">indicating stronger audience interaction compared to </t>
  </si>
  <si>
    <t xml:space="preserve"> other platforms.”</t>
  </si>
  <si>
    <t xml:space="preserve">“YouTube and X demonstrate higher follower growth rates, </t>
  </si>
  <si>
    <t>suggesting better long-term audience expansion.”</t>
  </si>
  <si>
    <t>Average of  Growth_Rates</t>
  </si>
  <si>
    <t>The engagement rate on Instagram is highest, indicating active interaction with the audience.</t>
  </si>
  <si>
    <t>Count of Hashtags Used</t>
  </si>
  <si>
    <t>Hashtags</t>
  </si>
  <si>
    <t>Average of Comments</t>
  </si>
  <si>
    <t>Average of Likes</t>
  </si>
  <si>
    <t>Hashtags like #PepsiCoRefresh and #LiveForNow are used most frequently,</t>
  </si>
  <si>
    <t xml:space="preserve"> indicating their importance in branding campaigns.</t>
  </si>
  <si>
    <t>Column Labels</t>
  </si>
  <si>
    <t xml:space="preserve"> it is necessary to prioritize Reels on this platform. Similarly, on Facebook, Stories give better</t>
  </si>
  <si>
    <t xml:space="preserve"> engagement compared to other types. Hence, there is a need to prioritize more postings related to</t>
  </si>
  <si>
    <t xml:space="preserve"> Hence, it is necessary to prioritize this type of content over regular text postings on this platform. On YouTube, </t>
  </si>
  <si>
    <t>Content Type Priority by Platform</t>
  </si>
  <si>
    <t>it was seen that Image and Carousel contents give better engagement.</t>
  </si>
  <si>
    <r>
      <t xml:space="preserve">Instagram should be </t>
    </r>
    <r>
      <rPr>
        <b/>
        <sz val="16"/>
        <color theme="1"/>
        <rFont val="Calibri"/>
        <family val="2"/>
        <scheme val="minor"/>
      </rPr>
      <t>Reels-first</t>
    </r>
    <r>
      <rPr>
        <sz val="16"/>
        <color theme="1"/>
        <rFont val="Calibri"/>
        <family val="2"/>
        <scheme val="minor"/>
      </rPr>
      <t xml:space="preserve">, then </t>
    </r>
    <r>
      <rPr>
        <b/>
        <sz val="16"/>
        <color theme="1"/>
        <rFont val="Calibri"/>
        <family val="2"/>
        <scheme val="minor"/>
      </rPr>
      <t>Stories</t>
    </r>
    <r>
      <rPr>
        <sz val="16"/>
        <color theme="1"/>
        <rFont val="Calibri"/>
        <family val="2"/>
        <scheme val="minor"/>
      </rPr>
      <t xml:space="preserve">, then </t>
    </r>
    <r>
      <rPr>
        <b/>
        <sz val="16"/>
        <color theme="1"/>
        <rFont val="Calibri"/>
        <family val="2"/>
        <scheme val="minor"/>
      </rPr>
      <t>Videos</t>
    </r>
    <r>
      <rPr>
        <sz val="16"/>
        <color theme="1"/>
        <rFont val="Calibri"/>
        <family val="2"/>
        <scheme val="minor"/>
      </rPr>
      <t>.</t>
    </r>
  </si>
  <si>
    <t>Instagram:-</t>
  </si>
  <si>
    <t>YouTube:-</t>
  </si>
  <si>
    <t>X:-</t>
  </si>
  <si>
    <r>
      <t xml:space="preserve">Focus more on </t>
    </r>
    <r>
      <rPr>
        <b/>
        <sz val="16"/>
        <color theme="1"/>
        <rFont val="Calibri"/>
        <family val="2"/>
        <scheme val="minor"/>
      </rPr>
      <t>Stories + Videos</t>
    </r>
    <r>
      <rPr>
        <sz val="16"/>
        <color theme="1"/>
        <rFont val="Calibri"/>
        <family val="2"/>
        <scheme val="minor"/>
      </rPr>
      <t xml:space="preserve"> for higher interaction.</t>
    </r>
  </si>
  <si>
    <t>Facebook:-</t>
  </si>
  <si>
    <r>
      <t xml:space="preserve">Prioritize </t>
    </r>
    <r>
      <rPr>
        <b/>
        <sz val="16"/>
        <color theme="1"/>
        <rFont val="Calibri"/>
        <family val="2"/>
        <scheme val="minor"/>
      </rPr>
      <t>Carousel</t>
    </r>
    <r>
      <rPr>
        <sz val="16"/>
        <color theme="1"/>
        <rFont val="Calibri"/>
        <family val="2"/>
        <scheme val="minor"/>
      </rPr>
      <t xml:space="preserve">, then push Image and </t>
    </r>
    <r>
      <rPr>
        <b/>
        <sz val="16"/>
        <color theme="1"/>
        <rFont val="Calibri"/>
        <family val="2"/>
        <scheme val="minor"/>
      </rPr>
      <t>Videos</t>
    </r>
    <r>
      <rPr>
        <sz val="16"/>
        <color theme="1"/>
        <rFont val="Calibri"/>
        <family val="2"/>
        <scheme val="minor"/>
      </rPr>
      <t xml:space="preserve"> regularly.</t>
    </r>
  </si>
  <si>
    <t>Hashtag &amp; Content Strategy</t>
  </si>
  <si>
    <t>Row Labels</t>
  </si>
  <si>
    <t>Grand Total</t>
  </si>
  <si>
    <t>Sum of Impressions</t>
  </si>
  <si>
    <t>Sum of Clicks</t>
  </si>
  <si>
    <t>Sum of Likes</t>
  </si>
  <si>
    <t>Average of Impressions</t>
  </si>
  <si>
    <t xml:space="preserve"> while FestiveRadiance has higher average clicks, indicating better </t>
  </si>
  <si>
    <t>post-level effectiveness.</t>
  </si>
  <si>
    <t xml:space="preserve"> the most likes. SummerSplash performs the weakest overall.</t>
  </si>
  <si>
    <r>
      <t>Total Performance:</t>
    </r>
    <r>
      <rPr>
        <sz val="12"/>
        <color theme="1"/>
        <rFont val="Calibri"/>
        <family val="2"/>
        <scheme val="minor"/>
      </rPr>
      <t xml:space="preserve"> DailyWellness has the highest reach, while NewYearRefresh gains</t>
    </r>
  </si>
  <si>
    <r>
      <t>Average Performance:</t>
    </r>
    <r>
      <rPr>
        <sz val="12"/>
        <color theme="1"/>
        <rFont val="Calibri"/>
        <family val="2"/>
        <scheme val="minor"/>
      </rPr>
      <t xml:space="preserve"> SummerSplash shows the best average impressions and likes,</t>
    </r>
  </si>
  <si>
    <t>Campaign Effectiveness</t>
  </si>
  <si>
    <t>1. Calculated total and average impressions, likes, and clicks per campaign.</t>
  </si>
  <si>
    <t>Social Media Platform Analysis</t>
  </si>
  <si>
    <t>Period</t>
  </si>
  <si>
    <t>Avg_Before</t>
  </si>
  <si>
    <t>Avg_During</t>
  </si>
  <si>
    <t>Engagement_Uplift</t>
  </si>
  <si>
    <t>Total Budget</t>
  </si>
  <si>
    <t>Engagement_rate</t>
  </si>
  <si>
    <t>ROI</t>
  </si>
  <si>
    <t>Average of ROI</t>
  </si>
  <si>
    <t>“Campaign Summersplash delivered the highest engagement,</t>
  </si>
  <si>
    <t>making it the most cost-effective campaign.”</t>
  </si>
  <si>
    <t>Net_follower_Gain</t>
  </si>
  <si>
    <t>Sum of Net_follower_Gain</t>
  </si>
  <si>
    <t>indicating strong long-term brand impact.”</t>
  </si>
  <si>
    <t xml:space="preserve">“Campaign DailyWellness resulted in the highest net follower growth, </t>
  </si>
  <si>
    <t>2. Compared engagement before and during campaign periods.</t>
  </si>
  <si>
    <t>3. Evaluated campaign ROI using engagement versus budget.</t>
  </si>
  <si>
    <t xml:space="preserve"> Campaign Effectiveness</t>
  </si>
  <si>
    <t>“Instagram and YouTube show consistent weekly follower</t>
  </si>
  <si>
    <t xml:space="preserve"> growth, indicating strong audience retention.”</t>
  </si>
  <si>
    <t xml:space="preserve"> reflecting peak campaign or promotional activity.”</t>
  </si>
  <si>
    <t>Net_Gain</t>
  </si>
  <si>
    <t>Moving Average</t>
  </si>
  <si>
    <t>weekly fluctuations and highlight the overall audience growth trend.</t>
  </si>
  <si>
    <t>The moving average highlights a steady upward trend in follower growth ,</t>
  </si>
  <si>
    <t xml:space="preserve"> reducing weekly volatility.</t>
  </si>
  <si>
    <t xml:space="preserve">A  moving average was applied to follower growth data to smooth </t>
  </si>
  <si>
    <t>Correlation</t>
  </si>
  <si>
    <t>minimal direct impact on follower growth compared to other factors like content quality.</t>
  </si>
  <si>
    <r>
      <t xml:space="preserve">The result is near </t>
    </r>
    <r>
      <rPr>
        <b/>
        <sz val="14"/>
        <color theme="2"/>
        <rFont val="Calibri"/>
        <family val="2"/>
        <scheme val="minor"/>
      </rPr>
      <t xml:space="preserve">0.09 </t>
    </r>
    <r>
      <rPr>
        <sz val="14"/>
        <color theme="2"/>
        <rFont val="Calibri"/>
        <family val="2"/>
        <scheme val="minor"/>
      </rPr>
      <t xml:space="preserve">, it indicates a </t>
    </r>
    <r>
      <rPr>
        <b/>
        <sz val="14"/>
        <color theme="2"/>
        <rFont val="Calibri"/>
        <family val="2"/>
        <scheme val="minor"/>
      </rPr>
      <t>very weak positive correlation</t>
    </r>
    <r>
      <rPr>
        <sz val="14"/>
        <color theme="2"/>
        <rFont val="Calibri"/>
        <family val="2"/>
        <scheme val="minor"/>
      </rPr>
      <t xml:space="preserve">, meaning Ad Spend has a </t>
    </r>
  </si>
  <si>
    <t>Compared Engagement Before And During Campaign Periods.</t>
  </si>
  <si>
    <t>Evaluated campaign ROI using engagement versus budget.</t>
  </si>
  <si>
    <t>Follower Retention &amp; Audience Loyalty</t>
  </si>
  <si>
    <t>1. Analyzed weekly follower growth trends by platform.</t>
  </si>
  <si>
    <t>2. Identified weeks with the highest net follower gains.</t>
  </si>
  <si>
    <t>3. Created moving average charts to smooth growth trends.</t>
  </si>
  <si>
    <t>4. Compared ad spend with follower growth using scatter plots.</t>
  </si>
  <si>
    <t>5. Calculated correlation between ad spend and follower growth.</t>
  </si>
  <si>
    <t>Created moving average charts to smooth growth trends.</t>
  </si>
  <si>
    <r>
      <t>X:</t>
    </r>
    <r>
      <rPr>
        <sz val="11"/>
        <color theme="1"/>
        <rFont val="Calibri"/>
        <scheme val="minor"/>
      </rPr>
      <t xml:space="preserve">  </t>
    </r>
    <r>
      <rPr>
        <b/>
        <sz val="11"/>
        <color theme="1"/>
        <rFont val="Calibri"/>
        <scheme val="minor"/>
      </rPr>
      <t>Carousel</t>
    </r>
    <r>
      <rPr>
        <sz val="11"/>
        <color theme="1"/>
        <rFont val="Calibri"/>
        <scheme val="minor"/>
      </rPr>
      <t xml:space="preserve"> (highest likes; strong overall)</t>
    </r>
  </si>
  <si>
    <r>
      <t>YouTube:</t>
    </r>
    <r>
      <rPr>
        <sz val="11"/>
        <color theme="1"/>
        <rFont val="Calibri"/>
        <scheme val="minor"/>
      </rPr>
      <t xml:space="preserve"> </t>
    </r>
    <r>
      <rPr>
        <b/>
        <sz val="11"/>
        <color theme="1"/>
        <rFont val="Calibri"/>
        <scheme val="minor"/>
      </rPr>
      <t>Reel</t>
    </r>
    <r>
      <rPr>
        <sz val="11"/>
        <color theme="1"/>
        <rFont val="Calibri"/>
        <scheme val="minor"/>
      </rPr>
      <t xml:space="preserve"> (highest likes + comments)</t>
    </r>
  </si>
  <si>
    <r>
      <t>Facebook:</t>
    </r>
    <r>
      <rPr>
        <sz val="11"/>
        <color theme="1"/>
        <rFont val="Calibri"/>
        <scheme val="minor"/>
      </rPr>
      <t xml:space="preserve"> </t>
    </r>
    <r>
      <rPr>
        <b/>
        <sz val="11"/>
        <color theme="1"/>
        <rFont val="Calibri"/>
        <scheme val="minor"/>
      </rPr>
      <t>Image</t>
    </r>
    <r>
      <rPr>
        <sz val="11"/>
        <color theme="1"/>
        <rFont val="Calibri"/>
        <scheme val="minor"/>
      </rPr>
      <t xml:space="preserve"> (highest across likes/comments/shares)</t>
    </r>
  </si>
  <si>
    <r>
      <rPr>
        <b/>
        <sz val="11"/>
        <color theme="1"/>
        <rFont val="Calibri"/>
        <family val="2"/>
        <scheme val="minor"/>
      </rPr>
      <t>Instagram</t>
    </r>
    <r>
      <rPr>
        <sz val="11"/>
        <color theme="1"/>
        <rFont val="Calibri"/>
        <family val="2"/>
        <scheme val="minor"/>
      </rPr>
      <t>: Story (highest likes)</t>
    </r>
  </si>
  <si>
    <t>Growth_Rate</t>
  </si>
  <si>
    <t xml:space="preserve">1.Identify which Platform generates the highest engagement. </t>
  </si>
  <si>
    <t>3.Visualize the engagement by ad spend across Platform.</t>
  </si>
  <si>
    <t xml:space="preserve">2.Compare Growth rates of followers across different platforms. </t>
  </si>
  <si>
    <t>YouTube and X have a faster rate of followers, and this helps to expand the audience reach.</t>
  </si>
  <si>
    <r>
      <t>and to followers on</t>
    </r>
    <r>
      <rPr>
        <b/>
        <sz val="14"/>
        <color theme="1"/>
        <rFont val="Calibri"/>
        <family val="2"/>
        <scheme val="minor"/>
      </rPr>
      <t xml:space="preserve"> X</t>
    </r>
    <r>
      <rPr>
        <sz val="14"/>
        <color theme="1"/>
        <rFont val="Calibri"/>
        <family val="2"/>
        <scheme val="minor"/>
      </rPr>
      <t xml:space="preserve"> , and comparatively less importance to YouTube and Facebook.</t>
    </r>
  </si>
  <si>
    <t xml:space="preserve"> As a result, it can be concluded that give importance to engagement on Instagram </t>
  </si>
  <si>
    <t xml:space="preserve">1.Most frequently used hashtags. </t>
  </si>
  <si>
    <t>2.Average performance (likes, comments) of posts containing each hashtag.</t>
  </si>
  <si>
    <t xml:space="preserve"> 3.Compare performance of videos vs. images vs. carousels across platforms.</t>
  </si>
  <si>
    <t xml:space="preserve"> On Instagram, Reels give the best engagement, then Stories, then Videos. Hence,</t>
  </si>
  <si>
    <t xml:space="preserve"> stories and videos. For X, it is observed that Stories and Carousels give higher engagement.</t>
  </si>
  <si>
    <t>4.Which campaign had the strongest follower growth impact.</t>
  </si>
  <si>
    <t>“Week 30-12-2024 recorded the highest net follower gain 6530 ,</t>
  </si>
  <si>
    <r>
      <t xml:space="preserve">Prioritize </t>
    </r>
    <r>
      <rPr>
        <b/>
        <sz val="16"/>
        <color theme="1"/>
        <rFont val="Calibri"/>
        <family val="2"/>
        <scheme val="minor"/>
      </rPr>
      <t>Stories + Carousels + Images</t>
    </r>
    <r>
      <rPr>
        <sz val="16"/>
        <color theme="1"/>
        <rFont val="Calibri"/>
        <family val="2"/>
        <scheme val="minor"/>
      </rPr>
      <t>.</t>
    </r>
  </si>
  <si>
    <t>Average of Engagement_Uplift</t>
  </si>
  <si>
    <t>In #BetterWithPepsi have a highest Average Like and #smoothLikeNitroPepsi have a highest comments.</t>
  </si>
  <si>
    <t xml:space="preserve">Task 7 : Video explanation: Expressing the finding and actionable insights </t>
  </si>
  <si>
    <t>Link:</t>
  </si>
  <si>
    <t>https://www.loom.com/share/cc7b7f2fcbb843d7b15e624c813d82db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</si>
</sst>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0.000"/>
  </numFmts>
  <fonts count="4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4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2"/>
      <name val="Arial"/>
      <family val="2"/>
    </font>
    <font>
      <b/>
      <sz val="18"/>
      <color theme="2"/>
      <name val="Calibri"/>
      <family val="2"/>
      <scheme val="minor"/>
    </font>
    <font>
      <sz val="18"/>
      <color theme="2"/>
      <name val="Calibri"/>
      <family val="2"/>
      <scheme val="minor"/>
    </font>
    <font>
      <b/>
      <sz val="11"/>
      <color theme="2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2"/>
      <name val="Calibri"/>
      <family val="2"/>
      <scheme val="minor"/>
    </font>
    <font>
      <sz val="22"/>
      <color theme="2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theme="2"/>
      <name val="Calibri"/>
      <family val="2"/>
    </font>
    <font>
      <u/>
      <sz val="11"/>
      <color theme="1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6" tint="-0.249977111117893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0" fontId="11" fillId="0" borderId="0"/>
    <xf numFmtId="0" fontId="48" fillId="0" borderId="0" applyNumberFormat="0" applyFill="0" applyBorder="0" applyAlignment="0" applyProtection="0"/>
  </cellStyleXfs>
  <cellXfs count="208">
    <xf numFmtId="0" fontId="0" fillId="0" borderId="0" xfId="0"/>
    <xf numFmtId="0" fontId="12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5" fillId="0" borderId="1" xfId="0" applyFont="1" applyBorder="1"/>
    <xf numFmtId="0" fontId="15" fillId="0" borderId="1" xfId="0" applyFont="1" applyBorder="1" applyAlignment="1">
      <alignment wrapText="1"/>
    </xf>
    <xf numFmtId="164" fontId="13" fillId="0" borderId="0" xfId="0" applyNumberFormat="1" applyFont="1"/>
    <xf numFmtId="1" fontId="13" fillId="0" borderId="0" xfId="0" applyNumberFormat="1" applyFont="1"/>
    <xf numFmtId="0" fontId="16" fillId="0" borderId="0" xfId="0" applyFont="1" applyAlignment="1">
      <alignment horizontal="center" vertical="top"/>
    </xf>
    <xf numFmtId="0" fontId="17" fillId="0" borderId="0" xfId="0" applyFont="1"/>
    <xf numFmtId="0" fontId="18" fillId="0" borderId="0" xfId="0" applyFont="1" applyAlignment="1">
      <alignment horizontal="center" vertical="top"/>
    </xf>
    <xf numFmtId="0" fontId="17" fillId="0" borderId="0" xfId="1" applyFont="1"/>
    <xf numFmtId="0" fontId="16" fillId="0" borderId="0" xfId="0" applyFont="1"/>
    <xf numFmtId="2" fontId="0" fillId="0" borderId="0" xfId="0" applyNumberFormat="1"/>
    <xf numFmtId="0" fontId="0" fillId="0" borderId="3" xfId="0" applyBorder="1"/>
    <xf numFmtId="0" fontId="0" fillId="0" borderId="3" xfId="0" pivotButton="1" applyBorder="1"/>
    <xf numFmtId="0" fontId="0" fillId="0" borderId="11" xfId="0" applyBorder="1"/>
    <xf numFmtId="0" fontId="0" fillId="0" borderId="12" xfId="0" applyBorder="1"/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5" fillId="0" borderId="18" xfId="0" applyFont="1" applyBorder="1"/>
    <xf numFmtId="0" fontId="15" fillId="0" borderId="13" xfId="0" applyFont="1" applyBorder="1"/>
    <xf numFmtId="0" fontId="15" fillId="0" borderId="3" xfId="0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14" fillId="0" borderId="8" xfId="0" applyFont="1" applyBorder="1"/>
    <xf numFmtId="0" fontId="20" fillId="0" borderId="8" xfId="0" applyFont="1" applyBorder="1"/>
    <xf numFmtId="0" fontId="12" fillId="0" borderId="19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2" fontId="0" fillId="0" borderId="5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20" xfId="0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center"/>
    </xf>
    <xf numFmtId="0" fontId="18" fillId="0" borderId="1" xfId="0" applyFont="1" applyBorder="1" applyAlignment="1">
      <alignment horizontal="center" vertical="top"/>
    </xf>
    <xf numFmtId="2" fontId="12" fillId="0" borderId="1" xfId="0" applyNumberFormat="1" applyFont="1" applyBorder="1" applyAlignment="1">
      <alignment horizontal="center" vertical="top" wrapText="1"/>
    </xf>
    <xf numFmtId="2" fontId="15" fillId="0" borderId="0" xfId="0" applyNumberFormat="1" applyFont="1"/>
    <xf numFmtId="1" fontId="12" fillId="0" borderId="1" xfId="0" applyNumberFormat="1" applyFont="1" applyBorder="1" applyAlignment="1">
      <alignment horizontal="center" vertical="top" wrapText="1"/>
    </xf>
    <xf numFmtId="1" fontId="15" fillId="0" borderId="0" xfId="0" applyNumberFormat="1" applyFont="1"/>
    <xf numFmtId="1" fontId="0" fillId="0" borderId="0" xfId="0" applyNumberFormat="1"/>
    <xf numFmtId="2" fontId="12" fillId="0" borderId="1" xfId="0" applyNumberFormat="1" applyFont="1" applyBorder="1" applyAlignment="1">
      <alignment horizontal="center" vertical="top"/>
    </xf>
    <xf numFmtId="2" fontId="18" fillId="0" borderId="20" xfId="0" applyNumberFormat="1" applyFont="1" applyBorder="1" applyAlignment="1">
      <alignment horizontal="center" vertical="top"/>
    </xf>
    <xf numFmtId="2" fontId="0" fillId="0" borderId="20" xfId="0" applyNumberFormat="1" applyBorder="1"/>
    <xf numFmtId="2" fontId="10" fillId="0" borderId="0" xfId="0" applyNumberFormat="1" applyFont="1"/>
    <xf numFmtId="2" fontId="13" fillId="0" borderId="0" xfId="0" applyNumberFormat="1" applyFont="1"/>
    <xf numFmtId="2" fontId="15" fillId="0" borderId="17" xfId="0" applyNumberFormat="1" applyFont="1" applyBorder="1" applyAlignment="1">
      <alignment horizontal="center"/>
    </xf>
    <xf numFmtId="2" fontId="1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9" fillId="3" borderId="0" xfId="0" applyFont="1" applyFill="1" applyAlignment="1">
      <alignment horizontal="left" vertical="center" indent="1"/>
    </xf>
    <xf numFmtId="0" fontId="0" fillId="3" borderId="0" xfId="0" applyFill="1"/>
    <xf numFmtId="0" fontId="0" fillId="3" borderId="0" xfId="0" applyFill="1" applyAlignment="1">
      <alignment horizontal="left" vertical="center" indent="1"/>
    </xf>
    <xf numFmtId="0" fontId="27" fillId="4" borderId="0" xfId="0" applyFont="1" applyFill="1" applyAlignment="1">
      <alignment horizontal="center"/>
    </xf>
    <xf numFmtId="0" fontId="27" fillId="4" borderId="0" xfId="0" applyFont="1" applyFill="1"/>
    <xf numFmtId="0" fontId="0" fillId="5" borderId="0" xfId="0" applyFill="1" applyAlignment="1">
      <alignment horizontal="center"/>
    </xf>
    <xf numFmtId="0" fontId="16" fillId="5" borderId="0" xfId="0" applyFont="1" applyFill="1" applyAlignment="1">
      <alignment horizontal="left"/>
    </xf>
    <xf numFmtId="0" fontId="9" fillId="5" borderId="0" xfId="0" applyFont="1" applyFill="1" applyAlignment="1">
      <alignment horizontal="center"/>
    </xf>
    <xf numFmtId="0" fontId="28" fillId="6" borderId="0" xfId="0" applyFont="1" applyFill="1"/>
    <xf numFmtId="0" fontId="0" fillId="6" borderId="0" xfId="0" applyFill="1"/>
    <xf numFmtId="0" fontId="29" fillId="6" borderId="0" xfId="0" applyFont="1" applyFill="1"/>
    <xf numFmtId="0" fontId="16" fillId="0" borderId="4" xfId="0" pivotButton="1" applyFont="1" applyBorder="1"/>
    <xf numFmtId="0" fontId="16" fillId="0" borderId="6" xfId="0" applyFont="1" applyBorder="1" applyAlignment="1">
      <alignment horizontal="center"/>
    </xf>
    <xf numFmtId="0" fontId="16" fillId="0" borderId="7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16" fillId="0" borderId="9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30" fillId="6" borderId="0" xfId="0" applyFont="1" applyFill="1"/>
    <xf numFmtId="0" fontId="31" fillId="6" borderId="0" xfId="0" applyFont="1" applyFill="1"/>
    <xf numFmtId="0" fontId="32" fillId="6" borderId="0" xfId="0" applyFont="1" applyFill="1"/>
    <xf numFmtId="0" fontId="0" fillId="7" borderId="0" xfId="0" applyFill="1"/>
    <xf numFmtId="0" fontId="21" fillId="7" borderId="0" xfId="0" applyFont="1" applyFill="1"/>
    <xf numFmtId="0" fontId="9" fillId="5" borderId="8" xfId="0" applyFont="1" applyFill="1" applyBorder="1" applyAlignment="1">
      <alignment horizontal="center"/>
    </xf>
    <xf numFmtId="0" fontId="33" fillId="6" borderId="0" xfId="0" applyFont="1" applyFill="1"/>
    <xf numFmtId="0" fontId="27" fillId="6" borderId="0" xfId="0" applyFont="1" applyFill="1"/>
    <xf numFmtId="0" fontId="27" fillId="6" borderId="0" xfId="0" applyFont="1" applyFill="1" applyAlignment="1">
      <alignment horizontal="left" vertical="center"/>
    </xf>
    <xf numFmtId="0" fontId="27" fillId="6" borderId="0" xfId="0" applyFont="1" applyFill="1" applyAlignment="1">
      <alignment horizontal="left"/>
    </xf>
    <xf numFmtId="0" fontId="23" fillId="8" borderId="0" xfId="0" applyFont="1" applyFill="1" applyAlignment="1">
      <alignment vertical="center"/>
    </xf>
    <xf numFmtId="0" fontId="25" fillId="8" borderId="0" xfId="0" applyFont="1" applyFill="1"/>
    <xf numFmtId="0" fontId="25" fillId="9" borderId="0" xfId="0" applyFont="1" applyFill="1"/>
    <xf numFmtId="0" fontId="25" fillId="9" borderId="0" xfId="0" applyFont="1" applyFill="1" applyAlignment="1">
      <alignment horizontal="left" vertical="center" indent="1"/>
    </xf>
    <xf numFmtId="0" fontId="8" fillId="0" borderId="0" xfId="0" applyFont="1"/>
    <xf numFmtId="0" fontId="34" fillId="10" borderId="0" xfId="0" applyFont="1" applyFill="1"/>
    <xf numFmtId="0" fontId="0" fillId="10" borderId="0" xfId="0" applyFill="1"/>
    <xf numFmtId="0" fontId="21" fillId="10" borderId="0" xfId="0" applyFont="1" applyFill="1"/>
    <xf numFmtId="0" fontId="17" fillId="0" borderId="1" xfId="0" applyFont="1" applyBorder="1" applyAlignment="1">
      <alignment horizontal="center" vertical="top" wrapText="1"/>
    </xf>
    <xf numFmtId="0" fontId="20" fillId="0" borderId="0" xfId="0" applyFont="1"/>
    <xf numFmtId="0" fontId="8" fillId="11" borderId="0" xfId="0" applyFont="1" applyFill="1"/>
    <xf numFmtId="0" fontId="0" fillId="11" borderId="0" xfId="0" applyFill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2" fontId="0" fillId="0" borderId="3" xfId="0" applyNumberFormat="1" applyBorder="1" applyAlignment="1">
      <alignment horizontal="center"/>
    </xf>
    <xf numFmtId="0" fontId="29" fillId="11" borderId="0" xfId="0" applyFont="1" applyFill="1" applyAlignment="1">
      <alignment horizontal="left"/>
    </xf>
    <xf numFmtId="0" fontId="36" fillId="11" borderId="0" xfId="0" applyFont="1" applyFill="1"/>
    <xf numFmtId="0" fontId="0" fillId="0" borderId="0" xfId="0" applyAlignment="1">
      <alignment horizontal="left" vertical="center" indent="1"/>
    </xf>
    <xf numFmtId="0" fontId="37" fillId="11" borderId="0" xfId="0" applyFont="1" applyFill="1"/>
    <xf numFmtId="0" fontId="38" fillId="11" borderId="0" xfId="0" applyFont="1" applyFill="1" applyAlignment="1">
      <alignment horizontal="left"/>
    </xf>
    <xf numFmtId="0" fontId="22" fillId="11" borderId="0" xfId="0" applyFont="1" applyFill="1" applyAlignment="1">
      <alignment vertical="center"/>
    </xf>
    <xf numFmtId="0" fontId="26" fillId="12" borderId="0" xfId="0" applyFont="1" applyFill="1"/>
    <xf numFmtId="0" fontId="0" fillId="12" borderId="0" xfId="0" applyFill="1"/>
    <xf numFmtId="0" fontId="21" fillId="12" borderId="0" xfId="0" applyFont="1" applyFill="1"/>
    <xf numFmtId="0" fontId="22" fillId="11" borderId="0" xfId="0" applyFont="1" applyFill="1"/>
    <xf numFmtId="0" fontId="22" fillId="11" borderId="0" xfId="0" applyFont="1" applyFill="1" applyAlignment="1">
      <alignment horizontal="left"/>
    </xf>
    <xf numFmtId="0" fontId="0" fillId="13" borderId="0" xfId="0" applyFill="1" applyAlignment="1">
      <alignment horizontal="left" vertical="center" indent="1"/>
    </xf>
    <xf numFmtId="0" fontId="0" fillId="13" borderId="0" xfId="0" applyFill="1"/>
    <xf numFmtId="0" fontId="39" fillId="13" borderId="0" xfId="0" applyFont="1" applyFill="1" applyAlignment="1">
      <alignment horizontal="left" vertical="center" indent="1"/>
    </xf>
    <xf numFmtId="0" fontId="39" fillId="13" borderId="0" xfId="0" applyFont="1" applyFill="1"/>
    <xf numFmtId="0" fontId="40" fillId="11" borderId="0" xfId="0" applyFont="1" applyFill="1" applyAlignment="1">
      <alignment vertical="center"/>
    </xf>
    <xf numFmtId="0" fontId="41" fillId="11" borderId="0" xfId="0" applyFont="1" applyFill="1"/>
    <xf numFmtId="0" fontId="12" fillId="14" borderId="3" xfId="0" applyFont="1" applyFill="1" applyBorder="1" applyAlignment="1">
      <alignment horizontal="center" vertical="top"/>
    </xf>
    <xf numFmtId="0" fontId="17" fillId="14" borderId="3" xfId="0" applyFont="1" applyFill="1" applyBorder="1"/>
    <xf numFmtId="0" fontId="15" fillId="14" borderId="3" xfId="0" applyFont="1" applyFill="1" applyBorder="1"/>
    <xf numFmtId="0" fontId="15" fillId="3" borderId="3" xfId="0" applyFont="1" applyFill="1" applyBorder="1"/>
    <xf numFmtId="0" fontId="15" fillId="15" borderId="3" xfId="0" applyFont="1" applyFill="1" applyBorder="1"/>
    <xf numFmtId="0" fontId="22" fillId="14" borderId="0" xfId="0" applyFont="1" applyFill="1" applyAlignment="1">
      <alignment vertical="center"/>
    </xf>
    <xf numFmtId="0" fontId="26" fillId="14" borderId="0" xfId="0" applyFont="1" applyFill="1"/>
    <xf numFmtId="0" fontId="7" fillId="10" borderId="0" xfId="0" applyFont="1" applyFill="1"/>
    <xf numFmtId="0" fontId="0" fillId="16" borderId="0" xfId="0" applyFill="1"/>
    <xf numFmtId="0" fontId="42" fillId="16" borderId="0" xfId="0" applyFont="1" applyFill="1"/>
    <xf numFmtId="0" fontId="34" fillId="16" borderId="0" xfId="0" applyFont="1" applyFill="1"/>
    <xf numFmtId="0" fontId="6" fillId="16" borderId="0" xfId="0" applyFont="1" applyFill="1" applyAlignment="1">
      <alignment horizontal="left" vertical="center" indent="1"/>
    </xf>
    <xf numFmtId="0" fontId="31" fillId="17" borderId="0" xfId="0" applyFont="1" applyFill="1" applyAlignment="1">
      <alignment vertical="center"/>
    </xf>
    <xf numFmtId="0" fontId="29" fillId="17" borderId="0" xfId="0" applyFont="1" applyFill="1"/>
    <xf numFmtId="0" fontId="0" fillId="18" borderId="0" xfId="0" applyFill="1"/>
    <xf numFmtId="0" fontId="0" fillId="19" borderId="0" xfId="0" applyFill="1"/>
    <xf numFmtId="0" fontId="34" fillId="19" borderId="0" xfId="0" applyFont="1" applyFill="1" applyAlignment="1">
      <alignment horizontal="left" vertical="center" indent="1"/>
    </xf>
    <xf numFmtId="0" fontId="34" fillId="19" borderId="0" xfId="0" applyFont="1" applyFill="1"/>
    <xf numFmtId="0" fontId="43" fillId="18" borderId="0" xfId="0" applyFont="1" applyFill="1" applyAlignment="1">
      <alignment vertical="center"/>
    </xf>
    <xf numFmtId="10" fontId="16" fillId="0" borderId="0" xfId="0" applyNumberFormat="1" applyFont="1"/>
    <xf numFmtId="0" fontId="15" fillId="0" borderId="23" xfId="0" applyFont="1" applyBorder="1"/>
    <xf numFmtId="0" fontId="15" fillId="0" borderId="24" xfId="0" applyFont="1" applyBorder="1" applyAlignment="1">
      <alignment wrapText="1"/>
    </xf>
    <xf numFmtId="0" fontId="12" fillId="0" borderId="25" xfId="0" applyFont="1" applyBorder="1" applyAlignment="1">
      <alignment horizontal="center" vertical="top"/>
    </xf>
    <xf numFmtId="0" fontId="12" fillId="0" borderId="26" xfId="0" applyFont="1" applyBorder="1" applyAlignment="1">
      <alignment horizontal="center" vertical="top" wrapText="1"/>
    </xf>
    <xf numFmtId="0" fontId="12" fillId="0" borderId="26" xfId="0" applyFont="1" applyBorder="1" applyAlignment="1">
      <alignment horizontal="center" vertical="top"/>
    </xf>
    <xf numFmtId="0" fontId="12" fillId="0" borderId="27" xfId="0" applyFont="1" applyBorder="1" applyAlignment="1">
      <alignment horizontal="center" vertical="top" wrapText="1"/>
    </xf>
    <xf numFmtId="0" fontId="15" fillId="0" borderId="28" xfId="0" applyFont="1" applyBorder="1"/>
    <xf numFmtId="0" fontId="15" fillId="0" borderId="29" xfId="0" applyFont="1" applyBorder="1" applyAlignment="1">
      <alignment wrapText="1"/>
    </xf>
    <xf numFmtId="0" fontId="15" fillId="0" borderId="29" xfId="0" applyFont="1" applyBorder="1"/>
    <xf numFmtId="0" fontId="15" fillId="0" borderId="30" xfId="0" applyFont="1" applyBorder="1" applyAlignment="1">
      <alignment wrapText="1"/>
    </xf>
    <xf numFmtId="165" fontId="0" fillId="0" borderId="0" xfId="0" applyNumberFormat="1"/>
    <xf numFmtId="0" fontId="0" fillId="0" borderId="0" xfId="0" applyAlignment="1">
      <alignment horizontal="right"/>
    </xf>
    <xf numFmtId="0" fontId="16" fillId="20" borderId="0" xfId="0" applyFont="1" applyFill="1"/>
    <xf numFmtId="0" fontId="16" fillId="20" borderId="0" xfId="0" applyFont="1" applyFill="1" applyAlignment="1">
      <alignment horizontal="left"/>
    </xf>
    <xf numFmtId="0" fontId="16" fillId="19" borderId="0" xfId="0" applyFont="1" applyFill="1"/>
    <xf numFmtId="0" fontId="26" fillId="0" borderId="0" xfId="0" applyFont="1"/>
    <xf numFmtId="0" fontId="22" fillId="18" borderId="0" xfId="0" applyFont="1" applyFill="1" applyAlignment="1">
      <alignment vertical="center"/>
    </xf>
    <xf numFmtId="0" fontId="26" fillId="18" borderId="0" xfId="0" applyFont="1" applyFill="1"/>
    <xf numFmtId="0" fontId="0" fillId="19" borderId="0" xfId="0" applyFill="1" applyAlignment="1">
      <alignment horizontal="left" vertical="center" indent="1"/>
    </xf>
    <xf numFmtId="0" fontId="5" fillId="19" borderId="0" xfId="0" applyFont="1" applyFill="1" applyAlignment="1">
      <alignment horizontal="left" vertical="center" indent="1"/>
    </xf>
    <xf numFmtId="0" fontId="16" fillId="21" borderId="0" xfId="0" applyFont="1" applyFill="1" applyAlignment="1">
      <alignment vertical="center"/>
    </xf>
    <xf numFmtId="0" fontId="16" fillId="21" borderId="0" xfId="0" applyFont="1" applyFill="1"/>
    <xf numFmtId="0" fontId="0" fillId="21" borderId="0" xfId="0" applyFill="1" applyAlignment="1">
      <alignment horizontal="left"/>
    </xf>
    <xf numFmtId="0" fontId="27" fillId="8" borderId="0" xfId="0" applyFont="1" applyFill="1" applyAlignment="1">
      <alignment horizontal="left" vertical="center"/>
    </xf>
    <xf numFmtId="0" fontId="27" fillId="8" borderId="0" xfId="0" applyFont="1" applyFill="1"/>
    <xf numFmtId="0" fontId="27" fillId="8" borderId="0" xfId="0" applyFont="1" applyFill="1" applyAlignment="1">
      <alignment horizontal="left"/>
    </xf>
    <xf numFmtId="0" fontId="0" fillId="22" borderId="0" xfId="0" applyFill="1"/>
    <xf numFmtId="0" fontId="44" fillId="22" borderId="0" xfId="0" applyFont="1" applyFill="1" applyAlignment="1">
      <alignment vertical="center"/>
    </xf>
    <xf numFmtId="0" fontId="44" fillId="22" borderId="0" xfId="0" applyFont="1" applyFill="1"/>
    <xf numFmtId="0" fontId="0" fillId="21" borderId="0" xfId="0" applyFill="1"/>
    <xf numFmtId="0" fontId="45" fillId="17" borderId="0" xfId="0" applyFont="1" applyFill="1"/>
    <xf numFmtId="0" fontId="44" fillId="14" borderId="0" xfId="0" applyFont="1" applyFill="1"/>
    <xf numFmtId="0" fontId="29" fillId="14" borderId="0" xfId="0" applyFont="1" applyFill="1"/>
    <xf numFmtId="0" fontId="4" fillId="3" borderId="0" xfId="0" applyFont="1" applyFill="1"/>
    <xf numFmtId="0" fontId="31" fillId="6" borderId="0" xfId="0" applyFont="1" applyFill="1" applyAlignment="1">
      <alignment vertical="center"/>
    </xf>
    <xf numFmtId="0" fontId="4" fillId="21" borderId="0" xfId="0" applyFont="1" applyFill="1" applyAlignment="1">
      <alignment horizontal="left" vertical="center" indent="1"/>
    </xf>
    <xf numFmtId="0" fontId="0" fillId="21" borderId="0" xfId="0" applyFill="1" applyAlignment="1">
      <alignment horizontal="left" vertical="center" indent="1"/>
    </xf>
    <xf numFmtId="0" fontId="43" fillId="21" borderId="0" xfId="0" applyFont="1" applyFill="1" applyAlignment="1">
      <alignment vertical="center"/>
    </xf>
    <xf numFmtId="0" fontId="31" fillId="23" borderId="0" xfId="0" applyFont="1" applyFill="1" applyAlignment="1">
      <alignment vertical="center"/>
    </xf>
    <xf numFmtId="0" fontId="29" fillId="23" borderId="0" xfId="0" applyFont="1" applyFill="1"/>
    <xf numFmtId="0" fontId="4" fillId="24" borderId="0" xfId="0" applyFont="1" applyFill="1"/>
    <xf numFmtId="0" fontId="0" fillId="24" borderId="0" xfId="0" applyFill="1"/>
    <xf numFmtId="0" fontId="0" fillId="24" borderId="0" xfId="0" applyFill="1" applyAlignment="1">
      <alignment horizontal="left" vertical="center" indent="1"/>
    </xf>
    <xf numFmtId="0" fontId="4" fillId="24" borderId="0" xfId="0" applyFont="1" applyFill="1" applyAlignment="1">
      <alignment horizontal="left" vertical="center" indent="1"/>
    </xf>
    <xf numFmtId="0" fontId="46" fillId="3" borderId="0" xfId="0" applyFont="1" applyFill="1"/>
    <xf numFmtId="0" fontId="3" fillId="3" borderId="0" xfId="0" applyFont="1" applyFill="1"/>
    <xf numFmtId="0" fontId="47" fillId="0" borderId="22" xfId="0" applyFont="1" applyBorder="1" applyAlignment="1">
      <alignment horizontal="center" vertical="top" wrapText="1"/>
    </xf>
    <xf numFmtId="0" fontId="34" fillId="19" borderId="0" xfId="0" applyFont="1" applyFill="1" applyAlignment="1">
      <alignment horizontal="left"/>
    </xf>
    <xf numFmtId="0" fontId="34" fillId="19" borderId="0" xfId="0" applyFont="1" applyFill="1" applyAlignment="1">
      <alignment horizontal="left" vertical="center"/>
    </xf>
    <xf numFmtId="0" fontId="39" fillId="13" borderId="0" xfId="0" applyFont="1" applyFill="1" applyAlignment="1">
      <alignment vertical="center"/>
    </xf>
    <xf numFmtId="0" fontId="5" fillId="19" borderId="0" xfId="0" applyFont="1" applyFill="1" applyAlignment="1">
      <alignment vertical="center"/>
    </xf>
    <xf numFmtId="0" fontId="0" fillId="19" borderId="0" xfId="0" applyFill="1" applyAlignment="1">
      <alignment vertical="center"/>
    </xf>
    <xf numFmtId="0" fontId="3" fillId="19" borderId="0" xfId="0" applyFont="1" applyFill="1" applyAlignment="1">
      <alignment vertical="center"/>
    </xf>
    <xf numFmtId="0" fontId="2" fillId="13" borderId="0" xfId="0" applyFont="1" applyFill="1"/>
    <xf numFmtId="0" fontId="2" fillId="13" borderId="0" xfId="0" applyFont="1" applyFill="1" applyAlignment="1">
      <alignment vertical="center"/>
    </xf>
    <xf numFmtId="0" fontId="35" fillId="11" borderId="0" xfId="0" applyFont="1" applyFill="1" applyAlignment="1">
      <alignment vertical="center"/>
    </xf>
    <xf numFmtId="0" fontId="21" fillId="11" borderId="0" xfId="0" applyFont="1" applyFill="1"/>
    <xf numFmtId="0" fontId="34" fillId="11" borderId="0" xfId="0" applyFont="1" applyFill="1"/>
    <xf numFmtId="0" fontId="21" fillId="0" borderId="0" xfId="0" applyFont="1"/>
    <xf numFmtId="0" fontId="34" fillId="11" borderId="0" xfId="0" applyFont="1" applyFill="1" applyAlignment="1">
      <alignment horizontal="left"/>
    </xf>
    <xf numFmtId="0" fontId="38" fillId="26" borderId="0" xfId="0" applyFont="1" applyFill="1"/>
    <xf numFmtId="0" fontId="0" fillId="26" borderId="0" xfId="0" applyFill="1"/>
    <xf numFmtId="0" fontId="26" fillId="26" borderId="0" xfId="0" applyFont="1" applyFill="1"/>
    <xf numFmtId="0" fontId="48" fillId="25" borderId="0" xfId="2" applyFill="1"/>
    <xf numFmtId="0" fontId="19" fillId="2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Normal 2" xfId="1" xr:uid="{4B9D0B76-5327-4859-89E5-8B60611D9E5C}"/>
  </cellStyles>
  <dxfs count="13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5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0.0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2" formatCode="0.00"/>
    </dxf>
    <dxf>
      <alignment horizontal="center"/>
    </dxf>
    <dxf>
      <numFmt numFmtId="14" formatCode="0.00%"/>
    </dxf>
    <dxf>
      <numFmt numFmtId="166" formatCode="0.0%"/>
    </dxf>
    <dxf>
      <numFmt numFmtId="166" formatCode="0.0%"/>
    </dxf>
    <dxf>
      <alignment horizontal="center"/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font>
        <b/>
      </font>
    </dxf>
    <dxf>
      <font>
        <i val="0"/>
      </font>
    </dxf>
    <dxf>
      <font>
        <b/>
        <family val="2"/>
      </font>
    </dxf>
    <dxf>
      <font>
        <b/>
        <family val="2"/>
      </font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</dxf>
    <dxf>
      <border outline="0"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/>
        <top/>
        <bottom/>
      </border>
    </dxf>
    <dxf>
      <border>
        <left/>
        <right/>
        <top/>
        <bottom/>
      </border>
    </dxf>
    <dxf>
      <alignment vertical="center"/>
    </dxf>
    <dxf>
      <alignment horizontal="center"/>
    </dxf>
    <dxf>
      <alignment horizontal="center"/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14009]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pivotCacheDefinition" Target="pivotCache/pivotCacheDefinition9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8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400"/>
              <a:t>“Engagement vs Ad Spend by Platform</a:t>
            </a:r>
            <a:endParaRPr lang="en-US" sz="2400"/>
          </a:p>
        </c:rich>
      </c:tx>
      <c:layout>
        <c:manualLayout>
          <c:xMode val="edge"/>
          <c:yMode val="edge"/>
          <c:x val="0.38540923944415673"/>
          <c:y val="2.78181717826705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567907216669297E-2"/>
          <c:y val="9.7232860539042641E-3"/>
          <c:w val="0.94544707446290543"/>
          <c:h val="0.8319593700319835"/>
        </c:manualLayout>
      </c:layout>
      <c:scatterChart>
        <c:scatterStyle val="lineMarker"/>
        <c:varyColors val="0"/>
        <c:ser>
          <c:idx val="1"/>
          <c:order val="0"/>
          <c:tx>
            <c:strRef>
              <c:f>'Task3_Social Media Platform ana'!$A$1</c:f>
              <c:strCache>
                <c:ptCount val="1"/>
                <c:pt idx="0">
                  <c:v>Platform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5">
                  <a:tint val="77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tint val="77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tint val="77000"/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'Task3_Social Media Platform ana'!$A$1:$A$201</c:f>
              <c:strCache>
                <c:ptCount val="201"/>
                <c:pt idx="0">
                  <c:v>Platform</c:v>
                </c:pt>
                <c:pt idx="1">
                  <c:v>YouTube</c:v>
                </c:pt>
                <c:pt idx="2">
                  <c:v>Facebook</c:v>
                </c:pt>
                <c:pt idx="3">
                  <c:v>X</c:v>
                </c:pt>
                <c:pt idx="4">
                  <c:v>Instagram</c:v>
                </c:pt>
                <c:pt idx="5">
                  <c:v>YouTube</c:v>
                </c:pt>
                <c:pt idx="6">
                  <c:v>Facebook</c:v>
                </c:pt>
                <c:pt idx="7">
                  <c:v>Instagram</c:v>
                </c:pt>
                <c:pt idx="8">
                  <c:v>YouTube</c:v>
                </c:pt>
                <c:pt idx="9">
                  <c:v>X</c:v>
                </c:pt>
                <c:pt idx="10">
                  <c:v>Instagram</c:v>
                </c:pt>
                <c:pt idx="11">
                  <c:v>Instagram</c:v>
                </c:pt>
                <c:pt idx="12">
                  <c:v>Facebook</c:v>
                </c:pt>
                <c:pt idx="13">
                  <c:v>Facebook</c:v>
                </c:pt>
                <c:pt idx="14">
                  <c:v>Instagram</c:v>
                </c:pt>
                <c:pt idx="15">
                  <c:v>YouTube</c:v>
                </c:pt>
                <c:pt idx="16">
                  <c:v>Instagram</c:v>
                </c:pt>
                <c:pt idx="17">
                  <c:v>Facebook</c:v>
                </c:pt>
                <c:pt idx="18">
                  <c:v>YouTube</c:v>
                </c:pt>
                <c:pt idx="19">
                  <c:v>YouTube</c:v>
                </c:pt>
                <c:pt idx="20">
                  <c:v>Instagram</c:v>
                </c:pt>
                <c:pt idx="21">
                  <c:v>YouTube</c:v>
                </c:pt>
                <c:pt idx="22">
                  <c:v>Facebook</c:v>
                </c:pt>
                <c:pt idx="23">
                  <c:v>Instagram</c:v>
                </c:pt>
                <c:pt idx="24">
                  <c:v>YouTube</c:v>
                </c:pt>
                <c:pt idx="25">
                  <c:v>Facebook</c:v>
                </c:pt>
                <c:pt idx="26">
                  <c:v>Facebook</c:v>
                </c:pt>
                <c:pt idx="27">
                  <c:v>YouTube</c:v>
                </c:pt>
                <c:pt idx="28">
                  <c:v>Instagram</c:v>
                </c:pt>
                <c:pt idx="29">
                  <c:v>X</c:v>
                </c:pt>
                <c:pt idx="30">
                  <c:v>X</c:v>
                </c:pt>
                <c:pt idx="31">
                  <c:v>X</c:v>
                </c:pt>
                <c:pt idx="32">
                  <c:v>X</c:v>
                </c:pt>
                <c:pt idx="33">
                  <c:v>Facebook</c:v>
                </c:pt>
                <c:pt idx="34">
                  <c:v>Instagram</c:v>
                </c:pt>
                <c:pt idx="35">
                  <c:v>X</c:v>
                </c:pt>
                <c:pt idx="36">
                  <c:v>YouTube</c:v>
                </c:pt>
                <c:pt idx="37">
                  <c:v>X</c:v>
                </c:pt>
                <c:pt idx="38">
                  <c:v>X</c:v>
                </c:pt>
                <c:pt idx="39">
                  <c:v>Facebook</c:v>
                </c:pt>
                <c:pt idx="40">
                  <c:v>X</c:v>
                </c:pt>
                <c:pt idx="41">
                  <c:v>YouTube</c:v>
                </c:pt>
                <c:pt idx="42">
                  <c:v>Facebook</c:v>
                </c:pt>
                <c:pt idx="43">
                  <c:v>Facebook</c:v>
                </c:pt>
                <c:pt idx="44">
                  <c:v>YouTube</c:v>
                </c:pt>
                <c:pt idx="45">
                  <c:v>Instagram</c:v>
                </c:pt>
                <c:pt idx="46">
                  <c:v>Facebook</c:v>
                </c:pt>
                <c:pt idx="47">
                  <c:v>X</c:v>
                </c:pt>
                <c:pt idx="48">
                  <c:v>YouTube</c:v>
                </c:pt>
                <c:pt idx="49">
                  <c:v>Instagram</c:v>
                </c:pt>
                <c:pt idx="50">
                  <c:v>Facebook</c:v>
                </c:pt>
                <c:pt idx="51">
                  <c:v>YouTube</c:v>
                </c:pt>
                <c:pt idx="52">
                  <c:v>Instagram</c:v>
                </c:pt>
                <c:pt idx="53">
                  <c:v>Facebook</c:v>
                </c:pt>
                <c:pt idx="54">
                  <c:v>Instagram</c:v>
                </c:pt>
                <c:pt idx="55">
                  <c:v>X</c:v>
                </c:pt>
                <c:pt idx="56">
                  <c:v>Facebook</c:v>
                </c:pt>
                <c:pt idx="57">
                  <c:v>X</c:v>
                </c:pt>
                <c:pt idx="58">
                  <c:v>X</c:v>
                </c:pt>
                <c:pt idx="59">
                  <c:v>Facebook</c:v>
                </c:pt>
                <c:pt idx="60">
                  <c:v>Facebook</c:v>
                </c:pt>
                <c:pt idx="61">
                  <c:v>YouTube</c:v>
                </c:pt>
                <c:pt idx="62">
                  <c:v>X</c:v>
                </c:pt>
                <c:pt idx="63">
                  <c:v>X</c:v>
                </c:pt>
                <c:pt idx="64">
                  <c:v>X</c:v>
                </c:pt>
                <c:pt idx="65">
                  <c:v>Instagram</c:v>
                </c:pt>
                <c:pt idx="66">
                  <c:v>Instagram</c:v>
                </c:pt>
                <c:pt idx="67">
                  <c:v>X</c:v>
                </c:pt>
                <c:pt idx="68">
                  <c:v>X</c:v>
                </c:pt>
                <c:pt idx="69">
                  <c:v>Instagram</c:v>
                </c:pt>
                <c:pt idx="70">
                  <c:v>Instagram</c:v>
                </c:pt>
                <c:pt idx="71">
                  <c:v>YouTube</c:v>
                </c:pt>
                <c:pt idx="72">
                  <c:v>Instagram</c:v>
                </c:pt>
                <c:pt idx="73">
                  <c:v>Instagram</c:v>
                </c:pt>
                <c:pt idx="74">
                  <c:v>X</c:v>
                </c:pt>
                <c:pt idx="75">
                  <c:v>YouTube</c:v>
                </c:pt>
                <c:pt idx="76">
                  <c:v>YouTube</c:v>
                </c:pt>
                <c:pt idx="77">
                  <c:v>Instagram</c:v>
                </c:pt>
                <c:pt idx="78">
                  <c:v>YouTube</c:v>
                </c:pt>
                <c:pt idx="79">
                  <c:v>Facebook</c:v>
                </c:pt>
                <c:pt idx="80">
                  <c:v>Facebook</c:v>
                </c:pt>
                <c:pt idx="81">
                  <c:v>Facebook</c:v>
                </c:pt>
                <c:pt idx="82">
                  <c:v>X</c:v>
                </c:pt>
                <c:pt idx="83">
                  <c:v>Instagram</c:v>
                </c:pt>
                <c:pt idx="84">
                  <c:v>Instagram</c:v>
                </c:pt>
                <c:pt idx="85">
                  <c:v>Instagram</c:v>
                </c:pt>
                <c:pt idx="86">
                  <c:v>Facebook</c:v>
                </c:pt>
                <c:pt idx="87">
                  <c:v>YouTube</c:v>
                </c:pt>
                <c:pt idx="88">
                  <c:v>X</c:v>
                </c:pt>
                <c:pt idx="89">
                  <c:v>Facebook</c:v>
                </c:pt>
                <c:pt idx="90">
                  <c:v>YouTube</c:v>
                </c:pt>
                <c:pt idx="91">
                  <c:v>Instagram</c:v>
                </c:pt>
                <c:pt idx="92">
                  <c:v>YouTube</c:v>
                </c:pt>
                <c:pt idx="93">
                  <c:v>Facebook</c:v>
                </c:pt>
                <c:pt idx="94">
                  <c:v>X</c:v>
                </c:pt>
                <c:pt idx="95">
                  <c:v>Instagram</c:v>
                </c:pt>
                <c:pt idx="96">
                  <c:v>Instagram</c:v>
                </c:pt>
                <c:pt idx="97">
                  <c:v>Instagram</c:v>
                </c:pt>
                <c:pt idx="98">
                  <c:v>X</c:v>
                </c:pt>
                <c:pt idx="99">
                  <c:v>Facebook</c:v>
                </c:pt>
                <c:pt idx="100">
                  <c:v>Facebook</c:v>
                </c:pt>
                <c:pt idx="101">
                  <c:v>X</c:v>
                </c:pt>
                <c:pt idx="102">
                  <c:v>YouTube</c:v>
                </c:pt>
                <c:pt idx="103">
                  <c:v>YouTube</c:v>
                </c:pt>
                <c:pt idx="104">
                  <c:v>YouTube</c:v>
                </c:pt>
                <c:pt idx="105">
                  <c:v>YouTube</c:v>
                </c:pt>
                <c:pt idx="106">
                  <c:v>X</c:v>
                </c:pt>
                <c:pt idx="107">
                  <c:v>X</c:v>
                </c:pt>
                <c:pt idx="108">
                  <c:v>Instagram</c:v>
                </c:pt>
                <c:pt idx="109">
                  <c:v>X</c:v>
                </c:pt>
                <c:pt idx="110">
                  <c:v>X</c:v>
                </c:pt>
                <c:pt idx="111">
                  <c:v>YouTube</c:v>
                </c:pt>
                <c:pt idx="112">
                  <c:v>Instagram</c:v>
                </c:pt>
                <c:pt idx="113">
                  <c:v>X</c:v>
                </c:pt>
                <c:pt idx="114">
                  <c:v>Facebook</c:v>
                </c:pt>
                <c:pt idx="115">
                  <c:v>X</c:v>
                </c:pt>
                <c:pt idx="116">
                  <c:v>Facebook</c:v>
                </c:pt>
                <c:pt idx="117">
                  <c:v>Facebook</c:v>
                </c:pt>
                <c:pt idx="118">
                  <c:v>Facebook</c:v>
                </c:pt>
                <c:pt idx="119">
                  <c:v>YouTube</c:v>
                </c:pt>
                <c:pt idx="120">
                  <c:v>YouTube</c:v>
                </c:pt>
                <c:pt idx="121">
                  <c:v>YouTube</c:v>
                </c:pt>
                <c:pt idx="122">
                  <c:v>X</c:v>
                </c:pt>
                <c:pt idx="123">
                  <c:v>X</c:v>
                </c:pt>
                <c:pt idx="124">
                  <c:v>Instagram</c:v>
                </c:pt>
                <c:pt idx="125">
                  <c:v>Instagram</c:v>
                </c:pt>
                <c:pt idx="126">
                  <c:v>YouTube</c:v>
                </c:pt>
                <c:pt idx="127">
                  <c:v>Facebook</c:v>
                </c:pt>
                <c:pt idx="128">
                  <c:v>Facebook</c:v>
                </c:pt>
                <c:pt idx="129">
                  <c:v>X</c:v>
                </c:pt>
                <c:pt idx="130">
                  <c:v>Facebook</c:v>
                </c:pt>
                <c:pt idx="131">
                  <c:v>YouTube</c:v>
                </c:pt>
                <c:pt idx="132">
                  <c:v>Facebook</c:v>
                </c:pt>
                <c:pt idx="133">
                  <c:v>X</c:v>
                </c:pt>
                <c:pt idx="134">
                  <c:v>Instagram</c:v>
                </c:pt>
                <c:pt idx="135">
                  <c:v>X</c:v>
                </c:pt>
                <c:pt idx="136">
                  <c:v>YouTube</c:v>
                </c:pt>
                <c:pt idx="137">
                  <c:v>Instagram</c:v>
                </c:pt>
                <c:pt idx="138">
                  <c:v>YouTube</c:v>
                </c:pt>
                <c:pt idx="139">
                  <c:v>X</c:v>
                </c:pt>
                <c:pt idx="140">
                  <c:v>Facebook</c:v>
                </c:pt>
                <c:pt idx="141">
                  <c:v>X</c:v>
                </c:pt>
                <c:pt idx="142">
                  <c:v>Instagram</c:v>
                </c:pt>
                <c:pt idx="143">
                  <c:v>Facebook</c:v>
                </c:pt>
                <c:pt idx="144">
                  <c:v>YouTube</c:v>
                </c:pt>
                <c:pt idx="145">
                  <c:v>Facebook</c:v>
                </c:pt>
                <c:pt idx="146">
                  <c:v>X</c:v>
                </c:pt>
                <c:pt idx="147">
                  <c:v>Facebook</c:v>
                </c:pt>
                <c:pt idx="148">
                  <c:v>Instagram</c:v>
                </c:pt>
                <c:pt idx="149">
                  <c:v>Instagram</c:v>
                </c:pt>
                <c:pt idx="150">
                  <c:v>YouTube</c:v>
                </c:pt>
                <c:pt idx="151">
                  <c:v>X</c:v>
                </c:pt>
                <c:pt idx="152">
                  <c:v>YouTube</c:v>
                </c:pt>
                <c:pt idx="153">
                  <c:v>X</c:v>
                </c:pt>
                <c:pt idx="154">
                  <c:v>YouTube</c:v>
                </c:pt>
                <c:pt idx="155">
                  <c:v>YouTube</c:v>
                </c:pt>
                <c:pt idx="156">
                  <c:v>Instagram</c:v>
                </c:pt>
                <c:pt idx="157">
                  <c:v>Facebook</c:v>
                </c:pt>
                <c:pt idx="158">
                  <c:v>Instagram</c:v>
                </c:pt>
                <c:pt idx="159">
                  <c:v>Instagram</c:v>
                </c:pt>
                <c:pt idx="160">
                  <c:v>Instagram</c:v>
                </c:pt>
                <c:pt idx="161">
                  <c:v>YouTube</c:v>
                </c:pt>
                <c:pt idx="162">
                  <c:v>Instagram</c:v>
                </c:pt>
                <c:pt idx="163">
                  <c:v>Instagram</c:v>
                </c:pt>
                <c:pt idx="164">
                  <c:v>X</c:v>
                </c:pt>
                <c:pt idx="165">
                  <c:v>YouTube</c:v>
                </c:pt>
                <c:pt idx="166">
                  <c:v>Facebook</c:v>
                </c:pt>
                <c:pt idx="167">
                  <c:v>Facebook</c:v>
                </c:pt>
                <c:pt idx="168">
                  <c:v>YouTube</c:v>
                </c:pt>
                <c:pt idx="169">
                  <c:v>YouTube</c:v>
                </c:pt>
                <c:pt idx="170">
                  <c:v>YouTube</c:v>
                </c:pt>
                <c:pt idx="171">
                  <c:v>Instagram</c:v>
                </c:pt>
                <c:pt idx="172">
                  <c:v>X</c:v>
                </c:pt>
                <c:pt idx="173">
                  <c:v>Facebook</c:v>
                </c:pt>
                <c:pt idx="174">
                  <c:v>YouTube</c:v>
                </c:pt>
                <c:pt idx="175">
                  <c:v>YouTube</c:v>
                </c:pt>
                <c:pt idx="176">
                  <c:v>Facebook</c:v>
                </c:pt>
                <c:pt idx="177">
                  <c:v>X</c:v>
                </c:pt>
                <c:pt idx="178">
                  <c:v>Facebook</c:v>
                </c:pt>
                <c:pt idx="179">
                  <c:v>Instagram</c:v>
                </c:pt>
                <c:pt idx="180">
                  <c:v>X</c:v>
                </c:pt>
                <c:pt idx="181">
                  <c:v>X</c:v>
                </c:pt>
                <c:pt idx="182">
                  <c:v>Facebook</c:v>
                </c:pt>
                <c:pt idx="183">
                  <c:v>Instagram</c:v>
                </c:pt>
                <c:pt idx="184">
                  <c:v>X</c:v>
                </c:pt>
                <c:pt idx="185">
                  <c:v>X</c:v>
                </c:pt>
                <c:pt idx="186">
                  <c:v>Facebook</c:v>
                </c:pt>
                <c:pt idx="187">
                  <c:v>X</c:v>
                </c:pt>
                <c:pt idx="188">
                  <c:v>YouTube</c:v>
                </c:pt>
                <c:pt idx="189">
                  <c:v>Facebook</c:v>
                </c:pt>
                <c:pt idx="190">
                  <c:v>YouTube</c:v>
                </c:pt>
                <c:pt idx="191">
                  <c:v>Instagram</c:v>
                </c:pt>
                <c:pt idx="192">
                  <c:v>Instagram</c:v>
                </c:pt>
                <c:pt idx="193">
                  <c:v>X</c:v>
                </c:pt>
                <c:pt idx="194">
                  <c:v>Facebook</c:v>
                </c:pt>
                <c:pt idx="195">
                  <c:v>Facebook</c:v>
                </c:pt>
                <c:pt idx="196">
                  <c:v>Instagram</c:v>
                </c:pt>
                <c:pt idx="197">
                  <c:v>Facebook</c:v>
                </c:pt>
                <c:pt idx="198">
                  <c:v>YouTube</c:v>
                </c:pt>
                <c:pt idx="199">
                  <c:v>Instagram</c:v>
                </c:pt>
                <c:pt idx="200">
                  <c:v>YouTube</c:v>
                </c:pt>
              </c:strCache>
            </c:str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F5C-4950-8DA1-64372477D988}"/>
            </c:ext>
          </c:extLst>
        </c:ser>
        <c:ser>
          <c:idx val="0"/>
          <c:order val="1"/>
          <c:tx>
            <c:strRef>
              <c:f>'Task3_Social Media Platform ana'!$F$1</c:f>
              <c:strCache>
                <c:ptCount val="1"/>
                <c:pt idx="0">
                  <c:v>Ad_Spend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5">
                  <a:shade val="76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0B96BC2-1297-4609-A89A-AE51DF52792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F5C-4950-8DA1-64372477D98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BAC86A4-B91A-4233-B3A3-CCC110515DD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F5C-4950-8DA1-64372477D98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572C6FB-02D9-443F-A35B-155B58F6631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F5C-4950-8DA1-64372477D98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DFD5A34-B0E7-482C-806D-A0F614A9578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F5C-4950-8DA1-64372477D98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0ADBC99-610D-457F-81F8-084B2284763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F5C-4950-8DA1-64372477D98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87990E3-32C1-4C34-A461-F2E904D7E2E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F5C-4950-8DA1-64372477D98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94EB950-2B77-4CB6-909A-B5981FEF9AB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F5C-4950-8DA1-64372477D98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C319FE1-6A4F-4077-B99B-BAAAFA6B5DC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F5C-4950-8DA1-64372477D98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FEE908A-DCE5-4662-8AAB-A49157049D1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F5C-4950-8DA1-64372477D98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DE6FA20-B9EA-4A86-8D54-7C947463D85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F5C-4950-8DA1-64372477D98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3719667-5FEF-4646-B45D-DA9D4E6C70A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F5C-4950-8DA1-64372477D98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4532628-95E2-45B4-A625-8884FFD650D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F5C-4950-8DA1-64372477D98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EABFEC6-3840-419D-818A-4E68392B588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F5C-4950-8DA1-64372477D98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FFD3AE0-4950-4D90-A616-C696462D0E5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F5C-4950-8DA1-64372477D98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11D2A65-688A-4F73-B8DA-A8365E16E47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F5C-4950-8DA1-64372477D98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3A8E086-5A0C-4AFC-A74F-BA0D72FB93D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F5C-4950-8DA1-64372477D98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DACF88A-7360-488E-9972-1BC5D289DC3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F5C-4950-8DA1-64372477D98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5DE66DE-7A51-4EA5-BC25-E314E16A1E5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F5C-4950-8DA1-64372477D98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9FD0928-D3A5-4BAA-97AD-79236949A42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F5C-4950-8DA1-64372477D98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D47EB52-E11C-4692-8B61-84B0FC17DF2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F5C-4950-8DA1-64372477D98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56D9248-637E-440E-80C6-9E346EF1F90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F5C-4950-8DA1-64372477D98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3B59665-DA95-456E-9847-E6B950745FE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3F5C-4950-8DA1-64372477D988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A140D53-4329-4715-9197-D0321522FB3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3F5C-4950-8DA1-64372477D98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5757CB6-B64E-40F2-BFD4-7E8C6E955BF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F5C-4950-8DA1-64372477D98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0DF98D53-2260-4DAE-9DCE-9EE0A0C57BC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3F5C-4950-8DA1-64372477D98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783CE110-F997-44F0-BD77-90E32F381CE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3F5C-4950-8DA1-64372477D98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838B827A-6F6E-470B-8D22-A2758FE3F30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3F5C-4950-8DA1-64372477D98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F9F2D440-A804-4E4E-9436-2D29AE025BA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3F5C-4950-8DA1-64372477D98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9C5322EB-D9A6-48F0-AD57-1D82AFB4EBE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3F5C-4950-8DA1-64372477D98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14562CFD-26AD-4FD9-9A83-C210606FEF6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3F5C-4950-8DA1-64372477D98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A073A8F9-AEDD-4CA8-9544-5ACC7A27D79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3F5C-4950-8DA1-64372477D98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2A9E18E0-63FD-4EFF-979D-07117D19B12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3F5C-4950-8DA1-64372477D98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4DFA46BC-ED76-469C-83E1-AABC9573D09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3F5C-4950-8DA1-64372477D98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165B6D95-8A25-457C-BF2C-76054CC4F6E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3F5C-4950-8DA1-64372477D988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8B149D85-D516-4E03-851A-C1373DAE088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3F5C-4950-8DA1-64372477D988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1C86C231-5D67-4BC1-94E2-EC7FCA6E60B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3F5C-4950-8DA1-64372477D988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3FCD725C-02D1-48C4-92E5-F82049E85CB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3F5C-4950-8DA1-64372477D988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754595BE-1E00-4FF0-876D-B0245352A6D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3F5C-4950-8DA1-64372477D988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805668D7-9366-4B85-A637-821376C24FB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3F5C-4950-8DA1-64372477D988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1064DA9D-D5AD-4B6E-953E-B7452C11733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3F5C-4950-8DA1-64372477D988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8F499521-E640-4B19-A69B-84B8531CE0C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3F5C-4950-8DA1-64372477D988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976BF1B7-97EF-4BBC-AA6F-6E885EEDA19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3F5C-4950-8DA1-64372477D988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8CCD2160-483C-4E8E-AF2B-596608114E2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3F5C-4950-8DA1-64372477D988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1EED562F-6141-49D7-8FD8-4770A5FAAA1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3F5C-4950-8DA1-64372477D988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7D00D5B5-8C09-4C01-BB74-F32E945261F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3F5C-4950-8DA1-64372477D988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0871C685-8BE7-468A-AE3D-9F530909CFC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3F5C-4950-8DA1-64372477D988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ECD02703-F44E-4A0B-9409-357C216AFE4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3F5C-4950-8DA1-64372477D988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9B35758C-0F07-4932-96F1-8B4AD47F89A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3F5C-4950-8DA1-64372477D988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7FC3C212-40B3-4F82-99FE-C5A87BD5CDC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3F5C-4950-8DA1-64372477D988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C66F0CCB-3C8D-4148-AC03-726A146C126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3F5C-4950-8DA1-64372477D988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71AF8FB6-93D6-4D13-9501-4D4B7CE5E15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3F5C-4950-8DA1-64372477D988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9FCC904A-2F71-44E6-8C09-486E3CC325A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3F5C-4950-8DA1-64372477D988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A3C00506-E3B1-4BFC-8FC8-9BA19798461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3F5C-4950-8DA1-64372477D988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B2031AD8-5B39-485C-82B4-6583F7ED62F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3F5C-4950-8DA1-64372477D988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61A7CB33-792B-437A-889A-C3108CA009C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3F5C-4950-8DA1-64372477D988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959FF4BB-98C5-478E-AA10-DBD197E5899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3F5C-4950-8DA1-64372477D988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8D0CE88F-617A-40DE-8DC9-0D15E2AAE26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3F5C-4950-8DA1-64372477D988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1C9A1004-BB89-48FB-91AC-A47DF2AED5F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3F5C-4950-8DA1-64372477D988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764DD31A-E8BA-4FEB-AD88-51D64830E13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3F5C-4950-8DA1-64372477D988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AFE01F40-4E8D-496C-8D66-8F52C3C1C8A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3F5C-4950-8DA1-64372477D988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393AE0C7-F0DB-4444-8C0D-B57C624298B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3F5C-4950-8DA1-64372477D988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59835CAC-55DE-4321-8225-6FF802A814C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3F5C-4950-8DA1-64372477D988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16ECBBE0-07A6-4C1F-BA6A-67C3B643684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3F5C-4950-8DA1-64372477D988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5D01E1BB-FE3A-4BCF-9A58-F9E3B7B39BC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3F5C-4950-8DA1-64372477D988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3DE7486D-84AC-4C35-82EB-6E3F634FB68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3F5C-4950-8DA1-64372477D988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1A3EFBDB-8236-4821-A2DF-25183FB24A7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3F5C-4950-8DA1-64372477D988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63E836BB-BB83-419D-8C55-EED7651001D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3F5C-4950-8DA1-64372477D988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82C67E5C-7AAC-45AD-8C3E-77FB6130C9C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3F5C-4950-8DA1-64372477D988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D1CB48B9-8AFA-4AE9-8392-6C595484825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3F5C-4950-8DA1-64372477D988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84A1D752-1722-43B5-AB09-4B8B86D8372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3F5C-4950-8DA1-64372477D988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2D80C0D4-2008-4CD3-8325-57EBDC7512B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3F5C-4950-8DA1-64372477D988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CFF51AB3-BA40-4604-B801-BBA07CABEB3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3F5C-4950-8DA1-64372477D988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24611114-BA17-48D3-B724-5844D5873C1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3F5C-4950-8DA1-64372477D988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4EF5DC93-330C-4000-9898-C4BB72BA53A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3F5C-4950-8DA1-64372477D988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58A3118E-D0BA-4EDF-911A-8551DA3BC30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3F5C-4950-8DA1-64372477D988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6C9AE54D-928E-424D-BEB7-881739D3D79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3F5C-4950-8DA1-64372477D988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80410524-EFA5-419F-9D20-E99EBC554BE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3F5C-4950-8DA1-64372477D988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FE2167AC-E0E5-4106-926B-C3C7D544BF9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3F5C-4950-8DA1-64372477D988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6BAD531C-9EE0-492F-AC9F-67BF7B86EFC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3F5C-4950-8DA1-64372477D988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286B0AA9-B561-4231-A471-EA2BEDE1296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3F5C-4950-8DA1-64372477D988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8E070380-CED3-4354-9F5E-826E11F467F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3F5C-4950-8DA1-64372477D988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AB92E67A-F2E7-498F-B4A2-648862D33ED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3F5C-4950-8DA1-64372477D988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8F6DDC70-8644-44AE-A760-7E61AF6F674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3F5C-4950-8DA1-64372477D988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6877808E-71C9-4A13-A8C5-3F8CFA56060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3F5C-4950-8DA1-64372477D988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A9465593-F5E9-4CD4-9CA9-8E896A770C6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3F5C-4950-8DA1-64372477D988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49ADE5FA-9FCB-4EF5-86AC-B78B45428B4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3F5C-4950-8DA1-64372477D988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684EA96A-37DF-4482-B641-7D9DB552BCB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3F5C-4950-8DA1-64372477D988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FA00A509-D78D-4161-8A48-5C861FA5B07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3F5C-4950-8DA1-64372477D988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C1059ABF-EB82-48D5-B02F-1A5D1A339E9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3F5C-4950-8DA1-64372477D988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5F3CFE98-49DB-4E43-9382-802F673E318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3F5C-4950-8DA1-64372477D988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743C3F30-E4EF-46EC-960A-99991E79F0B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3F5C-4950-8DA1-64372477D988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69941DE1-CF49-4159-849B-DC913A0F7A9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3F5C-4950-8DA1-64372477D988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137A86AB-74BE-4D66-9229-1A4961C39A5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3F5C-4950-8DA1-64372477D988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53522C98-A185-4BF4-BA17-8D6B36DA83C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3F5C-4950-8DA1-64372477D988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D37009D0-0206-4FF5-99E5-0DC318523F0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3F5C-4950-8DA1-64372477D988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1B22C432-597C-4A73-81DE-742C6BAA28F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3F5C-4950-8DA1-64372477D988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D3F67E50-374D-4CDF-BA3A-C9495C6F8ED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3F5C-4950-8DA1-64372477D988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09B36D51-FE6C-44DC-AC41-C0B5300177B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3F5C-4950-8DA1-64372477D988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A9F99514-7D7F-4369-B088-CAF37747070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3F5C-4950-8DA1-64372477D988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59965787-F3CB-4D90-B45D-B5F42B5C1DC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3F5C-4950-8DA1-64372477D988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F8513345-1753-4573-A0F3-8EC742080A7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3F5C-4950-8DA1-64372477D988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6D8F1405-DE25-4DC3-988C-555670AAFFE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3F5C-4950-8DA1-64372477D988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2161C40F-3F94-4067-9A55-38F30BF53FB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3F5C-4950-8DA1-64372477D988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9334D591-77B0-406C-841F-20318E35485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3F5C-4950-8DA1-64372477D988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93E45556-D2C7-42F8-B6C3-2143EE42D78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3F5C-4950-8DA1-64372477D988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A0437F1D-EF79-4F88-8CAC-DE988597113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3F5C-4950-8DA1-64372477D988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0EF0E109-6E54-44D1-949B-919F0C730BE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3F5C-4950-8DA1-64372477D988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A0CF1185-C0A7-4F90-9674-7EFD01DE956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3F5C-4950-8DA1-64372477D988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F6A540D2-5111-49AF-98BA-B6F4D31B582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3F5C-4950-8DA1-64372477D988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37E92E23-6572-4DF9-B4E3-D8B0A058CD7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3F5C-4950-8DA1-64372477D988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11CDACF1-F036-4208-BE19-6BD0D5D2D47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3F5C-4950-8DA1-64372477D988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D9F8A59D-D0C4-4981-8A1D-0D5BECB87AA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3F5C-4950-8DA1-64372477D988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AA1E084F-C4D1-466B-AFB0-8A35382A9A1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3F5C-4950-8DA1-64372477D988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739784D5-6B48-480E-BF71-A5D34244515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3F5C-4950-8DA1-64372477D988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87649666-4AB8-47C3-8A34-16D0EE9C172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3F5C-4950-8DA1-64372477D988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DAD299F6-9D32-4214-B00E-B99CEF0FB3B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3F5C-4950-8DA1-64372477D988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46F7DEDC-54D2-4ED2-A400-1D9A051BC83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3F5C-4950-8DA1-64372477D988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769D94B1-52DD-408A-B411-BD85CAD616C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3F5C-4950-8DA1-64372477D988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B56DA2F6-29AB-4B0B-938D-3CCE5B6A2E2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3F5C-4950-8DA1-64372477D988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6DADD933-4F46-48AE-95C4-3979AE38771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3F5C-4950-8DA1-64372477D988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6425EFEF-30BC-4B0B-B441-822417C1210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3F5C-4950-8DA1-64372477D988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33B79D45-F805-4FA1-89B6-970F228C5C4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3F5C-4950-8DA1-64372477D988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3A6F1D71-51CC-488E-A553-605148BE4CA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3F5C-4950-8DA1-64372477D988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2655C3C1-78CF-4236-A448-5199994257F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3F5C-4950-8DA1-64372477D988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945445DA-45B6-4770-B46A-08A4C888107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3F5C-4950-8DA1-64372477D988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A3229D8C-5B59-43E6-91DA-56E4166ECFA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3F5C-4950-8DA1-64372477D988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7DCC966C-A63E-431D-991A-19DA62FA2D0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3F5C-4950-8DA1-64372477D988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5FBA9597-D967-43C4-A073-A61FD282B2C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3F5C-4950-8DA1-64372477D988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F128C5C4-0D7C-41FD-9E61-F47E13E9709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3F5C-4950-8DA1-64372477D988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7ACDCA9F-301D-47B7-B789-B9306434627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3F5C-4950-8DA1-64372477D988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72D33F76-B208-4C7A-9316-8A95DE49F1D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3F5C-4950-8DA1-64372477D988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5226CF59-C938-453B-BDD9-EBBE8FB1168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3F5C-4950-8DA1-64372477D988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387B05FE-0DC8-4E21-A315-9E1C69E3992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3F5C-4950-8DA1-64372477D988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8CF8848E-1008-4A98-A215-5C855FC1585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3F5C-4950-8DA1-64372477D988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0281E31A-2AA7-4819-A78D-DB82E2AED50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3F5C-4950-8DA1-64372477D988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DBE3563C-F28A-49C0-82F0-664EB1E4837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3F5C-4950-8DA1-64372477D988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C8FABD83-5FFF-412C-A0D6-0C8122FB880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3F5C-4950-8DA1-64372477D988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F949AC64-3C56-4263-938D-894A081AAF9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3F5C-4950-8DA1-64372477D988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7418DD7D-93AC-4992-AF71-5C543CE442C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3F5C-4950-8DA1-64372477D988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C707F918-65AF-4DFB-AE0A-01E1D748D14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3F5C-4950-8DA1-64372477D988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E835BA1F-8B61-451B-91D6-8CCC743868F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3F5C-4950-8DA1-64372477D988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199A25CE-AD49-46FE-959C-C3749A46A4F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3F5C-4950-8DA1-64372477D988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CC3873F1-E372-4827-847E-C0B63B2F097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3F5C-4950-8DA1-64372477D988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6BAF9610-201E-4534-A6C4-2E67EFEDC26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3F5C-4950-8DA1-64372477D988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2B46309F-6910-47B3-B0AC-D7287E81F5C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3F5C-4950-8DA1-64372477D988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6D76A5C3-9A73-47D7-AD3D-259F39BAFC3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3F5C-4950-8DA1-64372477D988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034EDC22-D977-4FA8-994F-E2C27B8A56E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3F5C-4950-8DA1-64372477D988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13DFDF44-2DC2-4BB1-B0E4-8BCB4C6DCD1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3F5C-4950-8DA1-64372477D988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FC7140C1-4C47-4632-B7E3-BFE1E33600F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3F5C-4950-8DA1-64372477D988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9674835C-8AC4-46A7-9DA3-10288A136D3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3F5C-4950-8DA1-64372477D988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B6761D56-E5B4-4464-A106-30AE2CD5588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3F5C-4950-8DA1-64372477D988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0E814AC5-DDDF-4E65-BE2F-E37069E4417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3F5C-4950-8DA1-64372477D988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D794D6D7-0250-4F97-8290-2ACECAA2A10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3F5C-4950-8DA1-64372477D988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7A67EA03-ADA7-4436-AAAB-B070152EEAF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3F5C-4950-8DA1-64372477D988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C3D671A9-2FBD-435F-A429-626304A56CE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3F5C-4950-8DA1-64372477D988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6E7FE9AB-B7F7-4A2D-98D4-07FC336C65B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3F5C-4950-8DA1-64372477D988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5D9B624D-5108-4786-BEB3-78C8AB214E7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3F5C-4950-8DA1-64372477D988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EA9DF9C4-6641-493F-8F4E-2C9242C803C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3F5C-4950-8DA1-64372477D988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F7FF367F-15CE-4613-AF9F-50C83A0BC75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3F5C-4950-8DA1-64372477D988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A1C916B2-1094-44B9-A8ED-C54D0BF0A05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3F5C-4950-8DA1-64372477D988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02FB97C1-1529-43E2-9B3B-49DC2CAF577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3F5C-4950-8DA1-64372477D988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B13DF538-3460-4C25-A79F-4139BA17436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3F5C-4950-8DA1-64372477D988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1342A4F3-14DE-4C04-B034-C25C33BC3F8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3F5C-4950-8DA1-64372477D988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0B6ECB2F-3593-40CB-A1A8-01FF1916368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3F5C-4950-8DA1-64372477D988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5D1B8386-7BDB-4E27-BCDB-864EC0B73BD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3F5C-4950-8DA1-64372477D988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99B1C6A0-4D3C-4F88-A3EF-BBFEED2946B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3F5C-4950-8DA1-64372477D988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48AEB0D2-3FC3-4A3F-BB52-07453EAAB0F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3F5C-4950-8DA1-64372477D988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D19E3723-C049-496B-8B00-527E7C8C917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3F5C-4950-8DA1-64372477D988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6D47095C-5E58-4300-BFFE-63B6358F3E8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3F5C-4950-8DA1-64372477D988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A03B5B74-989F-44CD-B4AC-B8ABD435698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3F5C-4950-8DA1-64372477D988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A79A7939-DBA1-4F86-9F67-EE8A48FC744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3F5C-4950-8DA1-64372477D988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F6896447-C8B7-4FB0-917B-42FAFD6E143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3F5C-4950-8DA1-64372477D988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153FF105-D056-455C-9BB8-5B7CD0CE811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3F5C-4950-8DA1-64372477D988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16CCD601-7FD9-4B58-ABE7-455F15C11B3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3F5C-4950-8DA1-64372477D988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5243973B-53F3-47E3-9A54-386042E730C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3F5C-4950-8DA1-64372477D988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366BC9E1-FC6D-499A-AD3C-B9FDA4619A7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3F5C-4950-8DA1-64372477D988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FC7E5A4E-0ECE-4E09-A7B0-8263CA61A1E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3F5C-4950-8DA1-64372477D988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C93187C2-8B83-4F42-9D4B-3870704CCB4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3F5C-4950-8DA1-64372477D988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56170DEF-38D4-461C-9C9F-3915CF19A88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3F5C-4950-8DA1-64372477D988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B8309412-FBED-4F6F-B37C-9642F4B5507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3F5C-4950-8DA1-64372477D988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9E42F486-9F99-4FCD-AA3C-CFC94E6585F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3F5C-4950-8DA1-64372477D988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E6E078B4-C9B6-489F-B979-697105374D1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3F5C-4950-8DA1-64372477D988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5FF18ED7-E603-4BED-9D93-D33975D5A26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3F5C-4950-8DA1-64372477D988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14D2748F-B5B7-4CDC-AFA6-21AFA06B8FC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3F5C-4950-8DA1-64372477D988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D2FE3996-6657-42B3-84B1-40BE5D06BC0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3F5C-4950-8DA1-64372477D988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0D4E9B1C-1D41-409B-8759-B33CA3321DC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3F5C-4950-8DA1-64372477D988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44A36095-AC16-4D59-B376-FE0A2FD6AB0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3F5C-4950-8DA1-64372477D988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66989D45-92A5-401E-85EA-632756A2270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3F5C-4950-8DA1-64372477D988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120BE35D-DA89-4150-827F-9F74ECE8C75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3F5C-4950-8DA1-64372477D988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D984D8B6-F5CC-4C14-A3D8-7D4F75BFE4F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3F5C-4950-8DA1-64372477D988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B49B0B75-58A7-494C-9567-1B81F62DE7D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3F5C-4950-8DA1-64372477D988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08A19FA8-6915-469A-BCDE-4F278D72885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3F5C-4950-8DA1-64372477D988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4062DE6A-98D4-42DE-B3F1-BB7D7FFBAC6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3F5C-4950-8DA1-64372477D988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38CB8B50-4FEE-4DED-AAC4-370C951FDA9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3F5C-4950-8DA1-64372477D988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34A4E355-144E-4A1D-8A44-D1BFCFE4EDF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3F5C-4950-8DA1-64372477D988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ADD57291-D0D6-4EC1-AE07-CF718E35B09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3F5C-4950-8DA1-64372477D988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56ACDAEF-4BF7-449D-B682-DCD76C1E5D6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3F5C-4950-8DA1-64372477D988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D4401A80-871B-4962-8370-0B2E54345A1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3F5C-4950-8DA1-64372477D988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6C21F4E0-3342-4886-BF0E-F467269F62F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3F5C-4950-8DA1-64372477D988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B9951296-E4D6-43B5-A4C0-C100E35A694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3F5C-4950-8DA1-64372477D988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3F5C-4950-8DA1-64372477D988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3F5C-4950-8DA1-64372477D988}"/>
                </c:ext>
              </c:extLst>
            </c:dLbl>
            <c:spPr>
              <a:solidFill>
                <a:srgbClr val="000000">
                  <a:lumMod val="65000"/>
                  <a:lumOff val="35000"/>
                </a:srgb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15000"/>
                        <a:lumOff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'Task3_Social Media Platform ana'!$E$2:$E$203</c:f>
              <c:numCache>
                <c:formatCode>0.00</c:formatCode>
                <c:ptCount val="202"/>
                <c:pt idx="0">
                  <c:v>9.48</c:v>
                </c:pt>
                <c:pt idx="1">
                  <c:v>9.4600000000000009</c:v>
                </c:pt>
                <c:pt idx="2">
                  <c:v>9.43</c:v>
                </c:pt>
                <c:pt idx="3">
                  <c:v>9.41</c:v>
                </c:pt>
                <c:pt idx="4">
                  <c:v>9.4</c:v>
                </c:pt>
                <c:pt idx="5">
                  <c:v>9.39</c:v>
                </c:pt>
                <c:pt idx="6">
                  <c:v>9.36</c:v>
                </c:pt>
                <c:pt idx="7">
                  <c:v>9.3000000000000007</c:v>
                </c:pt>
                <c:pt idx="8">
                  <c:v>9.24</c:v>
                </c:pt>
                <c:pt idx="9">
                  <c:v>9.24</c:v>
                </c:pt>
                <c:pt idx="10">
                  <c:v>9.23</c:v>
                </c:pt>
                <c:pt idx="11">
                  <c:v>9.1999999999999993</c:v>
                </c:pt>
                <c:pt idx="12">
                  <c:v>9.1199999999999992</c:v>
                </c:pt>
                <c:pt idx="13">
                  <c:v>9.09</c:v>
                </c:pt>
                <c:pt idx="14">
                  <c:v>9.08</c:v>
                </c:pt>
                <c:pt idx="15">
                  <c:v>9.0500000000000007</c:v>
                </c:pt>
                <c:pt idx="16">
                  <c:v>9.0399999999999991</c:v>
                </c:pt>
                <c:pt idx="17">
                  <c:v>9.0299999999999994</c:v>
                </c:pt>
                <c:pt idx="18">
                  <c:v>8.99</c:v>
                </c:pt>
                <c:pt idx="19">
                  <c:v>8.9</c:v>
                </c:pt>
                <c:pt idx="20">
                  <c:v>8.9</c:v>
                </c:pt>
                <c:pt idx="21">
                  <c:v>8.84</c:v>
                </c:pt>
                <c:pt idx="22">
                  <c:v>8.74</c:v>
                </c:pt>
                <c:pt idx="23">
                  <c:v>8.7200000000000006</c:v>
                </c:pt>
                <c:pt idx="24">
                  <c:v>8.6999999999999993</c:v>
                </c:pt>
                <c:pt idx="25">
                  <c:v>8.6999999999999993</c:v>
                </c:pt>
                <c:pt idx="26">
                  <c:v>8.64</c:v>
                </c:pt>
                <c:pt idx="27">
                  <c:v>8.6199999999999992</c:v>
                </c:pt>
                <c:pt idx="28">
                  <c:v>8.59</c:v>
                </c:pt>
                <c:pt idx="29">
                  <c:v>8.56</c:v>
                </c:pt>
                <c:pt idx="30">
                  <c:v>8.5500000000000007</c:v>
                </c:pt>
                <c:pt idx="31">
                  <c:v>8.5500000000000007</c:v>
                </c:pt>
                <c:pt idx="32">
                  <c:v>8.52</c:v>
                </c:pt>
                <c:pt idx="33">
                  <c:v>8.44</c:v>
                </c:pt>
                <c:pt idx="34">
                  <c:v>8.33</c:v>
                </c:pt>
                <c:pt idx="35">
                  <c:v>8.33</c:v>
                </c:pt>
                <c:pt idx="36">
                  <c:v>8.31</c:v>
                </c:pt>
                <c:pt idx="37">
                  <c:v>8.25</c:v>
                </c:pt>
                <c:pt idx="38">
                  <c:v>8.1999999999999993</c:v>
                </c:pt>
                <c:pt idx="39">
                  <c:v>8.19</c:v>
                </c:pt>
                <c:pt idx="40">
                  <c:v>8.1300000000000008</c:v>
                </c:pt>
                <c:pt idx="41">
                  <c:v>8.11</c:v>
                </c:pt>
                <c:pt idx="42">
                  <c:v>8.11</c:v>
                </c:pt>
                <c:pt idx="43">
                  <c:v>8.09</c:v>
                </c:pt>
                <c:pt idx="44">
                  <c:v>8.06</c:v>
                </c:pt>
                <c:pt idx="45">
                  <c:v>8.0299999999999994</c:v>
                </c:pt>
                <c:pt idx="46">
                  <c:v>8.02</c:v>
                </c:pt>
                <c:pt idx="47">
                  <c:v>7.97</c:v>
                </c:pt>
                <c:pt idx="48">
                  <c:v>7.88</c:v>
                </c:pt>
                <c:pt idx="49">
                  <c:v>7.86</c:v>
                </c:pt>
                <c:pt idx="50">
                  <c:v>7.83</c:v>
                </c:pt>
                <c:pt idx="51">
                  <c:v>7.83</c:v>
                </c:pt>
                <c:pt idx="52">
                  <c:v>7.8</c:v>
                </c:pt>
                <c:pt idx="53">
                  <c:v>7.74</c:v>
                </c:pt>
                <c:pt idx="54">
                  <c:v>7.74</c:v>
                </c:pt>
                <c:pt idx="55">
                  <c:v>7.73</c:v>
                </c:pt>
                <c:pt idx="56">
                  <c:v>7.57</c:v>
                </c:pt>
                <c:pt idx="57">
                  <c:v>7.5</c:v>
                </c:pt>
                <c:pt idx="58">
                  <c:v>7.47</c:v>
                </c:pt>
                <c:pt idx="59">
                  <c:v>7.36</c:v>
                </c:pt>
                <c:pt idx="60">
                  <c:v>7.36</c:v>
                </c:pt>
                <c:pt idx="61">
                  <c:v>7.32</c:v>
                </c:pt>
                <c:pt idx="62">
                  <c:v>7.3</c:v>
                </c:pt>
                <c:pt idx="63">
                  <c:v>7.24</c:v>
                </c:pt>
                <c:pt idx="64">
                  <c:v>7.23</c:v>
                </c:pt>
                <c:pt idx="65">
                  <c:v>7.16</c:v>
                </c:pt>
                <c:pt idx="66">
                  <c:v>6.99</c:v>
                </c:pt>
                <c:pt idx="67">
                  <c:v>6.95</c:v>
                </c:pt>
                <c:pt idx="68">
                  <c:v>6.92</c:v>
                </c:pt>
                <c:pt idx="69">
                  <c:v>6.85</c:v>
                </c:pt>
                <c:pt idx="70">
                  <c:v>6.81</c:v>
                </c:pt>
                <c:pt idx="71">
                  <c:v>6.8</c:v>
                </c:pt>
                <c:pt idx="72">
                  <c:v>6.73</c:v>
                </c:pt>
                <c:pt idx="73">
                  <c:v>6.66</c:v>
                </c:pt>
                <c:pt idx="74">
                  <c:v>6.58</c:v>
                </c:pt>
                <c:pt idx="75">
                  <c:v>6.54</c:v>
                </c:pt>
                <c:pt idx="76">
                  <c:v>6.5</c:v>
                </c:pt>
                <c:pt idx="77">
                  <c:v>6.49</c:v>
                </c:pt>
                <c:pt idx="78">
                  <c:v>6.44</c:v>
                </c:pt>
                <c:pt idx="79">
                  <c:v>6.41</c:v>
                </c:pt>
                <c:pt idx="80">
                  <c:v>6.37</c:v>
                </c:pt>
                <c:pt idx="81">
                  <c:v>6.37</c:v>
                </c:pt>
                <c:pt idx="82">
                  <c:v>6.27</c:v>
                </c:pt>
                <c:pt idx="83">
                  <c:v>6.25</c:v>
                </c:pt>
                <c:pt idx="84">
                  <c:v>6.23</c:v>
                </c:pt>
                <c:pt idx="85">
                  <c:v>6.2</c:v>
                </c:pt>
                <c:pt idx="86">
                  <c:v>6.19</c:v>
                </c:pt>
                <c:pt idx="87">
                  <c:v>6.19</c:v>
                </c:pt>
                <c:pt idx="88">
                  <c:v>6.11</c:v>
                </c:pt>
                <c:pt idx="89">
                  <c:v>6.11</c:v>
                </c:pt>
                <c:pt idx="90">
                  <c:v>6.09</c:v>
                </c:pt>
                <c:pt idx="91">
                  <c:v>6.08</c:v>
                </c:pt>
                <c:pt idx="92">
                  <c:v>6.01</c:v>
                </c:pt>
                <c:pt idx="93">
                  <c:v>5.9</c:v>
                </c:pt>
                <c:pt idx="94">
                  <c:v>5.85</c:v>
                </c:pt>
                <c:pt idx="95">
                  <c:v>5.71</c:v>
                </c:pt>
                <c:pt idx="96">
                  <c:v>5.69</c:v>
                </c:pt>
                <c:pt idx="97">
                  <c:v>5.68</c:v>
                </c:pt>
                <c:pt idx="98">
                  <c:v>5.61</c:v>
                </c:pt>
                <c:pt idx="99">
                  <c:v>5.59</c:v>
                </c:pt>
                <c:pt idx="100">
                  <c:v>5.53</c:v>
                </c:pt>
                <c:pt idx="101">
                  <c:v>5.52</c:v>
                </c:pt>
                <c:pt idx="102">
                  <c:v>5.43</c:v>
                </c:pt>
                <c:pt idx="103">
                  <c:v>5.42</c:v>
                </c:pt>
                <c:pt idx="104">
                  <c:v>5.41</c:v>
                </c:pt>
                <c:pt idx="105">
                  <c:v>5.34</c:v>
                </c:pt>
                <c:pt idx="106">
                  <c:v>5.3</c:v>
                </c:pt>
                <c:pt idx="107">
                  <c:v>5.3</c:v>
                </c:pt>
                <c:pt idx="108">
                  <c:v>5.23</c:v>
                </c:pt>
                <c:pt idx="109">
                  <c:v>5.22</c:v>
                </c:pt>
                <c:pt idx="110">
                  <c:v>5.21</c:v>
                </c:pt>
                <c:pt idx="111">
                  <c:v>5.17</c:v>
                </c:pt>
                <c:pt idx="112">
                  <c:v>5.12</c:v>
                </c:pt>
                <c:pt idx="113">
                  <c:v>4.9800000000000004</c:v>
                </c:pt>
                <c:pt idx="114">
                  <c:v>4.97</c:v>
                </c:pt>
                <c:pt idx="115">
                  <c:v>4.9400000000000004</c:v>
                </c:pt>
                <c:pt idx="116">
                  <c:v>4.83</c:v>
                </c:pt>
                <c:pt idx="117">
                  <c:v>4.79</c:v>
                </c:pt>
                <c:pt idx="118">
                  <c:v>4.7300000000000004</c:v>
                </c:pt>
                <c:pt idx="119">
                  <c:v>4.68</c:v>
                </c:pt>
                <c:pt idx="120">
                  <c:v>4.68</c:v>
                </c:pt>
                <c:pt idx="121">
                  <c:v>4.68</c:v>
                </c:pt>
                <c:pt idx="122">
                  <c:v>4.66</c:v>
                </c:pt>
                <c:pt idx="123">
                  <c:v>4.66</c:v>
                </c:pt>
                <c:pt idx="124">
                  <c:v>4.6100000000000003</c:v>
                </c:pt>
                <c:pt idx="125">
                  <c:v>4.5599999999999996</c:v>
                </c:pt>
                <c:pt idx="126">
                  <c:v>4.55</c:v>
                </c:pt>
                <c:pt idx="127">
                  <c:v>4.51</c:v>
                </c:pt>
                <c:pt idx="128">
                  <c:v>4.5</c:v>
                </c:pt>
                <c:pt idx="129">
                  <c:v>4.4800000000000004</c:v>
                </c:pt>
                <c:pt idx="130">
                  <c:v>4.4800000000000004</c:v>
                </c:pt>
                <c:pt idx="131">
                  <c:v>4.46</c:v>
                </c:pt>
                <c:pt idx="132">
                  <c:v>4.3600000000000003</c:v>
                </c:pt>
                <c:pt idx="133">
                  <c:v>4.34</c:v>
                </c:pt>
                <c:pt idx="134">
                  <c:v>4.2</c:v>
                </c:pt>
                <c:pt idx="135">
                  <c:v>4.1100000000000003</c:v>
                </c:pt>
                <c:pt idx="136">
                  <c:v>4.05</c:v>
                </c:pt>
                <c:pt idx="137">
                  <c:v>4.04</c:v>
                </c:pt>
                <c:pt idx="138">
                  <c:v>4.01</c:v>
                </c:pt>
                <c:pt idx="139">
                  <c:v>4</c:v>
                </c:pt>
                <c:pt idx="140">
                  <c:v>3.91</c:v>
                </c:pt>
                <c:pt idx="141">
                  <c:v>3.89</c:v>
                </c:pt>
                <c:pt idx="142">
                  <c:v>3.88</c:v>
                </c:pt>
                <c:pt idx="143">
                  <c:v>3.86</c:v>
                </c:pt>
                <c:pt idx="144">
                  <c:v>3.86</c:v>
                </c:pt>
                <c:pt idx="145">
                  <c:v>3.85</c:v>
                </c:pt>
                <c:pt idx="146">
                  <c:v>3.85</c:v>
                </c:pt>
                <c:pt idx="147">
                  <c:v>3.79</c:v>
                </c:pt>
                <c:pt idx="148">
                  <c:v>3.74</c:v>
                </c:pt>
                <c:pt idx="149">
                  <c:v>3.72</c:v>
                </c:pt>
                <c:pt idx="150">
                  <c:v>3.55</c:v>
                </c:pt>
                <c:pt idx="151">
                  <c:v>3.5</c:v>
                </c:pt>
                <c:pt idx="152">
                  <c:v>3.5</c:v>
                </c:pt>
                <c:pt idx="153">
                  <c:v>3.49</c:v>
                </c:pt>
                <c:pt idx="154">
                  <c:v>3.48</c:v>
                </c:pt>
                <c:pt idx="155">
                  <c:v>3.4</c:v>
                </c:pt>
                <c:pt idx="156">
                  <c:v>3.32</c:v>
                </c:pt>
                <c:pt idx="157">
                  <c:v>3.32</c:v>
                </c:pt>
                <c:pt idx="158">
                  <c:v>3.3</c:v>
                </c:pt>
                <c:pt idx="159">
                  <c:v>3.3</c:v>
                </c:pt>
                <c:pt idx="160">
                  <c:v>3.29</c:v>
                </c:pt>
                <c:pt idx="161">
                  <c:v>3.25</c:v>
                </c:pt>
                <c:pt idx="162">
                  <c:v>3.19</c:v>
                </c:pt>
                <c:pt idx="163">
                  <c:v>3.16</c:v>
                </c:pt>
                <c:pt idx="164">
                  <c:v>3.16</c:v>
                </c:pt>
                <c:pt idx="165">
                  <c:v>3.16</c:v>
                </c:pt>
                <c:pt idx="166">
                  <c:v>3.09</c:v>
                </c:pt>
                <c:pt idx="167">
                  <c:v>3.09</c:v>
                </c:pt>
                <c:pt idx="168">
                  <c:v>2.89</c:v>
                </c:pt>
                <c:pt idx="169">
                  <c:v>2.88</c:v>
                </c:pt>
                <c:pt idx="170">
                  <c:v>2.86</c:v>
                </c:pt>
                <c:pt idx="171">
                  <c:v>2.69</c:v>
                </c:pt>
                <c:pt idx="172">
                  <c:v>2.68</c:v>
                </c:pt>
                <c:pt idx="173">
                  <c:v>2.65</c:v>
                </c:pt>
                <c:pt idx="174">
                  <c:v>2.62</c:v>
                </c:pt>
                <c:pt idx="175">
                  <c:v>2.6</c:v>
                </c:pt>
                <c:pt idx="176">
                  <c:v>2.56</c:v>
                </c:pt>
                <c:pt idx="177">
                  <c:v>2.4900000000000002</c:v>
                </c:pt>
                <c:pt idx="178">
                  <c:v>2.46</c:v>
                </c:pt>
                <c:pt idx="179">
                  <c:v>2.46</c:v>
                </c:pt>
                <c:pt idx="180">
                  <c:v>2.44</c:v>
                </c:pt>
                <c:pt idx="181">
                  <c:v>2.37</c:v>
                </c:pt>
                <c:pt idx="182">
                  <c:v>2.36</c:v>
                </c:pt>
                <c:pt idx="183">
                  <c:v>2.2200000000000002</c:v>
                </c:pt>
                <c:pt idx="184">
                  <c:v>2.09</c:v>
                </c:pt>
                <c:pt idx="185">
                  <c:v>2.02</c:v>
                </c:pt>
                <c:pt idx="186">
                  <c:v>2.0099999999999998</c:v>
                </c:pt>
                <c:pt idx="187">
                  <c:v>1.99</c:v>
                </c:pt>
                <c:pt idx="188">
                  <c:v>1.91</c:v>
                </c:pt>
                <c:pt idx="189">
                  <c:v>1.87</c:v>
                </c:pt>
                <c:pt idx="190">
                  <c:v>1.82</c:v>
                </c:pt>
                <c:pt idx="191">
                  <c:v>1.81</c:v>
                </c:pt>
                <c:pt idx="192">
                  <c:v>1.8</c:v>
                </c:pt>
                <c:pt idx="193">
                  <c:v>1.77</c:v>
                </c:pt>
                <c:pt idx="194">
                  <c:v>1.76</c:v>
                </c:pt>
                <c:pt idx="195">
                  <c:v>1.76</c:v>
                </c:pt>
                <c:pt idx="196">
                  <c:v>1.75</c:v>
                </c:pt>
                <c:pt idx="197">
                  <c:v>1.6</c:v>
                </c:pt>
                <c:pt idx="198">
                  <c:v>1.53</c:v>
                </c:pt>
                <c:pt idx="199">
                  <c:v>1.53</c:v>
                </c:pt>
              </c:numCache>
            </c:numRef>
          </c:xVal>
          <c:yVal>
            <c:numRef>
              <c:f>'Task3_Social Media Platform ana'!$F$2:$F$203</c:f>
              <c:numCache>
                <c:formatCode>0</c:formatCode>
                <c:ptCount val="202"/>
                <c:pt idx="0">
                  <c:v>18001</c:v>
                </c:pt>
                <c:pt idx="1">
                  <c:v>23461</c:v>
                </c:pt>
                <c:pt idx="2">
                  <c:v>12384</c:v>
                </c:pt>
                <c:pt idx="3">
                  <c:v>29533</c:v>
                </c:pt>
                <c:pt idx="4">
                  <c:v>30987</c:v>
                </c:pt>
                <c:pt idx="5">
                  <c:v>21539</c:v>
                </c:pt>
                <c:pt idx="6">
                  <c:v>9566</c:v>
                </c:pt>
                <c:pt idx="7">
                  <c:v>27822</c:v>
                </c:pt>
                <c:pt idx="8">
                  <c:v>15476</c:v>
                </c:pt>
                <c:pt idx="9">
                  <c:v>43122</c:v>
                </c:pt>
                <c:pt idx="10">
                  <c:v>25525</c:v>
                </c:pt>
                <c:pt idx="11">
                  <c:v>47462</c:v>
                </c:pt>
                <c:pt idx="12">
                  <c:v>30635</c:v>
                </c:pt>
                <c:pt idx="13">
                  <c:v>26663</c:v>
                </c:pt>
                <c:pt idx="14">
                  <c:v>22996</c:v>
                </c:pt>
                <c:pt idx="15">
                  <c:v>9920</c:v>
                </c:pt>
                <c:pt idx="16">
                  <c:v>26925</c:v>
                </c:pt>
                <c:pt idx="17">
                  <c:v>24494</c:v>
                </c:pt>
                <c:pt idx="18">
                  <c:v>10217</c:v>
                </c:pt>
                <c:pt idx="19">
                  <c:v>36397</c:v>
                </c:pt>
                <c:pt idx="20">
                  <c:v>37876</c:v>
                </c:pt>
                <c:pt idx="21">
                  <c:v>14203</c:v>
                </c:pt>
                <c:pt idx="22">
                  <c:v>22728</c:v>
                </c:pt>
                <c:pt idx="23">
                  <c:v>30060</c:v>
                </c:pt>
                <c:pt idx="24">
                  <c:v>38452</c:v>
                </c:pt>
                <c:pt idx="25">
                  <c:v>40323</c:v>
                </c:pt>
                <c:pt idx="26">
                  <c:v>35801</c:v>
                </c:pt>
                <c:pt idx="27">
                  <c:v>33799</c:v>
                </c:pt>
                <c:pt idx="28">
                  <c:v>30270</c:v>
                </c:pt>
                <c:pt idx="29">
                  <c:v>32393</c:v>
                </c:pt>
                <c:pt idx="30">
                  <c:v>33258</c:v>
                </c:pt>
                <c:pt idx="31">
                  <c:v>24018</c:v>
                </c:pt>
                <c:pt idx="32">
                  <c:v>21453</c:v>
                </c:pt>
                <c:pt idx="33">
                  <c:v>4683</c:v>
                </c:pt>
                <c:pt idx="34">
                  <c:v>10002</c:v>
                </c:pt>
                <c:pt idx="35">
                  <c:v>15045</c:v>
                </c:pt>
                <c:pt idx="36">
                  <c:v>26752</c:v>
                </c:pt>
                <c:pt idx="37">
                  <c:v>21208</c:v>
                </c:pt>
                <c:pt idx="38">
                  <c:v>17951</c:v>
                </c:pt>
                <c:pt idx="39">
                  <c:v>22482</c:v>
                </c:pt>
                <c:pt idx="40">
                  <c:v>38883</c:v>
                </c:pt>
                <c:pt idx="41">
                  <c:v>18656</c:v>
                </c:pt>
                <c:pt idx="42">
                  <c:v>46670</c:v>
                </c:pt>
                <c:pt idx="43">
                  <c:v>49558</c:v>
                </c:pt>
                <c:pt idx="44">
                  <c:v>5904</c:v>
                </c:pt>
                <c:pt idx="45">
                  <c:v>23489</c:v>
                </c:pt>
                <c:pt idx="46">
                  <c:v>25797</c:v>
                </c:pt>
                <c:pt idx="47">
                  <c:v>9269</c:v>
                </c:pt>
                <c:pt idx="48">
                  <c:v>17328</c:v>
                </c:pt>
                <c:pt idx="49">
                  <c:v>26067</c:v>
                </c:pt>
                <c:pt idx="50">
                  <c:v>32929</c:v>
                </c:pt>
                <c:pt idx="51">
                  <c:v>49303</c:v>
                </c:pt>
                <c:pt idx="52">
                  <c:v>22713</c:v>
                </c:pt>
                <c:pt idx="53">
                  <c:v>9480</c:v>
                </c:pt>
                <c:pt idx="54">
                  <c:v>35359</c:v>
                </c:pt>
                <c:pt idx="55">
                  <c:v>4839</c:v>
                </c:pt>
                <c:pt idx="56">
                  <c:v>4007</c:v>
                </c:pt>
                <c:pt idx="57">
                  <c:v>11805</c:v>
                </c:pt>
                <c:pt idx="58">
                  <c:v>18601</c:v>
                </c:pt>
                <c:pt idx="59">
                  <c:v>11901</c:v>
                </c:pt>
                <c:pt idx="60">
                  <c:v>36851</c:v>
                </c:pt>
                <c:pt idx="61">
                  <c:v>5391</c:v>
                </c:pt>
                <c:pt idx="62">
                  <c:v>37636</c:v>
                </c:pt>
                <c:pt idx="63">
                  <c:v>22206</c:v>
                </c:pt>
                <c:pt idx="64">
                  <c:v>6296</c:v>
                </c:pt>
                <c:pt idx="65">
                  <c:v>37829</c:v>
                </c:pt>
                <c:pt idx="66">
                  <c:v>42832</c:v>
                </c:pt>
                <c:pt idx="67">
                  <c:v>48270</c:v>
                </c:pt>
                <c:pt idx="68">
                  <c:v>18050</c:v>
                </c:pt>
                <c:pt idx="69">
                  <c:v>36484</c:v>
                </c:pt>
                <c:pt idx="70">
                  <c:v>12174</c:v>
                </c:pt>
                <c:pt idx="71">
                  <c:v>18693</c:v>
                </c:pt>
                <c:pt idx="72">
                  <c:v>2293</c:v>
                </c:pt>
                <c:pt idx="73">
                  <c:v>13316</c:v>
                </c:pt>
                <c:pt idx="74">
                  <c:v>39031</c:v>
                </c:pt>
                <c:pt idx="75">
                  <c:v>20733</c:v>
                </c:pt>
                <c:pt idx="76">
                  <c:v>32478</c:v>
                </c:pt>
                <c:pt idx="77">
                  <c:v>39923</c:v>
                </c:pt>
                <c:pt idx="78">
                  <c:v>43420</c:v>
                </c:pt>
                <c:pt idx="79">
                  <c:v>24384</c:v>
                </c:pt>
                <c:pt idx="80">
                  <c:v>20560</c:v>
                </c:pt>
                <c:pt idx="81">
                  <c:v>3455</c:v>
                </c:pt>
                <c:pt idx="82">
                  <c:v>23140</c:v>
                </c:pt>
                <c:pt idx="83">
                  <c:v>41215</c:v>
                </c:pt>
                <c:pt idx="84">
                  <c:v>47101</c:v>
                </c:pt>
                <c:pt idx="85">
                  <c:v>28498</c:v>
                </c:pt>
                <c:pt idx="86">
                  <c:v>10283</c:v>
                </c:pt>
                <c:pt idx="87">
                  <c:v>5914</c:v>
                </c:pt>
                <c:pt idx="88">
                  <c:v>26455</c:v>
                </c:pt>
                <c:pt idx="89">
                  <c:v>11383</c:v>
                </c:pt>
                <c:pt idx="90">
                  <c:v>33381</c:v>
                </c:pt>
                <c:pt idx="91">
                  <c:v>16443</c:v>
                </c:pt>
                <c:pt idx="92">
                  <c:v>37903</c:v>
                </c:pt>
                <c:pt idx="93">
                  <c:v>33174</c:v>
                </c:pt>
                <c:pt idx="94">
                  <c:v>13116</c:v>
                </c:pt>
                <c:pt idx="95">
                  <c:v>24913</c:v>
                </c:pt>
                <c:pt idx="96">
                  <c:v>14216</c:v>
                </c:pt>
                <c:pt idx="97">
                  <c:v>36095</c:v>
                </c:pt>
                <c:pt idx="98">
                  <c:v>45708</c:v>
                </c:pt>
                <c:pt idx="99">
                  <c:v>48419</c:v>
                </c:pt>
                <c:pt idx="100">
                  <c:v>21061</c:v>
                </c:pt>
                <c:pt idx="101">
                  <c:v>26452</c:v>
                </c:pt>
                <c:pt idx="102">
                  <c:v>46625</c:v>
                </c:pt>
                <c:pt idx="103">
                  <c:v>6915</c:v>
                </c:pt>
                <c:pt idx="104">
                  <c:v>44321</c:v>
                </c:pt>
                <c:pt idx="105">
                  <c:v>32763</c:v>
                </c:pt>
                <c:pt idx="106">
                  <c:v>11035</c:v>
                </c:pt>
                <c:pt idx="107">
                  <c:v>37132</c:v>
                </c:pt>
                <c:pt idx="108">
                  <c:v>45380</c:v>
                </c:pt>
                <c:pt idx="109">
                  <c:v>15827</c:v>
                </c:pt>
                <c:pt idx="110">
                  <c:v>7541</c:v>
                </c:pt>
                <c:pt idx="111">
                  <c:v>1810</c:v>
                </c:pt>
                <c:pt idx="112">
                  <c:v>14722</c:v>
                </c:pt>
                <c:pt idx="113">
                  <c:v>9566</c:v>
                </c:pt>
                <c:pt idx="114">
                  <c:v>4509</c:v>
                </c:pt>
                <c:pt idx="115">
                  <c:v>29116</c:v>
                </c:pt>
                <c:pt idx="116">
                  <c:v>25920</c:v>
                </c:pt>
                <c:pt idx="117">
                  <c:v>26103</c:v>
                </c:pt>
                <c:pt idx="118">
                  <c:v>15969</c:v>
                </c:pt>
                <c:pt idx="119">
                  <c:v>22373</c:v>
                </c:pt>
                <c:pt idx="120">
                  <c:v>7705</c:v>
                </c:pt>
                <c:pt idx="121">
                  <c:v>9118</c:v>
                </c:pt>
                <c:pt idx="122">
                  <c:v>2932</c:v>
                </c:pt>
                <c:pt idx="123">
                  <c:v>47812</c:v>
                </c:pt>
                <c:pt idx="124">
                  <c:v>3314</c:v>
                </c:pt>
                <c:pt idx="125">
                  <c:v>28474</c:v>
                </c:pt>
                <c:pt idx="126">
                  <c:v>20553</c:v>
                </c:pt>
                <c:pt idx="127">
                  <c:v>23853</c:v>
                </c:pt>
                <c:pt idx="128">
                  <c:v>42964</c:v>
                </c:pt>
                <c:pt idx="129">
                  <c:v>42307</c:v>
                </c:pt>
                <c:pt idx="130">
                  <c:v>39931</c:v>
                </c:pt>
                <c:pt idx="131">
                  <c:v>30214</c:v>
                </c:pt>
                <c:pt idx="132">
                  <c:v>39272</c:v>
                </c:pt>
                <c:pt idx="133">
                  <c:v>49772</c:v>
                </c:pt>
                <c:pt idx="134">
                  <c:v>20861</c:v>
                </c:pt>
                <c:pt idx="135">
                  <c:v>30671</c:v>
                </c:pt>
                <c:pt idx="136">
                  <c:v>15353</c:v>
                </c:pt>
                <c:pt idx="137">
                  <c:v>49372</c:v>
                </c:pt>
                <c:pt idx="138">
                  <c:v>8912</c:v>
                </c:pt>
                <c:pt idx="139">
                  <c:v>49400</c:v>
                </c:pt>
                <c:pt idx="140">
                  <c:v>9942</c:v>
                </c:pt>
                <c:pt idx="141">
                  <c:v>10825</c:v>
                </c:pt>
                <c:pt idx="142">
                  <c:v>7285</c:v>
                </c:pt>
                <c:pt idx="143">
                  <c:v>12646</c:v>
                </c:pt>
                <c:pt idx="144">
                  <c:v>3582</c:v>
                </c:pt>
                <c:pt idx="145">
                  <c:v>8718</c:v>
                </c:pt>
                <c:pt idx="146">
                  <c:v>31853</c:v>
                </c:pt>
                <c:pt idx="147">
                  <c:v>36103</c:v>
                </c:pt>
                <c:pt idx="148">
                  <c:v>10740</c:v>
                </c:pt>
                <c:pt idx="149">
                  <c:v>43999</c:v>
                </c:pt>
                <c:pt idx="150">
                  <c:v>16149</c:v>
                </c:pt>
                <c:pt idx="151">
                  <c:v>5442</c:v>
                </c:pt>
                <c:pt idx="152">
                  <c:v>31280</c:v>
                </c:pt>
                <c:pt idx="153">
                  <c:v>24313</c:v>
                </c:pt>
                <c:pt idx="154">
                  <c:v>16804</c:v>
                </c:pt>
                <c:pt idx="155">
                  <c:v>21939</c:v>
                </c:pt>
                <c:pt idx="156">
                  <c:v>4996</c:v>
                </c:pt>
                <c:pt idx="157">
                  <c:v>20692</c:v>
                </c:pt>
                <c:pt idx="158">
                  <c:v>30575</c:v>
                </c:pt>
                <c:pt idx="159">
                  <c:v>14548</c:v>
                </c:pt>
                <c:pt idx="160">
                  <c:v>40868</c:v>
                </c:pt>
                <c:pt idx="161">
                  <c:v>35501</c:v>
                </c:pt>
                <c:pt idx="162">
                  <c:v>2436</c:v>
                </c:pt>
                <c:pt idx="163">
                  <c:v>32500</c:v>
                </c:pt>
                <c:pt idx="164">
                  <c:v>21205</c:v>
                </c:pt>
                <c:pt idx="165">
                  <c:v>42824</c:v>
                </c:pt>
                <c:pt idx="166">
                  <c:v>25140</c:v>
                </c:pt>
                <c:pt idx="167">
                  <c:v>14090</c:v>
                </c:pt>
                <c:pt idx="168">
                  <c:v>14154</c:v>
                </c:pt>
                <c:pt idx="169">
                  <c:v>15071</c:v>
                </c:pt>
                <c:pt idx="170">
                  <c:v>44097</c:v>
                </c:pt>
                <c:pt idx="171">
                  <c:v>39530</c:v>
                </c:pt>
                <c:pt idx="172">
                  <c:v>39997</c:v>
                </c:pt>
                <c:pt idx="173">
                  <c:v>40888</c:v>
                </c:pt>
                <c:pt idx="174">
                  <c:v>1783</c:v>
                </c:pt>
                <c:pt idx="175">
                  <c:v>7875</c:v>
                </c:pt>
                <c:pt idx="176">
                  <c:v>12350</c:v>
                </c:pt>
                <c:pt idx="177">
                  <c:v>47603</c:v>
                </c:pt>
                <c:pt idx="178">
                  <c:v>11329</c:v>
                </c:pt>
                <c:pt idx="179">
                  <c:v>30428</c:v>
                </c:pt>
                <c:pt idx="180">
                  <c:v>8471</c:v>
                </c:pt>
                <c:pt idx="181">
                  <c:v>7924</c:v>
                </c:pt>
                <c:pt idx="182">
                  <c:v>1083</c:v>
                </c:pt>
                <c:pt idx="183">
                  <c:v>2798</c:v>
                </c:pt>
                <c:pt idx="184">
                  <c:v>12148</c:v>
                </c:pt>
                <c:pt idx="185">
                  <c:v>47502</c:v>
                </c:pt>
                <c:pt idx="186">
                  <c:v>19119</c:v>
                </c:pt>
                <c:pt idx="187">
                  <c:v>46643</c:v>
                </c:pt>
                <c:pt idx="188">
                  <c:v>38610</c:v>
                </c:pt>
                <c:pt idx="189">
                  <c:v>20059</c:v>
                </c:pt>
                <c:pt idx="190">
                  <c:v>20042</c:v>
                </c:pt>
                <c:pt idx="191">
                  <c:v>22724</c:v>
                </c:pt>
                <c:pt idx="192">
                  <c:v>14068</c:v>
                </c:pt>
                <c:pt idx="193">
                  <c:v>2315</c:v>
                </c:pt>
                <c:pt idx="194">
                  <c:v>40478</c:v>
                </c:pt>
                <c:pt idx="195">
                  <c:v>4313</c:v>
                </c:pt>
                <c:pt idx="196">
                  <c:v>43836</c:v>
                </c:pt>
                <c:pt idx="197">
                  <c:v>6832</c:v>
                </c:pt>
                <c:pt idx="198">
                  <c:v>49077</c:v>
                </c:pt>
                <c:pt idx="199">
                  <c:v>6742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'Task3_Social Media Platform ana'!$A$2:$A$201</c15:f>
                <c15:dlblRangeCache>
                  <c:ptCount val="200"/>
                  <c:pt idx="0">
                    <c:v>YouTube</c:v>
                  </c:pt>
                  <c:pt idx="1">
                    <c:v>Facebook</c:v>
                  </c:pt>
                  <c:pt idx="2">
                    <c:v>X</c:v>
                  </c:pt>
                  <c:pt idx="3">
                    <c:v>Instagram</c:v>
                  </c:pt>
                  <c:pt idx="4">
                    <c:v>YouTube</c:v>
                  </c:pt>
                  <c:pt idx="5">
                    <c:v>Facebook</c:v>
                  </c:pt>
                  <c:pt idx="6">
                    <c:v>Instagram</c:v>
                  </c:pt>
                  <c:pt idx="7">
                    <c:v>YouTube</c:v>
                  </c:pt>
                  <c:pt idx="8">
                    <c:v>X</c:v>
                  </c:pt>
                  <c:pt idx="9">
                    <c:v>Instagram</c:v>
                  </c:pt>
                  <c:pt idx="10">
                    <c:v>Instagram</c:v>
                  </c:pt>
                  <c:pt idx="11">
                    <c:v>Facebook</c:v>
                  </c:pt>
                  <c:pt idx="12">
                    <c:v>Facebook</c:v>
                  </c:pt>
                  <c:pt idx="13">
                    <c:v>Instagram</c:v>
                  </c:pt>
                  <c:pt idx="14">
                    <c:v>YouTube</c:v>
                  </c:pt>
                  <c:pt idx="15">
                    <c:v>Instagram</c:v>
                  </c:pt>
                  <c:pt idx="16">
                    <c:v>Facebook</c:v>
                  </c:pt>
                  <c:pt idx="17">
                    <c:v>YouTube</c:v>
                  </c:pt>
                  <c:pt idx="18">
                    <c:v>YouTube</c:v>
                  </c:pt>
                  <c:pt idx="19">
                    <c:v>Instagram</c:v>
                  </c:pt>
                  <c:pt idx="20">
                    <c:v>YouTube</c:v>
                  </c:pt>
                  <c:pt idx="21">
                    <c:v>Facebook</c:v>
                  </c:pt>
                  <c:pt idx="22">
                    <c:v>Instagram</c:v>
                  </c:pt>
                  <c:pt idx="23">
                    <c:v>YouTube</c:v>
                  </c:pt>
                  <c:pt idx="24">
                    <c:v>Facebook</c:v>
                  </c:pt>
                  <c:pt idx="25">
                    <c:v>Facebook</c:v>
                  </c:pt>
                  <c:pt idx="26">
                    <c:v>YouTube</c:v>
                  </c:pt>
                  <c:pt idx="27">
                    <c:v>Instagram</c:v>
                  </c:pt>
                  <c:pt idx="28">
                    <c:v>X</c:v>
                  </c:pt>
                  <c:pt idx="29">
                    <c:v>X</c:v>
                  </c:pt>
                  <c:pt idx="30">
                    <c:v>X</c:v>
                  </c:pt>
                  <c:pt idx="31">
                    <c:v>X</c:v>
                  </c:pt>
                  <c:pt idx="32">
                    <c:v>Facebook</c:v>
                  </c:pt>
                  <c:pt idx="33">
                    <c:v>Instagram</c:v>
                  </c:pt>
                  <c:pt idx="34">
                    <c:v>X</c:v>
                  </c:pt>
                  <c:pt idx="35">
                    <c:v>YouTube</c:v>
                  </c:pt>
                  <c:pt idx="36">
                    <c:v>X</c:v>
                  </c:pt>
                  <c:pt idx="37">
                    <c:v>X</c:v>
                  </c:pt>
                  <c:pt idx="38">
                    <c:v>Facebook</c:v>
                  </c:pt>
                  <c:pt idx="39">
                    <c:v>X</c:v>
                  </c:pt>
                  <c:pt idx="40">
                    <c:v>YouTube</c:v>
                  </c:pt>
                  <c:pt idx="41">
                    <c:v>Facebook</c:v>
                  </c:pt>
                  <c:pt idx="42">
                    <c:v>Facebook</c:v>
                  </c:pt>
                  <c:pt idx="43">
                    <c:v>YouTube</c:v>
                  </c:pt>
                  <c:pt idx="44">
                    <c:v>Instagram</c:v>
                  </c:pt>
                  <c:pt idx="45">
                    <c:v>Facebook</c:v>
                  </c:pt>
                  <c:pt idx="46">
                    <c:v>X</c:v>
                  </c:pt>
                  <c:pt idx="47">
                    <c:v>YouTube</c:v>
                  </c:pt>
                  <c:pt idx="48">
                    <c:v>Instagram</c:v>
                  </c:pt>
                  <c:pt idx="49">
                    <c:v>Facebook</c:v>
                  </c:pt>
                  <c:pt idx="50">
                    <c:v>YouTube</c:v>
                  </c:pt>
                  <c:pt idx="51">
                    <c:v>Instagram</c:v>
                  </c:pt>
                  <c:pt idx="52">
                    <c:v>Facebook</c:v>
                  </c:pt>
                  <c:pt idx="53">
                    <c:v>Instagram</c:v>
                  </c:pt>
                  <c:pt idx="54">
                    <c:v>X</c:v>
                  </c:pt>
                  <c:pt idx="55">
                    <c:v>Facebook</c:v>
                  </c:pt>
                  <c:pt idx="56">
                    <c:v>X</c:v>
                  </c:pt>
                  <c:pt idx="57">
                    <c:v>X</c:v>
                  </c:pt>
                  <c:pt idx="58">
                    <c:v>Facebook</c:v>
                  </c:pt>
                  <c:pt idx="59">
                    <c:v>Facebook</c:v>
                  </c:pt>
                  <c:pt idx="60">
                    <c:v>YouTube</c:v>
                  </c:pt>
                  <c:pt idx="61">
                    <c:v>X</c:v>
                  </c:pt>
                  <c:pt idx="62">
                    <c:v>X</c:v>
                  </c:pt>
                  <c:pt idx="63">
                    <c:v>X</c:v>
                  </c:pt>
                  <c:pt idx="64">
                    <c:v>Instagram</c:v>
                  </c:pt>
                  <c:pt idx="65">
                    <c:v>Instagram</c:v>
                  </c:pt>
                  <c:pt idx="66">
                    <c:v>X</c:v>
                  </c:pt>
                  <c:pt idx="67">
                    <c:v>X</c:v>
                  </c:pt>
                  <c:pt idx="68">
                    <c:v>Instagram</c:v>
                  </c:pt>
                  <c:pt idx="69">
                    <c:v>Instagram</c:v>
                  </c:pt>
                  <c:pt idx="70">
                    <c:v>YouTube</c:v>
                  </c:pt>
                  <c:pt idx="71">
                    <c:v>Instagram</c:v>
                  </c:pt>
                  <c:pt idx="72">
                    <c:v>Instagram</c:v>
                  </c:pt>
                  <c:pt idx="73">
                    <c:v>X</c:v>
                  </c:pt>
                  <c:pt idx="74">
                    <c:v>YouTube</c:v>
                  </c:pt>
                  <c:pt idx="75">
                    <c:v>YouTube</c:v>
                  </c:pt>
                  <c:pt idx="76">
                    <c:v>Instagram</c:v>
                  </c:pt>
                  <c:pt idx="77">
                    <c:v>YouTube</c:v>
                  </c:pt>
                  <c:pt idx="78">
                    <c:v>Facebook</c:v>
                  </c:pt>
                  <c:pt idx="79">
                    <c:v>Facebook</c:v>
                  </c:pt>
                  <c:pt idx="80">
                    <c:v>Facebook</c:v>
                  </c:pt>
                  <c:pt idx="81">
                    <c:v>X</c:v>
                  </c:pt>
                  <c:pt idx="82">
                    <c:v>Instagram</c:v>
                  </c:pt>
                  <c:pt idx="83">
                    <c:v>Instagram</c:v>
                  </c:pt>
                  <c:pt idx="84">
                    <c:v>Instagram</c:v>
                  </c:pt>
                  <c:pt idx="85">
                    <c:v>Facebook</c:v>
                  </c:pt>
                  <c:pt idx="86">
                    <c:v>YouTube</c:v>
                  </c:pt>
                  <c:pt idx="87">
                    <c:v>X</c:v>
                  </c:pt>
                  <c:pt idx="88">
                    <c:v>Facebook</c:v>
                  </c:pt>
                  <c:pt idx="89">
                    <c:v>YouTube</c:v>
                  </c:pt>
                  <c:pt idx="90">
                    <c:v>Instagram</c:v>
                  </c:pt>
                  <c:pt idx="91">
                    <c:v>YouTube</c:v>
                  </c:pt>
                  <c:pt idx="92">
                    <c:v>Facebook</c:v>
                  </c:pt>
                  <c:pt idx="93">
                    <c:v>X</c:v>
                  </c:pt>
                  <c:pt idx="94">
                    <c:v>Instagram</c:v>
                  </c:pt>
                  <c:pt idx="95">
                    <c:v>Instagram</c:v>
                  </c:pt>
                  <c:pt idx="96">
                    <c:v>Instagram</c:v>
                  </c:pt>
                  <c:pt idx="97">
                    <c:v>X</c:v>
                  </c:pt>
                  <c:pt idx="98">
                    <c:v>Facebook</c:v>
                  </c:pt>
                  <c:pt idx="99">
                    <c:v>Facebook</c:v>
                  </c:pt>
                  <c:pt idx="100">
                    <c:v>X</c:v>
                  </c:pt>
                  <c:pt idx="101">
                    <c:v>YouTube</c:v>
                  </c:pt>
                  <c:pt idx="102">
                    <c:v>YouTube</c:v>
                  </c:pt>
                  <c:pt idx="103">
                    <c:v>YouTube</c:v>
                  </c:pt>
                  <c:pt idx="104">
                    <c:v>YouTube</c:v>
                  </c:pt>
                  <c:pt idx="105">
                    <c:v>X</c:v>
                  </c:pt>
                  <c:pt idx="106">
                    <c:v>X</c:v>
                  </c:pt>
                  <c:pt idx="107">
                    <c:v>Instagram</c:v>
                  </c:pt>
                  <c:pt idx="108">
                    <c:v>X</c:v>
                  </c:pt>
                  <c:pt idx="109">
                    <c:v>X</c:v>
                  </c:pt>
                  <c:pt idx="110">
                    <c:v>YouTube</c:v>
                  </c:pt>
                  <c:pt idx="111">
                    <c:v>Instagram</c:v>
                  </c:pt>
                  <c:pt idx="112">
                    <c:v>X</c:v>
                  </c:pt>
                  <c:pt idx="113">
                    <c:v>Facebook</c:v>
                  </c:pt>
                  <c:pt idx="114">
                    <c:v>X</c:v>
                  </c:pt>
                  <c:pt idx="115">
                    <c:v>Facebook</c:v>
                  </c:pt>
                  <c:pt idx="116">
                    <c:v>Facebook</c:v>
                  </c:pt>
                  <c:pt idx="117">
                    <c:v>Facebook</c:v>
                  </c:pt>
                  <c:pt idx="118">
                    <c:v>YouTube</c:v>
                  </c:pt>
                  <c:pt idx="119">
                    <c:v>YouTube</c:v>
                  </c:pt>
                  <c:pt idx="120">
                    <c:v>YouTube</c:v>
                  </c:pt>
                  <c:pt idx="121">
                    <c:v>X</c:v>
                  </c:pt>
                  <c:pt idx="122">
                    <c:v>X</c:v>
                  </c:pt>
                  <c:pt idx="123">
                    <c:v>Instagram</c:v>
                  </c:pt>
                  <c:pt idx="124">
                    <c:v>Instagram</c:v>
                  </c:pt>
                  <c:pt idx="125">
                    <c:v>YouTube</c:v>
                  </c:pt>
                  <c:pt idx="126">
                    <c:v>Facebook</c:v>
                  </c:pt>
                  <c:pt idx="127">
                    <c:v>Facebook</c:v>
                  </c:pt>
                  <c:pt idx="128">
                    <c:v>X</c:v>
                  </c:pt>
                  <c:pt idx="129">
                    <c:v>Facebook</c:v>
                  </c:pt>
                  <c:pt idx="130">
                    <c:v>YouTube</c:v>
                  </c:pt>
                  <c:pt idx="131">
                    <c:v>Facebook</c:v>
                  </c:pt>
                  <c:pt idx="132">
                    <c:v>X</c:v>
                  </c:pt>
                  <c:pt idx="133">
                    <c:v>Instagram</c:v>
                  </c:pt>
                  <c:pt idx="134">
                    <c:v>X</c:v>
                  </c:pt>
                  <c:pt idx="135">
                    <c:v>YouTube</c:v>
                  </c:pt>
                  <c:pt idx="136">
                    <c:v>Instagram</c:v>
                  </c:pt>
                  <c:pt idx="137">
                    <c:v>YouTube</c:v>
                  </c:pt>
                  <c:pt idx="138">
                    <c:v>X</c:v>
                  </c:pt>
                  <c:pt idx="139">
                    <c:v>Facebook</c:v>
                  </c:pt>
                  <c:pt idx="140">
                    <c:v>X</c:v>
                  </c:pt>
                  <c:pt idx="141">
                    <c:v>Instagram</c:v>
                  </c:pt>
                  <c:pt idx="142">
                    <c:v>Facebook</c:v>
                  </c:pt>
                  <c:pt idx="143">
                    <c:v>YouTube</c:v>
                  </c:pt>
                  <c:pt idx="144">
                    <c:v>Facebook</c:v>
                  </c:pt>
                  <c:pt idx="145">
                    <c:v>X</c:v>
                  </c:pt>
                  <c:pt idx="146">
                    <c:v>Facebook</c:v>
                  </c:pt>
                  <c:pt idx="147">
                    <c:v>Instagram</c:v>
                  </c:pt>
                  <c:pt idx="148">
                    <c:v>Instagram</c:v>
                  </c:pt>
                  <c:pt idx="149">
                    <c:v>YouTube</c:v>
                  </c:pt>
                  <c:pt idx="150">
                    <c:v>X</c:v>
                  </c:pt>
                  <c:pt idx="151">
                    <c:v>YouTube</c:v>
                  </c:pt>
                  <c:pt idx="152">
                    <c:v>X</c:v>
                  </c:pt>
                  <c:pt idx="153">
                    <c:v>YouTube</c:v>
                  </c:pt>
                  <c:pt idx="154">
                    <c:v>YouTube</c:v>
                  </c:pt>
                  <c:pt idx="155">
                    <c:v>Instagram</c:v>
                  </c:pt>
                  <c:pt idx="156">
                    <c:v>Facebook</c:v>
                  </c:pt>
                  <c:pt idx="157">
                    <c:v>Instagram</c:v>
                  </c:pt>
                  <c:pt idx="158">
                    <c:v>Instagram</c:v>
                  </c:pt>
                  <c:pt idx="159">
                    <c:v>Instagram</c:v>
                  </c:pt>
                  <c:pt idx="160">
                    <c:v>YouTube</c:v>
                  </c:pt>
                  <c:pt idx="161">
                    <c:v>Instagram</c:v>
                  </c:pt>
                  <c:pt idx="162">
                    <c:v>Instagram</c:v>
                  </c:pt>
                  <c:pt idx="163">
                    <c:v>X</c:v>
                  </c:pt>
                  <c:pt idx="164">
                    <c:v>YouTube</c:v>
                  </c:pt>
                  <c:pt idx="165">
                    <c:v>Facebook</c:v>
                  </c:pt>
                  <c:pt idx="166">
                    <c:v>Facebook</c:v>
                  </c:pt>
                  <c:pt idx="167">
                    <c:v>YouTube</c:v>
                  </c:pt>
                  <c:pt idx="168">
                    <c:v>YouTube</c:v>
                  </c:pt>
                  <c:pt idx="169">
                    <c:v>YouTube</c:v>
                  </c:pt>
                  <c:pt idx="170">
                    <c:v>Instagram</c:v>
                  </c:pt>
                  <c:pt idx="171">
                    <c:v>X</c:v>
                  </c:pt>
                  <c:pt idx="172">
                    <c:v>Facebook</c:v>
                  </c:pt>
                  <c:pt idx="173">
                    <c:v>YouTube</c:v>
                  </c:pt>
                  <c:pt idx="174">
                    <c:v>YouTube</c:v>
                  </c:pt>
                  <c:pt idx="175">
                    <c:v>Facebook</c:v>
                  </c:pt>
                  <c:pt idx="176">
                    <c:v>X</c:v>
                  </c:pt>
                  <c:pt idx="177">
                    <c:v>Facebook</c:v>
                  </c:pt>
                  <c:pt idx="178">
                    <c:v>Instagram</c:v>
                  </c:pt>
                  <c:pt idx="179">
                    <c:v>X</c:v>
                  </c:pt>
                  <c:pt idx="180">
                    <c:v>X</c:v>
                  </c:pt>
                  <c:pt idx="181">
                    <c:v>Facebook</c:v>
                  </c:pt>
                  <c:pt idx="182">
                    <c:v>Instagram</c:v>
                  </c:pt>
                  <c:pt idx="183">
                    <c:v>X</c:v>
                  </c:pt>
                  <c:pt idx="184">
                    <c:v>X</c:v>
                  </c:pt>
                  <c:pt idx="185">
                    <c:v>Facebook</c:v>
                  </c:pt>
                  <c:pt idx="186">
                    <c:v>X</c:v>
                  </c:pt>
                  <c:pt idx="187">
                    <c:v>YouTube</c:v>
                  </c:pt>
                  <c:pt idx="188">
                    <c:v>Facebook</c:v>
                  </c:pt>
                  <c:pt idx="189">
                    <c:v>YouTube</c:v>
                  </c:pt>
                  <c:pt idx="190">
                    <c:v>Instagram</c:v>
                  </c:pt>
                  <c:pt idx="191">
                    <c:v>Instagram</c:v>
                  </c:pt>
                  <c:pt idx="192">
                    <c:v>X</c:v>
                  </c:pt>
                  <c:pt idx="193">
                    <c:v>Facebook</c:v>
                  </c:pt>
                  <c:pt idx="194">
                    <c:v>Facebook</c:v>
                  </c:pt>
                  <c:pt idx="195">
                    <c:v>Instagram</c:v>
                  </c:pt>
                  <c:pt idx="196">
                    <c:v>Facebook</c:v>
                  </c:pt>
                  <c:pt idx="197">
                    <c:v>YouTube</c:v>
                  </c:pt>
                  <c:pt idx="198">
                    <c:v>Instagram</c:v>
                  </c:pt>
                  <c:pt idx="199">
                    <c:v>YouTube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69B9-43F7-8697-8F089761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341519"/>
        <c:axId val="1587341999"/>
      </c:scatterChart>
      <c:valAx>
        <c:axId val="1587341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/>
                  <a:t>Engagement_Rate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341999"/>
        <c:crosses val="autoZero"/>
        <c:crossBetween val="midCat"/>
      </c:valAx>
      <c:valAx>
        <c:axId val="15873419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50"/>
                  <a:t>Ad_Spend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341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[Social_Media_Analytics_Dataset.xlsx]Task4.3_Compare_performance!PivotTable4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108705161854764E-2"/>
          <c:y val="0.14249781277340332"/>
          <c:w val="0.71692847769028867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Task4.3_Compare_performance!$C$2:$C$3</c:f>
              <c:strCache>
                <c:ptCount val="1"/>
                <c:pt idx="0">
                  <c:v>Facebook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Task4.3_Compare_performance!$B$4:$B$9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Task4.3_Compare_performance!$C$4:$C$9</c:f>
              <c:numCache>
                <c:formatCode>0.00</c:formatCode>
                <c:ptCount val="6"/>
                <c:pt idx="0">
                  <c:v>0.11820589815604367</c:v>
                </c:pt>
                <c:pt idx="1">
                  <c:v>0.11892682975133068</c:v>
                </c:pt>
                <c:pt idx="2">
                  <c:v>0.10810248159985612</c:v>
                </c:pt>
                <c:pt idx="3">
                  <c:v>0.15898977777988452</c:v>
                </c:pt>
                <c:pt idx="4">
                  <c:v>0.1074395128551284</c:v>
                </c:pt>
                <c:pt idx="5">
                  <c:v>0.12899653614759149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2-4D43-B3BA-8E47DD8AB7B8}"/>
            </c:ext>
          </c:extLst>
        </c:ser>
        <c:ser>
          <c:idx val="1"/>
          <c:order val="1"/>
          <c:tx>
            <c:strRef>
              <c:f>Task4.3_Compare_performance!$D$2:$D$3</c:f>
              <c:strCache>
                <c:ptCount val="1"/>
                <c:pt idx="0">
                  <c:v>Instagram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Task4.3_Compare_performance!$B$4:$B$9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Task4.3_Compare_performance!$D$4:$D$9</c:f>
              <c:numCache>
                <c:formatCode>0.00</c:formatCode>
                <c:ptCount val="6"/>
                <c:pt idx="0">
                  <c:v>0.14439860032256024</c:v>
                </c:pt>
                <c:pt idx="1">
                  <c:v>0.14929862484025289</c:v>
                </c:pt>
                <c:pt idx="2">
                  <c:v>0.26004033206333965</c:v>
                </c:pt>
                <c:pt idx="3">
                  <c:v>0.24558274253543633</c:v>
                </c:pt>
                <c:pt idx="4">
                  <c:v>0.12920449104190176</c:v>
                </c:pt>
                <c:pt idx="5">
                  <c:v>0.2062396061640541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92-4D43-B3BA-8E47DD8AB7B8}"/>
            </c:ext>
          </c:extLst>
        </c:ser>
        <c:ser>
          <c:idx val="2"/>
          <c:order val="2"/>
          <c:tx>
            <c:strRef>
              <c:f>Task4.3_Compare_performance!$E$2:$E$3</c:f>
              <c:strCache>
                <c:ptCount val="1"/>
                <c:pt idx="0">
                  <c:v>X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Task4.3_Compare_performance!$B$4:$B$9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Task4.3_Compare_performance!$E$4:$E$9</c:f>
              <c:numCache>
                <c:formatCode>0.00</c:formatCode>
                <c:ptCount val="6"/>
                <c:pt idx="0">
                  <c:v>0.15972488239914528</c:v>
                </c:pt>
                <c:pt idx="1">
                  <c:v>0.14756648191377314</c:v>
                </c:pt>
                <c:pt idx="2">
                  <c:v>0.12428081569427865</c:v>
                </c:pt>
                <c:pt idx="3">
                  <c:v>0.18859716943319416</c:v>
                </c:pt>
                <c:pt idx="4">
                  <c:v>0.12088972902726507</c:v>
                </c:pt>
                <c:pt idx="5">
                  <c:v>0.11980876658677887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92-4D43-B3BA-8E47DD8AB7B8}"/>
            </c:ext>
          </c:extLst>
        </c:ser>
        <c:ser>
          <c:idx val="3"/>
          <c:order val="3"/>
          <c:tx>
            <c:strRef>
              <c:f>Task4.3_Compare_performance!$F$2:$F$3</c:f>
              <c:strCache>
                <c:ptCount val="1"/>
                <c:pt idx="0">
                  <c:v>YouTube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Task4.3_Compare_performance!$B$4:$B$9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Task4.3_Compare_performance!$F$4:$F$9</c:f>
              <c:numCache>
                <c:formatCode>0.00</c:formatCode>
                <c:ptCount val="6"/>
                <c:pt idx="0">
                  <c:v>0.17416554369953544</c:v>
                </c:pt>
                <c:pt idx="1">
                  <c:v>0.15035567844671383</c:v>
                </c:pt>
                <c:pt idx="2">
                  <c:v>0.11688583584797579</c:v>
                </c:pt>
                <c:pt idx="3">
                  <c:v>9.4965330348360799E-2</c:v>
                </c:pt>
                <c:pt idx="4">
                  <c:v>0.11459217612964397</c:v>
                </c:pt>
                <c:pt idx="5">
                  <c:v>0.12968338256813225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992-4D43-B3BA-8E47DD8AB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03269983"/>
        <c:axId val="1703270463"/>
      </c:barChart>
      <c:catAx>
        <c:axId val="170326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270463"/>
        <c:crosses val="autoZero"/>
        <c:auto val="1"/>
        <c:lblAlgn val="ctr"/>
        <c:lblOffset val="100"/>
        <c:noMultiLvlLbl val="0"/>
      </c:catAx>
      <c:valAx>
        <c:axId val="170327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26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[Social_Media_Analytics_Dataset.xlsx]Task5_Campaign Effectiveness!PivotTable3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'Task5_Campaign Effectiveness'!$F$3</c:f>
              <c:strCache>
                <c:ptCount val="1"/>
                <c:pt idx="0">
                  <c:v>Sum of Impressions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'Task5_Campaign Effectiveness'!$E$4:$E$8</c:f>
              <c:strCache>
                <c:ptCount val="4"/>
                <c:pt idx="0">
                  <c:v>DailyWellness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SummerSplash</c:v>
                </c:pt>
              </c:strCache>
            </c:strRef>
          </c:cat>
          <c:val>
            <c:numRef>
              <c:f>'Task5_Campaign Effectiveness'!$F$4:$F$8</c:f>
              <c:numCache>
                <c:formatCode>0</c:formatCode>
                <c:ptCount val="4"/>
                <c:pt idx="0">
                  <c:v>2464864</c:v>
                </c:pt>
                <c:pt idx="1">
                  <c:v>1986356</c:v>
                </c:pt>
                <c:pt idx="2">
                  <c:v>2266053</c:v>
                </c:pt>
                <c:pt idx="3">
                  <c:v>1846272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2-4341-84EB-006FB7C40F27}"/>
            </c:ext>
          </c:extLst>
        </c:ser>
        <c:ser>
          <c:idx val="1"/>
          <c:order val="1"/>
          <c:tx>
            <c:strRef>
              <c:f>'Task5_Campaign Effectiveness'!$G$3</c:f>
              <c:strCache>
                <c:ptCount val="1"/>
                <c:pt idx="0">
                  <c:v>Sum of Likes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'Task5_Campaign Effectiveness'!$E$4:$E$8</c:f>
              <c:strCache>
                <c:ptCount val="4"/>
                <c:pt idx="0">
                  <c:v>DailyWellness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SummerSplash</c:v>
                </c:pt>
              </c:strCache>
            </c:strRef>
          </c:cat>
          <c:val>
            <c:numRef>
              <c:f>'Task5_Campaign Effectiveness'!$G$4:$G$8</c:f>
              <c:numCache>
                <c:formatCode>0</c:formatCode>
                <c:ptCount val="4"/>
                <c:pt idx="0">
                  <c:v>187909</c:v>
                </c:pt>
                <c:pt idx="1">
                  <c:v>159783</c:v>
                </c:pt>
                <c:pt idx="2">
                  <c:v>183346</c:v>
                </c:pt>
                <c:pt idx="3">
                  <c:v>138793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E2-4341-84EB-006FB7C40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2063046015"/>
        <c:axId val="2063046495"/>
      </c:barChart>
      <c:lineChart>
        <c:grouping val="standard"/>
        <c:varyColors val="0"/>
        <c:ser>
          <c:idx val="2"/>
          <c:order val="2"/>
          <c:tx>
            <c:strRef>
              <c:f>'Task5_Campaign Effectiveness'!$H$3</c:f>
              <c:strCache>
                <c:ptCount val="1"/>
                <c:pt idx="0">
                  <c:v>Sum of Clicks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'Task5_Campaign Effectiveness'!$E$4:$E$8</c:f>
              <c:strCache>
                <c:ptCount val="4"/>
                <c:pt idx="0">
                  <c:v>DailyWellness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SummerSplash</c:v>
                </c:pt>
              </c:strCache>
            </c:strRef>
          </c:cat>
          <c:val>
            <c:numRef>
              <c:f>'Task5_Campaign Effectiveness'!$H$4:$H$8</c:f>
              <c:numCache>
                <c:formatCode>0</c:formatCode>
                <c:ptCount val="4"/>
                <c:pt idx="0">
                  <c:v>10689</c:v>
                </c:pt>
                <c:pt idx="1">
                  <c:v>9872</c:v>
                </c:pt>
                <c:pt idx="2">
                  <c:v>10032</c:v>
                </c:pt>
                <c:pt idx="3">
                  <c:v>6434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E2-4341-84EB-006FB7C40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1379503"/>
        <c:axId val="1531376623"/>
      </c:lineChart>
      <c:catAx>
        <c:axId val="2063046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046495"/>
        <c:crosses val="autoZero"/>
        <c:auto val="1"/>
        <c:lblAlgn val="ctr"/>
        <c:lblOffset val="100"/>
        <c:noMultiLvlLbl val="0"/>
      </c:catAx>
      <c:valAx>
        <c:axId val="206304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046015"/>
        <c:crosses val="autoZero"/>
        <c:crossBetween val="between"/>
      </c:valAx>
      <c:valAx>
        <c:axId val="1531376623"/>
        <c:scaling>
          <c:orientation val="minMax"/>
        </c:scaling>
        <c:delete val="0"/>
        <c:axPos val="r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379503"/>
        <c:crosses val="max"/>
        <c:crossBetween val="between"/>
      </c:valAx>
      <c:catAx>
        <c:axId val="15313795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1376623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[Social_Media_Analytics_Dataset.xlsx]Task5_Campaign Effectiveness!PivotTable4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'Task5_Campaign Effectiveness'!$L$3</c:f>
              <c:strCache>
                <c:ptCount val="1"/>
                <c:pt idx="0">
                  <c:v>Average of Impressions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'Task5_Campaign Effectiveness'!$K$4:$K$8</c:f>
              <c:strCache>
                <c:ptCount val="4"/>
                <c:pt idx="0">
                  <c:v>DailyWellness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SummerSplash</c:v>
                </c:pt>
              </c:strCache>
            </c:strRef>
          </c:cat>
          <c:val>
            <c:numRef>
              <c:f>'Task5_Campaign Effectiveness'!$L$4:$L$8</c:f>
              <c:numCache>
                <c:formatCode>0</c:formatCode>
                <c:ptCount val="4"/>
                <c:pt idx="0">
                  <c:v>34716.394366197186</c:v>
                </c:pt>
                <c:pt idx="1">
                  <c:v>34247.517241379312</c:v>
                </c:pt>
                <c:pt idx="2">
                  <c:v>33821.686567164179</c:v>
                </c:pt>
                <c:pt idx="3">
                  <c:v>38464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6-461D-8E6B-31096E0F2C14}"/>
            </c:ext>
          </c:extLst>
        </c:ser>
        <c:ser>
          <c:idx val="1"/>
          <c:order val="1"/>
          <c:tx>
            <c:strRef>
              <c:f>'Task5_Campaign Effectiveness'!$M$3</c:f>
              <c:strCache>
                <c:ptCount val="1"/>
                <c:pt idx="0">
                  <c:v>Average of Clicks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'Task5_Campaign Effectiveness'!$K$4:$K$8</c:f>
              <c:strCache>
                <c:ptCount val="4"/>
                <c:pt idx="0">
                  <c:v>DailyWellness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SummerSplash</c:v>
                </c:pt>
              </c:strCache>
            </c:strRef>
          </c:cat>
          <c:val>
            <c:numRef>
              <c:f>'Task5_Campaign Effectiveness'!$M$4:$M$8</c:f>
              <c:numCache>
                <c:formatCode>0</c:formatCode>
                <c:ptCount val="4"/>
                <c:pt idx="0">
                  <c:v>150.54929577464787</c:v>
                </c:pt>
                <c:pt idx="1">
                  <c:v>170.20689655172413</c:v>
                </c:pt>
                <c:pt idx="2">
                  <c:v>149.73134328358208</c:v>
                </c:pt>
                <c:pt idx="3">
                  <c:v>134.04166666666666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D6-461D-8E6B-31096E0F2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12563648"/>
        <c:axId val="12583328"/>
      </c:barChart>
      <c:lineChart>
        <c:grouping val="standard"/>
        <c:varyColors val="0"/>
        <c:ser>
          <c:idx val="2"/>
          <c:order val="2"/>
          <c:tx>
            <c:strRef>
              <c:f>'Task5_Campaign Effectiveness'!$N$3</c:f>
              <c:strCache>
                <c:ptCount val="1"/>
                <c:pt idx="0">
                  <c:v>Average of Likes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'Task5_Campaign Effectiveness'!$K$4:$K$8</c:f>
              <c:strCache>
                <c:ptCount val="4"/>
                <c:pt idx="0">
                  <c:v>DailyWellness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SummerSplash</c:v>
                </c:pt>
              </c:strCache>
            </c:strRef>
          </c:cat>
          <c:val>
            <c:numRef>
              <c:f>'Task5_Campaign Effectiveness'!$N$4:$N$8</c:f>
              <c:numCache>
                <c:formatCode>0</c:formatCode>
                <c:ptCount val="4"/>
                <c:pt idx="0">
                  <c:v>2646.605633802817</c:v>
                </c:pt>
                <c:pt idx="1">
                  <c:v>2754.8793103448274</c:v>
                </c:pt>
                <c:pt idx="2">
                  <c:v>2736.5074626865671</c:v>
                </c:pt>
                <c:pt idx="3">
                  <c:v>2891.5208333333335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D6-461D-8E6B-31096E0F2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83808"/>
        <c:axId val="12582848"/>
      </c:lineChart>
      <c:catAx>
        <c:axId val="1256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3328"/>
        <c:crosses val="autoZero"/>
        <c:auto val="1"/>
        <c:lblAlgn val="ctr"/>
        <c:lblOffset val="100"/>
        <c:noMultiLvlLbl val="0"/>
      </c:catAx>
      <c:valAx>
        <c:axId val="125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3648"/>
        <c:crosses val="autoZero"/>
        <c:crossBetween val="between"/>
      </c:valAx>
      <c:valAx>
        <c:axId val="12582848"/>
        <c:scaling>
          <c:orientation val="minMax"/>
        </c:scaling>
        <c:delete val="0"/>
        <c:axPos val="r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3808"/>
        <c:crosses val="max"/>
        <c:crossBetween val="between"/>
      </c:valAx>
      <c:catAx>
        <c:axId val="125838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582848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[Social_Media_Analytics_Dataset.xlsx]Task5.3_Campaign_ROI!PivotTable2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Task5.3_Campaign_ROI!$L$2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Task5.3_Campaign_ROI!$K$3:$K$6</c:f>
              <c:strCache>
                <c:ptCount val="4"/>
                <c:pt idx="0">
                  <c:v>DailyWellness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SummerSplash</c:v>
                </c:pt>
              </c:strCache>
            </c:strRef>
          </c:cat>
          <c:val>
            <c:numRef>
              <c:f>Task5.3_Campaign_ROI!$L$3:$L$6</c:f>
              <c:numCache>
                <c:formatCode>0.000</c:formatCode>
                <c:ptCount val="4"/>
                <c:pt idx="0">
                  <c:v>1.8817136150234746E-2</c:v>
                </c:pt>
                <c:pt idx="1">
                  <c:v>1.7391293103448273E-2</c:v>
                </c:pt>
                <c:pt idx="2">
                  <c:v>1.3899761194029853E-2</c:v>
                </c:pt>
                <c:pt idx="3">
                  <c:v>2.404936170212766E-2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D-4CD9-8FBA-2FB9DBCB9B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14862992"/>
        <c:axId val="414863472"/>
        <c:axId val="0"/>
      </c:bar3DChart>
      <c:catAx>
        <c:axId val="41486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863472"/>
        <c:crosses val="autoZero"/>
        <c:auto val="1"/>
        <c:lblAlgn val="ctr"/>
        <c:lblOffset val="100"/>
        <c:noMultiLvlLbl val="0"/>
      </c:catAx>
      <c:valAx>
        <c:axId val="41486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86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[Social_Media_Analytics_Dataset.xlsx]Task5.4 campaign_strongest foll!PivotTable2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'Task5.4 campaign_strongest foll'!$G$2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'Task5.4 campaign_strongest foll'!$F$3:$F$6</c:f>
              <c:strCache>
                <c:ptCount val="4"/>
                <c:pt idx="0">
                  <c:v>DailyWellness</c:v>
                </c:pt>
                <c:pt idx="1">
                  <c:v>FestiveRadiance</c:v>
                </c:pt>
                <c:pt idx="2">
                  <c:v>NewYearRefresh</c:v>
                </c:pt>
                <c:pt idx="3">
                  <c:v>SummerSplash</c:v>
                </c:pt>
              </c:strCache>
            </c:strRef>
          </c:cat>
          <c:val>
            <c:numRef>
              <c:f>'Task5.4 campaign_strongest foll'!$G$3:$G$6</c:f>
              <c:numCache>
                <c:formatCode>General</c:formatCode>
                <c:ptCount val="4"/>
                <c:pt idx="0">
                  <c:v>56149</c:v>
                </c:pt>
                <c:pt idx="1">
                  <c:v>34035</c:v>
                </c:pt>
                <c:pt idx="2">
                  <c:v>38535</c:v>
                </c:pt>
                <c:pt idx="3">
                  <c:v>31386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1-4256-82BA-A2EB72324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06368816"/>
        <c:axId val="706369296"/>
      </c:barChart>
      <c:catAx>
        <c:axId val="70636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369296"/>
        <c:crosses val="autoZero"/>
        <c:auto val="1"/>
        <c:lblAlgn val="ctr"/>
        <c:lblOffset val="100"/>
        <c:noMultiLvlLbl val="0"/>
      </c:catAx>
      <c:valAx>
        <c:axId val="70636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36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[Social_Media_Analytics_Dataset.xlsx]Task6 Follower Retention 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“Weekly Follower Growth by Platform”</a:t>
            </a:r>
          </a:p>
        </c:rich>
      </c:tx>
      <c:layout>
        <c:manualLayout>
          <c:xMode val="edge"/>
          <c:yMode val="edge"/>
          <c:x val="0.18142084965666472"/>
          <c:y val="0.105606340606532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4"/>
            </a:solidFill>
            <a:ln w="9525" cap="flat" cmpd="sng" algn="ctr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'Task6 Follower Retention '!$H$3:$H$4</c:f>
              <c:strCache>
                <c:ptCount val="1"/>
                <c:pt idx="0">
                  <c:v>Facebook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'Task6 Follower Retention '!$G$5:$G$54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'Task6 Follower Retention '!$H$5:$H$54</c:f>
              <c:numCache>
                <c:formatCode>General</c:formatCode>
                <c:ptCount val="50"/>
                <c:pt idx="0">
                  <c:v>1002</c:v>
                </c:pt>
                <c:pt idx="1">
                  <c:v>1283</c:v>
                </c:pt>
                <c:pt idx="2">
                  <c:v>1382</c:v>
                </c:pt>
                <c:pt idx="3">
                  <c:v>1670</c:v>
                </c:pt>
                <c:pt idx="4">
                  <c:v>64</c:v>
                </c:pt>
                <c:pt idx="5">
                  <c:v>309</c:v>
                </c:pt>
                <c:pt idx="6">
                  <c:v>-164</c:v>
                </c:pt>
                <c:pt idx="7">
                  <c:v>961</c:v>
                </c:pt>
                <c:pt idx="8">
                  <c:v>-318</c:v>
                </c:pt>
                <c:pt idx="9">
                  <c:v>-197</c:v>
                </c:pt>
                <c:pt idx="10">
                  <c:v>1334</c:v>
                </c:pt>
                <c:pt idx="11">
                  <c:v>1058</c:v>
                </c:pt>
                <c:pt idx="12">
                  <c:v>37</c:v>
                </c:pt>
                <c:pt idx="13">
                  <c:v>1045</c:v>
                </c:pt>
                <c:pt idx="14">
                  <c:v>1428</c:v>
                </c:pt>
                <c:pt idx="15">
                  <c:v>98</c:v>
                </c:pt>
                <c:pt idx="16">
                  <c:v>-19</c:v>
                </c:pt>
                <c:pt idx="17">
                  <c:v>-179</c:v>
                </c:pt>
                <c:pt idx="18">
                  <c:v>1662</c:v>
                </c:pt>
                <c:pt idx="19">
                  <c:v>285</c:v>
                </c:pt>
                <c:pt idx="20">
                  <c:v>439</c:v>
                </c:pt>
                <c:pt idx="21">
                  <c:v>386</c:v>
                </c:pt>
                <c:pt idx="22">
                  <c:v>540</c:v>
                </c:pt>
                <c:pt idx="23">
                  <c:v>-106</c:v>
                </c:pt>
                <c:pt idx="24">
                  <c:v>72</c:v>
                </c:pt>
                <c:pt idx="25">
                  <c:v>1332</c:v>
                </c:pt>
                <c:pt idx="26">
                  <c:v>1706</c:v>
                </c:pt>
                <c:pt idx="27">
                  <c:v>1373</c:v>
                </c:pt>
                <c:pt idx="28">
                  <c:v>1377</c:v>
                </c:pt>
                <c:pt idx="29">
                  <c:v>730</c:v>
                </c:pt>
                <c:pt idx="30">
                  <c:v>1776</c:v>
                </c:pt>
                <c:pt idx="31">
                  <c:v>620</c:v>
                </c:pt>
                <c:pt idx="32">
                  <c:v>298</c:v>
                </c:pt>
                <c:pt idx="33">
                  <c:v>427</c:v>
                </c:pt>
                <c:pt idx="34">
                  <c:v>898</c:v>
                </c:pt>
                <c:pt idx="35">
                  <c:v>748</c:v>
                </c:pt>
                <c:pt idx="36">
                  <c:v>912</c:v>
                </c:pt>
                <c:pt idx="37">
                  <c:v>1590</c:v>
                </c:pt>
                <c:pt idx="38">
                  <c:v>1707</c:v>
                </c:pt>
                <c:pt idx="39">
                  <c:v>-119</c:v>
                </c:pt>
                <c:pt idx="40">
                  <c:v>908</c:v>
                </c:pt>
                <c:pt idx="41">
                  <c:v>1116</c:v>
                </c:pt>
                <c:pt idx="42">
                  <c:v>474</c:v>
                </c:pt>
                <c:pt idx="43">
                  <c:v>514</c:v>
                </c:pt>
                <c:pt idx="44">
                  <c:v>1029</c:v>
                </c:pt>
                <c:pt idx="45">
                  <c:v>-175</c:v>
                </c:pt>
                <c:pt idx="46">
                  <c:v>1045</c:v>
                </c:pt>
                <c:pt idx="47">
                  <c:v>453</c:v>
                </c:pt>
                <c:pt idx="48">
                  <c:v>339</c:v>
                </c:pt>
                <c:pt idx="49">
                  <c:v>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E3-49F4-A388-53340CB87CAE}"/>
            </c:ext>
          </c:extLst>
        </c:ser>
        <c:ser>
          <c:idx val="1"/>
          <c:order val="1"/>
          <c:tx>
            <c:strRef>
              <c:f>'Task6 Follower Retention '!$I$3:$I$4</c:f>
              <c:strCache>
                <c:ptCount val="1"/>
                <c:pt idx="0">
                  <c:v>Instagram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'Task6 Follower Retention '!$G$5:$G$54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'Task6 Follower Retention '!$I$5:$I$54</c:f>
              <c:numCache>
                <c:formatCode>General</c:formatCode>
                <c:ptCount val="50"/>
                <c:pt idx="0">
                  <c:v>1047</c:v>
                </c:pt>
                <c:pt idx="1">
                  <c:v>517</c:v>
                </c:pt>
                <c:pt idx="2">
                  <c:v>893</c:v>
                </c:pt>
                <c:pt idx="3">
                  <c:v>629</c:v>
                </c:pt>
                <c:pt idx="4">
                  <c:v>-219</c:v>
                </c:pt>
                <c:pt idx="5">
                  <c:v>1672</c:v>
                </c:pt>
                <c:pt idx="6">
                  <c:v>1845</c:v>
                </c:pt>
                <c:pt idx="7">
                  <c:v>159</c:v>
                </c:pt>
                <c:pt idx="8">
                  <c:v>541</c:v>
                </c:pt>
                <c:pt idx="9">
                  <c:v>352</c:v>
                </c:pt>
                <c:pt idx="10">
                  <c:v>1325</c:v>
                </c:pt>
                <c:pt idx="11">
                  <c:v>76</c:v>
                </c:pt>
                <c:pt idx="12">
                  <c:v>1609</c:v>
                </c:pt>
                <c:pt idx="13">
                  <c:v>1247</c:v>
                </c:pt>
                <c:pt idx="14">
                  <c:v>1572</c:v>
                </c:pt>
                <c:pt idx="15">
                  <c:v>377</c:v>
                </c:pt>
                <c:pt idx="16">
                  <c:v>666</c:v>
                </c:pt>
                <c:pt idx="17">
                  <c:v>1025</c:v>
                </c:pt>
                <c:pt idx="18">
                  <c:v>1872</c:v>
                </c:pt>
                <c:pt idx="19">
                  <c:v>1224</c:v>
                </c:pt>
                <c:pt idx="20">
                  <c:v>262</c:v>
                </c:pt>
                <c:pt idx="21">
                  <c:v>576</c:v>
                </c:pt>
                <c:pt idx="22">
                  <c:v>1397</c:v>
                </c:pt>
                <c:pt idx="23">
                  <c:v>902</c:v>
                </c:pt>
                <c:pt idx="24">
                  <c:v>-49</c:v>
                </c:pt>
                <c:pt idx="25">
                  <c:v>1693</c:v>
                </c:pt>
                <c:pt idx="26">
                  <c:v>1625</c:v>
                </c:pt>
                <c:pt idx="27">
                  <c:v>1119</c:v>
                </c:pt>
                <c:pt idx="28">
                  <c:v>1432</c:v>
                </c:pt>
                <c:pt idx="29">
                  <c:v>684</c:v>
                </c:pt>
                <c:pt idx="30">
                  <c:v>1765</c:v>
                </c:pt>
                <c:pt idx="31">
                  <c:v>903</c:v>
                </c:pt>
                <c:pt idx="32">
                  <c:v>1722</c:v>
                </c:pt>
                <c:pt idx="33">
                  <c:v>1572</c:v>
                </c:pt>
                <c:pt idx="34">
                  <c:v>-166</c:v>
                </c:pt>
                <c:pt idx="35">
                  <c:v>1080</c:v>
                </c:pt>
                <c:pt idx="36">
                  <c:v>1723</c:v>
                </c:pt>
                <c:pt idx="37">
                  <c:v>965</c:v>
                </c:pt>
                <c:pt idx="38">
                  <c:v>1375</c:v>
                </c:pt>
                <c:pt idx="39">
                  <c:v>1315</c:v>
                </c:pt>
                <c:pt idx="40">
                  <c:v>212</c:v>
                </c:pt>
                <c:pt idx="41">
                  <c:v>680</c:v>
                </c:pt>
                <c:pt idx="42">
                  <c:v>461</c:v>
                </c:pt>
                <c:pt idx="43">
                  <c:v>641</c:v>
                </c:pt>
                <c:pt idx="44">
                  <c:v>167</c:v>
                </c:pt>
                <c:pt idx="45">
                  <c:v>-160</c:v>
                </c:pt>
                <c:pt idx="46">
                  <c:v>603</c:v>
                </c:pt>
                <c:pt idx="47">
                  <c:v>1539</c:v>
                </c:pt>
                <c:pt idx="48">
                  <c:v>1881</c:v>
                </c:pt>
                <c:pt idx="49">
                  <c:v>1656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E3-49F4-A388-53340CB87CAE}"/>
            </c:ext>
          </c:extLst>
        </c:ser>
        <c:ser>
          <c:idx val="2"/>
          <c:order val="2"/>
          <c:tx>
            <c:strRef>
              <c:f>'Task6 Follower Retention '!$J$3:$J$4</c:f>
              <c:strCache>
                <c:ptCount val="1"/>
                <c:pt idx="0">
                  <c:v>Twitter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'Task6 Follower Retention '!$G$5:$G$54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'Task6 Follower Retention '!$J$5:$J$54</c:f>
              <c:numCache>
                <c:formatCode>General</c:formatCode>
                <c:ptCount val="50"/>
                <c:pt idx="0">
                  <c:v>415</c:v>
                </c:pt>
                <c:pt idx="1">
                  <c:v>186</c:v>
                </c:pt>
                <c:pt idx="2">
                  <c:v>1295</c:v>
                </c:pt>
                <c:pt idx="3">
                  <c:v>835</c:v>
                </c:pt>
                <c:pt idx="4">
                  <c:v>1357</c:v>
                </c:pt>
                <c:pt idx="5">
                  <c:v>547</c:v>
                </c:pt>
                <c:pt idx="6">
                  <c:v>429</c:v>
                </c:pt>
                <c:pt idx="7">
                  <c:v>1316</c:v>
                </c:pt>
                <c:pt idx="8">
                  <c:v>1495</c:v>
                </c:pt>
                <c:pt idx="9">
                  <c:v>328</c:v>
                </c:pt>
                <c:pt idx="10">
                  <c:v>37</c:v>
                </c:pt>
                <c:pt idx="11">
                  <c:v>1665</c:v>
                </c:pt>
                <c:pt idx="12">
                  <c:v>1229</c:v>
                </c:pt>
                <c:pt idx="13">
                  <c:v>197</c:v>
                </c:pt>
                <c:pt idx="14">
                  <c:v>260</c:v>
                </c:pt>
                <c:pt idx="15">
                  <c:v>1125</c:v>
                </c:pt>
                <c:pt idx="16">
                  <c:v>1680</c:v>
                </c:pt>
                <c:pt idx="17">
                  <c:v>599</c:v>
                </c:pt>
                <c:pt idx="18">
                  <c:v>107</c:v>
                </c:pt>
                <c:pt idx="19">
                  <c:v>-20</c:v>
                </c:pt>
                <c:pt idx="20">
                  <c:v>636</c:v>
                </c:pt>
                <c:pt idx="21">
                  <c:v>37</c:v>
                </c:pt>
                <c:pt idx="22">
                  <c:v>1603</c:v>
                </c:pt>
                <c:pt idx="23">
                  <c:v>1150</c:v>
                </c:pt>
                <c:pt idx="24">
                  <c:v>445</c:v>
                </c:pt>
                <c:pt idx="25">
                  <c:v>98</c:v>
                </c:pt>
                <c:pt idx="26">
                  <c:v>1173</c:v>
                </c:pt>
                <c:pt idx="27">
                  <c:v>1727</c:v>
                </c:pt>
                <c:pt idx="28">
                  <c:v>1359</c:v>
                </c:pt>
                <c:pt idx="29">
                  <c:v>911</c:v>
                </c:pt>
                <c:pt idx="30">
                  <c:v>1529</c:v>
                </c:pt>
                <c:pt idx="31">
                  <c:v>1188</c:v>
                </c:pt>
                <c:pt idx="32">
                  <c:v>-144</c:v>
                </c:pt>
                <c:pt idx="33">
                  <c:v>891</c:v>
                </c:pt>
                <c:pt idx="34">
                  <c:v>1426</c:v>
                </c:pt>
                <c:pt idx="35">
                  <c:v>569</c:v>
                </c:pt>
                <c:pt idx="36">
                  <c:v>1202</c:v>
                </c:pt>
                <c:pt idx="37">
                  <c:v>-37</c:v>
                </c:pt>
                <c:pt idx="38">
                  <c:v>708</c:v>
                </c:pt>
                <c:pt idx="39">
                  <c:v>899</c:v>
                </c:pt>
                <c:pt idx="40">
                  <c:v>1350</c:v>
                </c:pt>
                <c:pt idx="41">
                  <c:v>861</c:v>
                </c:pt>
                <c:pt idx="42">
                  <c:v>292</c:v>
                </c:pt>
                <c:pt idx="43">
                  <c:v>1676</c:v>
                </c:pt>
                <c:pt idx="44">
                  <c:v>1007</c:v>
                </c:pt>
                <c:pt idx="45">
                  <c:v>53</c:v>
                </c:pt>
                <c:pt idx="46">
                  <c:v>759</c:v>
                </c:pt>
                <c:pt idx="47">
                  <c:v>948</c:v>
                </c:pt>
                <c:pt idx="48">
                  <c:v>1510</c:v>
                </c:pt>
                <c:pt idx="49">
                  <c:v>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E3-49F4-A388-53340CB87CAE}"/>
            </c:ext>
          </c:extLst>
        </c:ser>
        <c:ser>
          <c:idx val="3"/>
          <c:order val="3"/>
          <c:tx>
            <c:strRef>
              <c:f>'Task6 Follower Retention '!$K$3:$K$4</c:f>
              <c:strCache>
                <c:ptCount val="1"/>
                <c:pt idx="0">
                  <c:v>YouTube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'Task6 Follower Retention '!$G$5:$G$54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'Task6 Follower Retention '!$K$5:$K$54</c:f>
              <c:numCache>
                <c:formatCode>General</c:formatCode>
                <c:ptCount val="50"/>
                <c:pt idx="0">
                  <c:v>1090</c:v>
                </c:pt>
                <c:pt idx="1">
                  <c:v>994</c:v>
                </c:pt>
                <c:pt idx="2">
                  <c:v>337</c:v>
                </c:pt>
                <c:pt idx="3">
                  <c:v>-123</c:v>
                </c:pt>
                <c:pt idx="4">
                  <c:v>91</c:v>
                </c:pt>
                <c:pt idx="5">
                  <c:v>514</c:v>
                </c:pt>
                <c:pt idx="6">
                  <c:v>160</c:v>
                </c:pt>
                <c:pt idx="7">
                  <c:v>317</c:v>
                </c:pt>
                <c:pt idx="8">
                  <c:v>475</c:v>
                </c:pt>
                <c:pt idx="9">
                  <c:v>319</c:v>
                </c:pt>
                <c:pt idx="10">
                  <c:v>1032</c:v>
                </c:pt>
                <c:pt idx="11">
                  <c:v>190</c:v>
                </c:pt>
                <c:pt idx="12">
                  <c:v>28</c:v>
                </c:pt>
                <c:pt idx="13">
                  <c:v>333</c:v>
                </c:pt>
                <c:pt idx="14">
                  <c:v>1100</c:v>
                </c:pt>
                <c:pt idx="15">
                  <c:v>-32</c:v>
                </c:pt>
                <c:pt idx="16">
                  <c:v>1006</c:v>
                </c:pt>
                <c:pt idx="17">
                  <c:v>1706</c:v>
                </c:pt>
                <c:pt idx="18">
                  <c:v>118</c:v>
                </c:pt>
                <c:pt idx="19">
                  <c:v>367</c:v>
                </c:pt>
                <c:pt idx="20">
                  <c:v>1484</c:v>
                </c:pt>
                <c:pt idx="21">
                  <c:v>1657</c:v>
                </c:pt>
                <c:pt idx="22">
                  <c:v>1044</c:v>
                </c:pt>
                <c:pt idx="23">
                  <c:v>349</c:v>
                </c:pt>
                <c:pt idx="24">
                  <c:v>60</c:v>
                </c:pt>
                <c:pt idx="25">
                  <c:v>885</c:v>
                </c:pt>
                <c:pt idx="26">
                  <c:v>291</c:v>
                </c:pt>
                <c:pt idx="27">
                  <c:v>573</c:v>
                </c:pt>
                <c:pt idx="28">
                  <c:v>876</c:v>
                </c:pt>
                <c:pt idx="29">
                  <c:v>1589</c:v>
                </c:pt>
                <c:pt idx="30">
                  <c:v>1460</c:v>
                </c:pt>
                <c:pt idx="31">
                  <c:v>846</c:v>
                </c:pt>
                <c:pt idx="32">
                  <c:v>901</c:v>
                </c:pt>
                <c:pt idx="33">
                  <c:v>724</c:v>
                </c:pt>
                <c:pt idx="34">
                  <c:v>1225</c:v>
                </c:pt>
                <c:pt idx="35">
                  <c:v>-203</c:v>
                </c:pt>
                <c:pt idx="36">
                  <c:v>1444</c:v>
                </c:pt>
                <c:pt idx="37">
                  <c:v>1175</c:v>
                </c:pt>
                <c:pt idx="38">
                  <c:v>1016</c:v>
                </c:pt>
                <c:pt idx="39">
                  <c:v>315</c:v>
                </c:pt>
                <c:pt idx="40">
                  <c:v>1242</c:v>
                </c:pt>
                <c:pt idx="41">
                  <c:v>1385</c:v>
                </c:pt>
                <c:pt idx="42">
                  <c:v>389</c:v>
                </c:pt>
                <c:pt idx="43">
                  <c:v>1467</c:v>
                </c:pt>
                <c:pt idx="44">
                  <c:v>209</c:v>
                </c:pt>
                <c:pt idx="45">
                  <c:v>145</c:v>
                </c:pt>
                <c:pt idx="46">
                  <c:v>1633</c:v>
                </c:pt>
                <c:pt idx="47">
                  <c:v>637</c:v>
                </c:pt>
                <c:pt idx="48">
                  <c:v>864</c:v>
                </c:pt>
                <c:pt idx="49">
                  <c:v>-337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E3-49F4-A388-53340CB87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206131776"/>
        <c:axId val="872391184"/>
      </c:lineChart>
      <c:catAx>
        <c:axId val="120613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391184"/>
        <c:crosses val="autoZero"/>
        <c:auto val="1"/>
        <c:lblAlgn val="ctr"/>
        <c:lblOffset val="100"/>
        <c:noMultiLvlLbl val="0"/>
      </c:catAx>
      <c:valAx>
        <c:axId val="872391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13177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Moving average chart for follower growth trends</a:t>
            </a:r>
          </a:p>
        </c:rich>
      </c:tx>
      <c:layout>
        <c:manualLayout>
          <c:xMode val="edge"/>
          <c:yMode val="edge"/>
          <c:x val="0.11179855643044621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Task6.3Moving_Average_chart!$B$1</c:f>
              <c:strCache>
                <c:ptCount val="1"/>
                <c:pt idx="0">
                  <c:v>Net_Gain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Task6.3Moving_Average_chart!$A$2:$A$201</c:f>
              <c:strCache>
                <c:ptCount val="200"/>
                <c:pt idx="0">
                  <c:v>2024-06-03</c:v>
                </c:pt>
                <c:pt idx="1">
                  <c:v>2024-06-03</c:v>
                </c:pt>
                <c:pt idx="2">
                  <c:v>2024-06-03</c:v>
                </c:pt>
                <c:pt idx="3">
                  <c:v>2024-06-03</c:v>
                </c:pt>
                <c:pt idx="4">
                  <c:v>2024-06-10</c:v>
                </c:pt>
                <c:pt idx="5">
                  <c:v>2024-06-10</c:v>
                </c:pt>
                <c:pt idx="6">
                  <c:v>2024-06-10</c:v>
                </c:pt>
                <c:pt idx="7">
                  <c:v>2024-06-10</c:v>
                </c:pt>
                <c:pt idx="8">
                  <c:v>2024-06-17</c:v>
                </c:pt>
                <c:pt idx="9">
                  <c:v>2024-06-17</c:v>
                </c:pt>
                <c:pt idx="10">
                  <c:v>2024-06-17</c:v>
                </c:pt>
                <c:pt idx="11">
                  <c:v>2024-06-17</c:v>
                </c:pt>
                <c:pt idx="12">
                  <c:v>2024-06-24</c:v>
                </c:pt>
                <c:pt idx="13">
                  <c:v>2024-06-24</c:v>
                </c:pt>
                <c:pt idx="14">
                  <c:v>2024-06-24</c:v>
                </c:pt>
                <c:pt idx="15">
                  <c:v>2024-06-24</c:v>
                </c:pt>
                <c:pt idx="16">
                  <c:v>2024-07-01</c:v>
                </c:pt>
                <c:pt idx="17">
                  <c:v>2024-07-01</c:v>
                </c:pt>
                <c:pt idx="18">
                  <c:v>2024-07-01</c:v>
                </c:pt>
                <c:pt idx="19">
                  <c:v>2024-07-01</c:v>
                </c:pt>
                <c:pt idx="20">
                  <c:v>2024-07-08</c:v>
                </c:pt>
                <c:pt idx="21">
                  <c:v>2024-07-08</c:v>
                </c:pt>
                <c:pt idx="22">
                  <c:v>2024-07-08</c:v>
                </c:pt>
                <c:pt idx="23">
                  <c:v>2024-07-08</c:v>
                </c:pt>
                <c:pt idx="24">
                  <c:v>2024-07-15</c:v>
                </c:pt>
                <c:pt idx="25">
                  <c:v>2024-07-15</c:v>
                </c:pt>
                <c:pt idx="26">
                  <c:v>2024-07-15</c:v>
                </c:pt>
                <c:pt idx="27">
                  <c:v>2024-07-15</c:v>
                </c:pt>
                <c:pt idx="28">
                  <c:v>2024-07-22</c:v>
                </c:pt>
                <c:pt idx="29">
                  <c:v>2024-07-22</c:v>
                </c:pt>
                <c:pt idx="30">
                  <c:v>2024-07-22</c:v>
                </c:pt>
                <c:pt idx="31">
                  <c:v>2024-07-22</c:v>
                </c:pt>
                <c:pt idx="32">
                  <c:v>2024-07-29</c:v>
                </c:pt>
                <c:pt idx="33">
                  <c:v>2024-07-29</c:v>
                </c:pt>
                <c:pt idx="34">
                  <c:v>2024-07-29</c:v>
                </c:pt>
                <c:pt idx="35">
                  <c:v>2024-07-29</c:v>
                </c:pt>
                <c:pt idx="36">
                  <c:v>2024-08-05</c:v>
                </c:pt>
                <c:pt idx="37">
                  <c:v>2024-08-05</c:v>
                </c:pt>
                <c:pt idx="38">
                  <c:v>2024-08-05</c:v>
                </c:pt>
                <c:pt idx="39">
                  <c:v>2024-08-05</c:v>
                </c:pt>
                <c:pt idx="40">
                  <c:v>2024-08-12</c:v>
                </c:pt>
                <c:pt idx="41">
                  <c:v>2024-08-12</c:v>
                </c:pt>
                <c:pt idx="42">
                  <c:v>2024-08-12</c:v>
                </c:pt>
                <c:pt idx="43">
                  <c:v>2024-08-12</c:v>
                </c:pt>
                <c:pt idx="44">
                  <c:v>2024-08-19</c:v>
                </c:pt>
                <c:pt idx="45">
                  <c:v>2024-08-19</c:v>
                </c:pt>
                <c:pt idx="46">
                  <c:v>2024-08-19</c:v>
                </c:pt>
                <c:pt idx="47">
                  <c:v>2024-08-19</c:v>
                </c:pt>
                <c:pt idx="48">
                  <c:v>2024-08-26</c:v>
                </c:pt>
                <c:pt idx="49">
                  <c:v>2024-08-26</c:v>
                </c:pt>
                <c:pt idx="50">
                  <c:v>2024-08-26</c:v>
                </c:pt>
                <c:pt idx="51">
                  <c:v>2024-08-26</c:v>
                </c:pt>
                <c:pt idx="52">
                  <c:v>2024-09-02</c:v>
                </c:pt>
                <c:pt idx="53">
                  <c:v>2024-09-02</c:v>
                </c:pt>
                <c:pt idx="54">
                  <c:v>2024-09-02</c:v>
                </c:pt>
                <c:pt idx="55">
                  <c:v>2024-09-02</c:v>
                </c:pt>
                <c:pt idx="56">
                  <c:v>2024-09-09</c:v>
                </c:pt>
                <c:pt idx="57">
                  <c:v>2024-09-09</c:v>
                </c:pt>
                <c:pt idx="58">
                  <c:v>2024-09-09</c:v>
                </c:pt>
                <c:pt idx="59">
                  <c:v>2024-09-09</c:v>
                </c:pt>
                <c:pt idx="60">
                  <c:v>2024-09-16</c:v>
                </c:pt>
                <c:pt idx="61">
                  <c:v>2024-09-16</c:v>
                </c:pt>
                <c:pt idx="62">
                  <c:v>2024-09-16</c:v>
                </c:pt>
                <c:pt idx="63">
                  <c:v>2024-09-16</c:v>
                </c:pt>
                <c:pt idx="64">
                  <c:v>2024-09-23</c:v>
                </c:pt>
                <c:pt idx="65">
                  <c:v>2024-09-23</c:v>
                </c:pt>
                <c:pt idx="66">
                  <c:v>2024-09-23</c:v>
                </c:pt>
                <c:pt idx="67">
                  <c:v>2024-09-23</c:v>
                </c:pt>
                <c:pt idx="68">
                  <c:v>2024-09-30</c:v>
                </c:pt>
                <c:pt idx="69">
                  <c:v>2024-09-30</c:v>
                </c:pt>
                <c:pt idx="70">
                  <c:v>2024-09-30</c:v>
                </c:pt>
                <c:pt idx="71">
                  <c:v>2024-09-30</c:v>
                </c:pt>
                <c:pt idx="72">
                  <c:v>2024-10-07</c:v>
                </c:pt>
                <c:pt idx="73">
                  <c:v>2024-10-07</c:v>
                </c:pt>
                <c:pt idx="74">
                  <c:v>2024-10-07</c:v>
                </c:pt>
                <c:pt idx="75">
                  <c:v>2024-10-07</c:v>
                </c:pt>
                <c:pt idx="76">
                  <c:v>2024-10-14</c:v>
                </c:pt>
                <c:pt idx="77">
                  <c:v>2024-10-14</c:v>
                </c:pt>
                <c:pt idx="78">
                  <c:v>2024-10-14</c:v>
                </c:pt>
                <c:pt idx="79">
                  <c:v>2024-10-14</c:v>
                </c:pt>
                <c:pt idx="80">
                  <c:v>2024-10-21</c:v>
                </c:pt>
                <c:pt idx="81">
                  <c:v>2024-10-21</c:v>
                </c:pt>
                <c:pt idx="82">
                  <c:v>2024-10-21</c:v>
                </c:pt>
                <c:pt idx="83">
                  <c:v>2024-10-21</c:v>
                </c:pt>
                <c:pt idx="84">
                  <c:v>2024-10-28</c:v>
                </c:pt>
                <c:pt idx="85">
                  <c:v>2024-10-28</c:v>
                </c:pt>
                <c:pt idx="86">
                  <c:v>2024-10-28</c:v>
                </c:pt>
                <c:pt idx="87">
                  <c:v>2024-10-28</c:v>
                </c:pt>
                <c:pt idx="88">
                  <c:v>2024-11-04</c:v>
                </c:pt>
                <c:pt idx="89">
                  <c:v>2024-11-04</c:v>
                </c:pt>
                <c:pt idx="90">
                  <c:v>2024-11-04</c:v>
                </c:pt>
                <c:pt idx="91">
                  <c:v>2024-11-04</c:v>
                </c:pt>
                <c:pt idx="92">
                  <c:v>2024-11-11</c:v>
                </c:pt>
                <c:pt idx="93">
                  <c:v>2024-11-11</c:v>
                </c:pt>
                <c:pt idx="94">
                  <c:v>2024-11-11</c:v>
                </c:pt>
                <c:pt idx="95">
                  <c:v>2024-11-11</c:v>
                </c:pt>
                <c:pt idx="96">
                  <c:v>2024-11-18</c:v>
                </c:pt>
                <c:pt idx="97">
                  <c:v>2024-11-18</c:v>
                </c:pt>
                <c:pt idx="98">
                  <c:v>2024-11-18</c:v>
                </c:pt>
                <c:pt idx="99">
                  <c:v>2024-11-18</c:v>
                </c:pt>
                <c:pt idx="100">
                  <c:v>2024-11-25</c:v>
                </c:pt>
                <c:pt idx="101">
                  <c:v>2024-11-25</c:v>
                </c:pt>
                <c:pt idx="102">
                  <c:v>2024-11-25</c:v>
                </c:pt>
                <c:pt idx="103">
                  <c:v>2024-11-25</c:v>
                </c:pt>
                <c:pt idx="104">
                  <c:v>2024-12-02</c:v>
                </c:pt>
                <c:pt idx="105">
                  <c:v>2024-12-02</c:v>
                </c:pt>
                <c:pt idx="106">
                  <c:v>2024-12-02</c:v>
                </c:pt>
                <c:pt idx="107">
                  <c:v>2024-12-02</c:v>
                </c:pt>
                <c:pt idx="108">
                  <c:v>2024-12-09</c:v>
                </c:pt>
                <c:pt idx="109">
                  <c:v>2024-12-09</c:v>
                </c:pt>
                <c:pt idx="110">
                  <c:v>2024-12-09</c:v>
                </c:pt>
                <c:pt idx="111">
                  <c:v>2024-12-09</c:v>
                </c:pt>
                <c:pt idx="112">
                  <c:v>2024-12-16</c:v>
                </c:pt>
                <c:pt idx="113">
                  <c:v>2024-12-16</c:v>
                </c:pt>
                <c:pt idx="114">
                  <c:v>2024-12-16</c:v>
                </c:pt>
                <c:pt idx="115">
                  <c:v>2024-12-16</c:v>
                </c:pt>
                <c:pt idx="116">
                  <c:v>2024-12-23</c:v>
                </c:pt>
                <c:pt idx="117">
                  <c:v>2024-12-23</c:v>
                </c:pt>
                <c:pt idx="118">
                  <c:v>2024-12-23</c:v>
                </c:pt>
                <c:pt idx="119">
                  <c:v>2024-12-23</c:v>
                </c:pt>
                <c:pt idx="120">
                  <c:v>2024-12-30</c:v>
                </c:pt>
                <c:pt idx="121">
                  <c:v>2024-12-30</c:v>
                </c:pt>
                <c:pt idx="122">
                  <c:v>2024-12-30</c:v>
                </c:pt>
                <c:pt idx="123">
                  <c:v>2024-12-30</c:v>
                </c:pt>
                <c:pt idx="124">
                  <c:v>2025-01-06</c:v>
                </c:pt>
                <c:pt idx="125">
                  <c:v>2025-01-06</c:v>
                </c:pt>
                <c:pt idx="126">
                  <c:v>2025-01-06</c:v>
                </c:pt>
                <c:pt idx="127">
                  <c:v>2025-01-06</c:v>
                </c:pt>
                <c:pt idx="128">
                  <c:v>2025-01-13</c:v>
                </c:pt>
                <c:pt idx="129">
                  <c:v>2025-01-13</c:v>
                </c:pt>
                <c:pt idx="130">
                  <c:v>2025-01-13</c:v>
                </c:pt>
                <c:pt idx="131">
                  <c:v>2025-01-13</c:v>
                </c:pt>
                <c:pt idx="132">
                  <c:v>2025-01-20</c:v>
                </c:pt>
                <c:pt idx="133">
                  <c:v>2025-01-20</c:v>
                </c:pt>
                <c:pt idx="134">
                  <c:v>2025-01-20</c:v>
                </c:pt>
                <c:pt idx="135">
                  <c:v>2025-01-20</c:v>
                </c:pt>
                <c:pt idx="136">
                  <c:v>2025-01-27</c:v>
                </c:pt>
                <c:pt idx="137">
                  <c:v>2025-01-27</c:v>
                </c:pt>
                <c:pt idx="138">
                  <c:v>2025-01-27</c:v>
                </c:pt>
                <c:pt idx="139">
                  <c:v>2025-01-27</c:v>
                </c:pt>
                <c:pt idx="140">
                  <c:v>2025-02-03</c:v>
                </c:pt>
                <c:pt idx="141">
                  <c:v>2025-02-03</c:v>
                </c:pt>
                <c:pt idx="142">
                  <c:v>2025-02-03</c:v>
                </c:pt>
                <c:pt idx="143">
                  <c:v>2025-02-03</c:v>
                </c:pt>
                <c:pt idx="144">
                  <c:v>2025-02-10</c:v>
                </c:pt>
                <c:pt idx="145">
                  <c:v>2025-02-10</c:v>
                </c:pt>
                <c:pt idx="146">
                  <c:v>2025-02-10</c:v>
                </c:pt>
                <c:pt idx="147">
                  <c:v>2025-02-10</c:v>
                </c:pt>
                <c:pt idx="148">
                  <c:v>2025-02-17</c:v>
                </c:pt>
                <c:pt idx="149">
                  <c:v>2025-02-17</c:v>
                </c:pt>
                <c:pt idx="150">
                  <c:v>2025-02-17</c:v>
                </c:pt>
                <c:pt idx="151">
                  <c:v>2025-02-17</c:v>
                </c:pt>
                <c:pt idx="152">
                  <c:v>2025-02-24</c:v>
                </c:pt>
                <c:pt idx="153">
                  <c:v>2025-02-24</c:v>
                </c:pt>
                <c:pt idx="154">
                  <c:v>2025-02-24</c:v>
                </c:pt>
                <c:pt idx="155">
                  <c:v>2025-02-24</c:v>
                </c:pt>
                <c:pt idx="156">
                  <c:v>2025-03-03</c:v>
                </c:pt>
                <c:pt idx="157">
                  <c:v>2025-03-03</c:v>
                </c:pt>
                <c:pt idx="158">
                  <c:v>2025-03-03</c:v>
                </c:pt>
                <c:pt idx="159">
                  <c:v>2025-03-03</c:v>
                </c:pt>
                <c:pt idx="160">
                  <c:v>2025-03-10</c:v>
                </c:pt>
                <c:pt idx="161">
                  <c:v>2025-03-10</c:v>
                </c:pt>
                <c:pt idx="162">
                  <c:v>2025-03-10</c:v>
                </c:pt>
                <c:pt idx="163">
                  <c:v>2025-03-10</c:v>
                </c:pt>
                <c:pt idx="164">
                  <c:v>2025-03-17</c:v>
                </c:pt>
                <c:pt idx="165">
                  <c:v>2025-03-17</c:v>
                </c:pt>
                <c:pt idx="166">
                  <c:v>2025-03-17</c:v>
                </c:pt>
                <c:pt idx="167">
                  <c:v>2025-03-17</c:v>
                </c:pt>
                <c:pt idx="168">
                  <c:v>2025-03-24</c:v>
                </c:pt>
                <c:pt idx="169">
                  <c:v>2025-03-24</c:v>
                </c:pt>
                <c:pt idx="170">
                  <c:v>2025-03-24</c:v>
                </c:pt>
                <c:pt idx="171">
                  <c:v>2025-03-24</c:v>
                </c:pt>
                <c:pt idx="172">
                  <c:v>2025-03-31</c:v>
                </c:pt>
                <c:pt idx="173">
                  <c:v>2025-03-31</c:v>
                </c:pt>
                <c:pt idx="174">
                  <c:v>2025-03-31</c:v>
                </c:pt>
                <c:pt idx="175">
                  <c:v>2025-03-31</c:v>
                </c:pt>
                <c:pt idx="176">
                  <c:v>2025-04-07</c:v>
                </c:pt>
                <c:pt idx="177">
                  <c:v>2025-04-07</c:v>
                </c:pt>
                <c:pt idx="178">
                  <c:v>2025-04-07</c:v>
                </c:pt>
                <c:pt idx="179">
                  <c:v>2025-04-07</c:v>
                </c:pt>
                <c:pt idx="180">
                  <c:v>2025-04-14</c:v>
                </c:pt>
                <c:pt idx="181">
                  <c:v>2025-04-14</c:v>
                </c:pt>
                <c:pt idx="182">
                  <c:v>2025-04-14</c:v>
                </c:pt>
                <c:pt idx="183">
                  <c:v>2025-04-14</c:v>
                </c:pt>
                <c:pt idx="184">
                  <c:v>2025-04-21</c:v>
                </c:pt>
                <c:pt idx="185">
                  <c:v>2025-04-21</c:v>
                </c:pt>
                <c:pt idx="186">
                  <c:v>2025-04-21</c:v>
                </c:pt>
                <c:pt idx="187">
                  <c:v>2025-04-21</c:v>
                </c:pt>
                <c:pt idx="188">
                  <c:v>2025-04-28</c:v>
                </c:pt>
                <c:pt idx="189">
                  <c:v>2025-04-28</c:v>
                </c:pt>
                <c:pt idx="190">
                  <c:v>2025-04-28</c:v>
                </c:pt>
                <c:pt idx="191">
                  <c:v>2025-04-28</c:v>
                </c:pt>
                <c:pt idx="192">
                  <c:v>2025-05-05</c:v>
                </c:pt>
                <c:pt idx="193">
                  <c:v>2025-05-05</c:v>
                </c:pt>
                <c:pt idx="194">
                  <c:v>2025-05-05</c:v>
                </c:pt>
                <c:pt idx="195">
                  <c:v>2025-05-05</c:v>
                </c:pt>
                <c:pt idx="196">
                  <c:v>2025-05-12</c:v>
                </c:pt>
                <c:pt idx="197">
                  <c:v>2025-05-12</c:v>
                </c:pt>
                <c:pt idx="198">
                  <c:v>2025-05-12</c:v>
                </c:pt>
                <c:pt idx="199">
                  <c:v>2025-05-12</c:v>
                </c:pt>
              </c:strCache>
            </c:strRef>
          </c:cat>
          <c:val>
            <c:numRef>
              <c:f>Task6.3Moving_Average_chart!$B$2:$B$201</c:f>
              <c:numCache>
                <c:formatCode>General</c:formatCode>
                <c:ptCount val="200"/>
                <c:pt idx="0">
                  <c:v>1090</c:v>
                </c:pt>
                <c:pt idx="1">
                  <c:v>1047</c:v>
                </c:pt>
                <c:pt idx="2">
                  <c:v>1002</c:v>
                </c:pt>
                <c:pt idx="3">
                  <c:v>415</c:v>
                </c:pt>
                <c:pt idx="4">
                  <c:v>1283</c:v>
                </c:pt>
                <c:pt idx="5">
                  <c:v>994</c:v>
                </c:pt>
                <c:pt idx="6">
                  <c:v>517</c:v>
                </c:pt>
                <c:pt idx="7">
                  <c:v>186</c:v>
                </c:pt>
                <c:pt idx="8">
                  <c:v>1382</c:v>
                </c:pt>
                <c:pt idx="9">
                  <c:v>1295</c:v>
                </c:pt>
                <c:pt idx="10">
                  <c:v>893</c:v>
                </c:pt>
                <c:pt idx="11">
                  <c:v>337</c:v>
                </c:pt>
                <c:pt idx="12">
                  <c:v>1670</c:v>
                </c:pt>
                <c:pt idx="13">
                  <c:v>835</c:v>
                </c:pt>
                <c:pt idx="14">
                  <c:v>629</c:v>
                </c:pt>
                <c:pt idx="15">
                  <c:v>-123</c:v>
                </c:pt>
                <c:pt idx="16">
                  <c:v>1357</c:v>
                </c:pt>
                <c:pt idx="17">
                  <c:v>91</c:v>
                </c:pt>
                <c:pt idx="18">
                  <c:v>64</c:v>
                </c:pt>
                <c:pt idx="19">
                  <c:v>-219</c:v>
                </c:pt>
                <c:pt idx="20">
                  <c:v>1672</c:v>
                </c:pt>
                <c:pt idx="21">
                  <c:v>547</c:v>
                </c:pt>
                <c:pt idx="22">
                  <c:v>514</c:v>
                </c:pt>
                <c:pt idx="23">
                  <c:v>309</c:v>
                </c:pt>
                <c:pt idx="24">
                  <c:v>1845</c:v>
                </c:pt>
                <c:pt idx="25">
                  <c:v>429</c:v>
                </c:pt>
                <c:pt idx="26">
                  <c:v>160</c:v>
                </c:pt>
                <c:pt idx="27">
                  <c:v>-164</c:v>
                </c:pt>
                <c:pt idx="28">
                  <c:v>1316</c:v>
                </c:pt>
                <c:pt idx="29">
                  <c:v>961</c:v>
                </c:pt>
                <c:pt idx="30">
                  <c:v>317</c:v>
                </c:pt>
                <c:pt idx="31">
                  <c:v>159</c:v>
                </c:pt>
                <c:pt idx="32">
                  <c:v>1495</c:v>
                </c:pt>
                <c:pt idx="33">
                  <c:v>541</c:v>
                </c:pt>
                <c:pt idx="34">
                  <c:v>475</c:v>
                </c:pt>
                <c:pt idx="35">
                  <c:v>-318</c:v>
                </c:pt>
                <c:pt idx="36">
                  <c:v>352</c:v>
                </c:pt>
                <c:pt idx="37">
                  <c:v>328</c:v>
                </c:pt>
                <c:pt idx="38">
                  <c:v>319</c:v>
                </c:pt>
                <c:pt idx="39">
                  <c:v>-197</c:v>
                </c:pt>
                <c:pt idx="40">
                  <c:v>1334</c:v>
                </c:pt>
                <c:pt idx="41">
                  <c:v>1325</c:v>
                </c:pt>
                <c:pt idx="42">
                  <c:v>1032</c:v>
                </c:pt>
                <c:pt idx="43">
                  <c:v>37</c:v>
                </c:pt>
                <c:pt idx="44">
                  <c:v>1665</c:v>
                </c:pt>
                <c:pt idx="45">
                  <c:v>1058</c:v>
                </c:pt>
                <c:pt idx="46">
                  <c:v>190</c:v>
                </c:pt>
                <c:pt idx="47">
                  <c:v>76</c:v>
                </c:pt>
                <c:pt idx="48">
                  <c:v>1609</c:v>
                </c:pt>
                <c:pt idx="49">
                  <c:v>1229</c:v>
                </c:pt>
                <c:pt idx="50">
                  <c:v>37</c:v>
                </c:pt>
                <c:pt idx="51">
                  <c:v>28</c:v>
                </c:pt>
                <c:pt idx="52">
                  <c:v>1247</c:v>
                </c:pt>
                <c:pt idx="53">
                  <c:v>1045</c:v>
                </c:pt>
                <c:pt idx="54">
                  <c:v>333</c:v>
                </c:pt>
                <c:pt idx="55">
                  <c:v>197</c:v>
                </c:pt>
                <c:pt idx="56">
                  <c:v>1572</c:v>
                </c:pt>
                <c:pt idx="57">
                  <c:v>1428</c:v>
                </c:pt>
                <c:pt idx="58">
                  <c:v>1100</c:v>
                </c:pt>
                <c:pt idx="59">
                  <c:v>260</c:v>
                </c:pt>
                <c:pt idx="60">
                  <c:v>1125</c:v>
                </c:pt>
                <c:pt idx="61">
                  <c:v>377</c:v>
                </c:pt>
                <c:pt idx="62">
                  <c:v>98</c:v>
                </c:pt>
                <c:pt idx="63">
                  <c:v>-32</c:v>
                </c:pt>
                <c:pt idx="64">
                  <c:v>1680</c:v>
                </c:pt>
                <c:pt idx="65">
                  <c:v>1006</c:v>
                </c:pt>
                <c:pt idx="66">
                  <c:v>666</c:v>
                </c:pt>
                <c:pt idx="67">
                  <c:v>-19</c:v>
                </c:pt>
                <c:pt idx="68">
                  <c:v>1706</c:v>
                </c:pt>
                <c:pt idx="69">
                  <c:v>1025</c:v>
                </c:pt>
                <c:pt idx="70">
                  <c:v>599</c:v>
                </c:pt>
                <c:pt idx="71">
                  <c:v>-179</c:v>
                </c:pt>
                <c:pt idx="72">
                  <c:v>1872</c:v>
                </c:pt>
                <c:pt idx="73">
                  <c:v>1662</c:v>
                </c:pt>
                <c:pt idx="74">
                  <c:v>118</c:v>
                </c:pt>
                <c:pt idx="75">
                  <c:v>107</c:v>
                </c:pt>
                <c:pt idx="76">
                  <c:v>1224</c:v>
                </c:pt>
                <c:pt idx="77">
                  <c:v>367</c:v>
                </c:pt>
                <c:pt idx="78">
                  <c:v>285</c:v>
                </c:pt>
                <c:pt idx="79">
                  <c:v>-20</c:v>
                </c:pt>
                <c:pt idx="80">
                  <c:v>1484</c:v>
                </c:pt>
                <c:pt idx="81">
                  <c:v>636</c:v>
                </c:pt>
                <c:pt idx="82">
                  <c:v>439</c:v>
                </c:pt>
                <c:pt idx="83">
                  <c:v>262</c:v>
                </c:pt>
                <c:pt idx="84">
                  <c:v>1657</c:v>
                </c:pt>
                <c:pt idx="85">
                  <c:v>576</c:v>
                </c:pt>
                <c:pt idx="86">
                  <c:v>386</c:v>
                </c:pt>
                <c:pt idx="87">
                  <c:v>37</c:v>
                </c:pt>
                <c:pt idx="88">
                  <c:v>1603</c:v>
                </c:pt>
                <c:pt idx="89">
                  <c:v>1397</c:v>
                </c:pt>
                <c:pt idx="90">
                  <c:v>1044</c:v>
                </c:pt>
                <c:pt idx="91">
                  <c:v>540</c:v>
                </c:pt>
                <c:pt idx="92">
                  <c:v>1150</c:v>
                </c:pt>
                <c:pt idx="93">
                  <c:v>902</c:v>
                </c:pt>
                <c:pt idx="94">
                  <c:v>349</c:v>
                </c:pt>
                <c:pt idx="95">
                  <c:v>-106</c:v>
                </c:pt>
                <c:pt idx="96">
                  <c:v>445</c:v>
                </c:pt>
                <c:pt idx="97">
                  <c:v>72</c:v>
                </c:pt>
                <c:pt idx="98">
                  <c:v>60</c:v>
                </c:pt>
                <c:pt idx="99">
                  <c:v>-49</c:v>
                </c:pt>
                <c:pt idx="100">
                  <c:v>1693</c:v>
                </c:pt>
                <c:pt idx="101">
                  <c:v>1332</c:v>
                </c:pt>
                <c:pt idx="102">
                  <c:v>885</c:v>
                </c:pt>
                <c:pt idx="103">
                  <c:v>98</c:v>
                </c:pt>
                <c:pt idx="104">
                  <c:v>1706</c:v>
                </c:pt>
                <c:pt idx="105">
                  <c:v>1625</c:v>
                </c:pt>
                <c:pt idx="106">
                  <c:v>1173</c:v>
                </c:pt>
                <c:pt idx="107">
                  <c:v>291</c:v>
                </c:pt>
                <c:pt idx="108">
                  <c:v>1727</c:v>
                </c:pt>
                <c:pt idx="109">
                  <c:v>1373</c:v>
                </c:pt>
                <c:pt idx="110">
                  <c:v>1119</c:v>
                </c:pt>
                <c:pt idx="111">
                  <c:v>573</c:v>
                </c:pt>
                <c:pt idx="112">
                  <c:v>1432</c:v>
                </c:pt>
                <c:pt idx="113">
                  <c:v>1377</c:v>
                </c:pt>
                <c:pt idx="114">
                  <c:v>1359</c:v>
                </c:pt>
                <c:pt idx="115">
                  <c:v>876</c:v>
                </c:pt>
                <c:pt idx="116">
                  <c:v>1589</c:v>
                </c:pt>
                <c:pt idx="117">
                  <c:v>911</c:v>
                </c:pt>
                <c:pt idx="118">
                  <c:v>730</c:v>
                </c:pt>
                <c:pt idx="119">
                  <c:v>684</c:v>
                </c:pt>
                <c:pt idx="120">
                  <c:v>1776</c:v>
                </c:pt>
                <c:pt idx="121">
                  <c:v>1765</c:v>
                </c:pt>
                <c:pt idx="122">
                  <c:v>1529</c:v>
                </c:pt>
                <c:pt idx="123">
                  <c:v>1460</c:v>
                </c:pt>
                <c:pt idx="124">
                  <c:v>1188</c:v>
                </c:pt>
                <c:pt idx="125">
                  <c:v>903</c:v>
                </c:pt>
                <c:pt idx="126">
                  <c:v>846</c:v>
                </c:pt>
                <c:pt idx="127">
                  <c:v>620</c:v>
                </c:pt>
                <c:pt idx="128">
                  <c:v>1722</c:v>
                </c:pt>
                <c:pt idx="129">
                  <c:v>901</c:v>
                </c:pt>
                <c:pt idx="130">
                  <c:v>298</c:v>
                </c:pt>
                <c:pt idx="131">
                  <c:v>-144</c:v>
                </c:pt>
                <c:pt idx="132">
                  <c:v>1572</c:v>
                </c:pt>
                <c:pt idx="133">
                  <c:v>891</c:v>
                </c:pt>
                <c:pt idx="134">
                  <c:v>724</c:v>
                </c:pt>
                <c:pt idx="135">
                  <c:v>427</c:v>
                </c:pt>
                <c:pt idx="136">
                  <c:v>1426</c:v>
                </c:pt>
                <c:pt idx="137">
                  <c:v>1225</c:v>
                </c:pt>
                <c:pt idx="138">
                  <c:v>898</c:v>
                </c:pt>
                <c:pt idx="139">
                  <c:v>-166</c:v>
                </c:pt>
                <c:pt idx="140">
                  <c:v>1080</c:v>
                </c:pt>
                <c:pt idx="141">
                  <c:v>748</c:v>
                </c:pt>
                <c:pt idx="142">
                  <c:v>569</c:v>
                </c:pt>
                <c:pt idx="143">
                  <c:v>-203</c:v>
                </c:pt>
                <c:pt idx="144">
                  <c:v>1723</c:v>
                </c:pt>
                <c:pt idx="145">
                  <c:v>1444</c:v>
                </c:pt>
                <c:pt idx="146">
                  <c:v>1202</c:v>
                </c:pt>
                <c:pt idx="147">
                  <c:v>912</c:v>
                </c:pt>
                <c:pt idx="148">
                  <c:v>1590</c:v>
                </c:pt>
                <c:pt idx="149">
                  <c:v>1175</c:v>
                </c:pt>
                <c:pt idx="150">
                  <c:v>965</c:v>
                </c:pt>
                <c:pt idx="151">
                  <c:v>-37</c:v>
                </c:pt>
                <c:pt idx="152">
                  <c:v>1707</c:v>
                </c:pt>
                <c:pt idx="153">
                  <c:v>1375</c:v>
                </c:pt>
                <c:pt idx="154">
                  <c:v>1016</c:v>
                </c:pt>
                <c:pt idx="155">
                  <c:v>708</c:v>
                </c:pt>
                <c:pt idx="156">
                  <c:v>1315</c:v>
                </c:pt>
                <c:pt idx="157">
                  <c:v>899</c:v>
                </c:pt>
                <c:pt idx="158">
                  <c:v>315</c:v>
                </c:pt>
                <c:pt idx="159">
                  <c:v>-119</c:v>
                </c:pt>
                <c:pt idx="160">
                  <c:v>1350</c:v>
                </c:pt>
                <c:pt idx="161">
                  <c:v>1242</c:v>
                </c:pt>
                <c:pt idx="162">
                  <c:v>908</c:v>
                </c:pt>
                <c:pt idx="163">
                  <c:v>212</c:v>
                </c:pt>
                <c:pt idx="164">
                  <c:v>1385</c:v>
                </c:pt>
                <c:pt idx="165">
                  <c:v>1116</c:v>
                </c:pt>
                <c:pt idx="166">
                  <c:v>861</c:v>
                </c:pt>
                <c:pt idx="167">
                  <c:v>680</c:v>
                </c:pt>
                <c:pt idx="168">
                  <c:v>474</c:v>
                </c:pt>
                <c:pt idx="169">
                  <c:v>461</c:v>
                </c:pt>
                <c:pt idx="170">
                  <c:v>389</c:v>
                </c:pt>
                <c:pt idx="171">
                  <c:v>292</c:v>
                </c:pt>
                <c:pt idx="172">
                  <c:v>1676</c:v>
                </c:pt>
                <c:pt idx="173">
                  <c:v>1467</c:v>
                </c:pt>
                <c:pt idx="174">
                  <c:v>641</c:v>
                </c:pt>
                <c:pt idx="175">
                  <c:v>514</c:v>
                </c:pt>
                <c:pt idx="176">
                  <c:v>1029</c:v>
                </c:pt>
                <c:pt idx="177">
                  <c:v>1007</c:v>
                </c:pt>
                <c:pt idx="178">
                  <c:v>209</c:v>
                </c:pt>
                <c:pt idx="179">
                  <c:v>167</c:v>
                </c:pt>
                <c:pt idx="180">
                  <c:v>145</c:v>
                </c:pt>
                <c:pt idx="181">
                  <c:v>53</c:v>
                </c:pt>
                <c:pt idx="182">
                  <c:v>-160</c:v>
                </c:pt>
                <c:pt idx="183">
                  <c:v>-175</c:v>
                </c:pt>
                <c:pt idx="184">
                  <c:v>1633</c:v>
                </c:pt>
                <c:pt idx="185">
                  <c:v>1045</c:v>
                </c:pt>
                <c:pt idx="186">
                  <c:v>759</c:v>
                </c:pt>
                <c:pt idx="187">
                  <c:v>603</c:v>
                </c:pt>
                <c:pt idx="188">
                  <c:v>1539</c:v>
                </c:pt>
                <c:pt idx="189">
                  <c:v>948</c:v>
                </c:pt>
                <c:pt idx="190">
                  <c:v>637</c:v>
                </c:pt>
                <c:pt idx="191">
                  <c:v>453</c:v>
                </c:pt>
                <c:pt idx="192">
                  <c:v>1881</c:v>
                </c:pt>
                <c:pt idx="193">
                  <c:v>1510</c:v>
                </c:pt>
                <c:pt idx="194">
                  <c:v>864</c:v>
                </c:pt>
                <c:pt idx="195">
                  <c:v>339</c:v>
                </c:pt>
                <c:pt idx="196">
                  <c:v>1656</c:v>
                </c:pt>
                <c:pt idx="197">
                  <c:v>407</c:v>
                </c:pt>
                <c:pt idx="198">
                  <c:v>269</c:v>
                </c:pt>
                <c:pt idx="199">
                  <c:v>-337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DE-4DA8-8243-3759F2C52DBF}"/>
            </c:ext>
          </c:extLst>
        </c:ser>
        <c:ser>
          <c:idx val="1"/>
          <c:order val="1"/>
          <c:tx>
            <c:strRef>
              <c:f>Task6.3Moving_Average_chart!$C$1</c:f>
              <c:strCache>
                <c:ptCount val="1"/>
                <c:pt idx="0">
                  <c:v>Moving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Task6.3Moving_Average_chart!$A$2:$A$201</c:f>
              <c:strCache>
                <c:ptCount val="200"/>
                <c:pt idx="0">
                  <c:v>2024-06-03</c:v>
                </c:pt>
                <c:pt idx="1">
                  <c:v>2024-06-03</c:v>
                </c:pt>
                <c:pt idx="2">
                  <c:v>2024-06-03</c:v>
                </c:pt>
                <c:pt idx="3">
                  <c:v>2024-06-03</c:v>
                </c:pt>
                <c:pt idx="4">
                  <c:v>2024-06-10</c:v>
                </c:pt>
                <c:pt idx="5">
                  <c:v>2024-06-10</c:v>
                </c:pt>
                <c:pt idx="6">
                  <c:v>2024-06-10</c:v>
                </c:pt>
                <c:pt idx="7">
                  <c:v>2024-06-10</c:v>
                </c:pt>
                <c:pt idx="8">
                  <c:v>2024-06-17</c:v>
                </c:pt>
                <c:pt idx="9">
                  <c:v>2024-06-17</c:v>
                </c:pt>
                <c:pt idx="10">
                  <c:v>2024-06-17</c:v>
                </c:pt>
                <c:pt idx="11">
                  <c:v>2024-06-17</c:v>
                </c:pt>
                <c:pt idx="12">
                  <c:v>2024-06-24</c:v>
                </c:pt>
                <c:pt idx="13">
                  <c:v>2024-06-24</c:v>
                </c:pt>
                <c:pt idx="14">
                  <c:v>2024-06-24</c:v>
                </c:pt>
                <c:pt idx="15">
                  <c:v>2024-06-24</c:v>
                </c:pt>
                <c:pt idx="16">
                  <c:v>2024-07-01</c:v>
                </c:pt>
                <c:pt idx="17">
                  <c:v>2024-07-01</c:v>
                </c:pt>
                <c:pt idx="18">
                  <c:v>2024-07-01</c:v>
                </c:pt>
                <c:pt idx="19">
                  <c:v>2024-07-01</c:v>
                </c:pt>
                <c:pt idx="20">
                  <c:v>2024-07-08</c:v>
                </c:pt>
                <c:pt idx="21">
                  <c:v>2024-07-08</c:v>
                </c:pt>
                <c:pt idx="22">
                  <c:v>2024-07-08</c:v>
                </c:pt>
                <c:pt idx="23">
                  <c:v>2024-07-08</c:v>
                </c:pt>
                <c:pt idx="24">
                  <c:v>2024-07-15</c:v>
                </c:pt>
                <c:pt idx="25">
                  <c:v>2024-07-15</c:v>
                </c:pt>
                <c:pt idx="26">
                  <c:v>2024-07-15</c:v>
                </c:pt>
                <c:pt idx="27">
                  <c:v>2024-07-15</c:v>
                </c:pt>
                <c:pt idx="28">
                  <c:v>2024-07-22</c:v>
                </c:pt>
                <c:pt idx="29">
                  <c:v>2024-07-22</c:v>
                </c:pt>
                <c:pt idx="30">
                  <c:v>2024-07-22</c:v>
                </c:pt>
                <c:pt idx="31">
                  <c:v>2024-07-22</c:v>
                </c:pt>
                <c:pt idx="32">
                  <c:v>2024-07-29</c:v>
                </c:pt>
                <c:pt idx="33">
                  <c:v>2024-07-29</c:v>
                </c:pt>
                <c:pt idx="34">
                  <c:v>2024-07-29</c:v>
                </c:pt>
                <c:pt idx="35">
                  <c:v>2024-07-29</c:v>
                </c:pt>
                <c:pt idx="36">
                  <c:v>2024-08-05</c:v>
                </c:pt>
                <c:pt idx="37">
                  <c:v>2024-08-05</c:v>
                </c:pt>
                <c:pt idx="38">
                  <c:v>2024-08-05</c:v>
                </c:pt>
                <c:pt idx="39">
                  <c:v>2024-08-05</c:v>
                </c:pt>
                <c:pt idx="40">
                  <c:v>2024-08-12</c:v>
                </c:pt>
                <c:pt idx="41">
                  <c:v>2024-08-12</c:v>
                </c:pt>
                <c:pt idx="42">
                  <c:v>2024-08-12</c:v>
                </c:pt>
                <c:pt idx="43">
                  <c:v>2024-08-12</c:v>
                </c:pt>
                <c:pt idx="44">
                  <c:v>2024-08-19</c:v>
                </c:pt>
                <c:pt idx="45">
                  <c:v>2024-08-19</c:v>
                </c:pt>
                <c:pt idx="46">
                  <c:v>2024-08-19</c:v>
                </c:pt>
                <c:pt idx="47">
                  <c:v>2024-08-19</c:v>
                </c:pt>
                <c:pt idx="48">
                  <c:v>2024-08-26</c:v>
                </c:pt>
                <c:pt idx="49">
                  <c:v>2024-08-26</c:v>
                </c:pt>
                <c:pt idx="50">
                  <c:v>2024-08-26</c:v>
                </c:pt>
                <c:pt idx="51">
                  <c:v>2024-08-26</c:v>
                </c:pt>
                <c:pt idx="52">
                  <c:v>2024-09-02</c:v>
                </c:pt>
                <c:pt idx="53">
                  <c:v>2024-09-02</c:v>
                </c:pt>
                <c:pt idx="54">
                  <c:v>2024-09-02</c:v>
                </c:pt>
                <c:pt idx="55">
                  <c:v>2024-09-02</c:v>
                </c:pt>
                <c:pt idx="56">
                  <c:v>2024-09-09</c:v>
                </c:pt>
                <c:pt idx="57">
                  <c:v>2024-09-09</c:v>
                </c:pt>
                <c:pt idx="58">
                  <c:v>2024-09-09</c:v>
                </c:pt>
                <c:pt idx="59">
                  <c:v>2024-09-09</c:v>
                </c:pt>
                <c:pt idx="60">
                  <c:v>2024-09-16</c:v>
                </c:pt>
                <c:pt idx="61">
                  <c:v>2024-09-16</c:v>
                </c:pt>
                <c:pt idx="62">
                  <c:v>2024-09-16</c:v>
                </c:pt>
                <c:pt idx="63">
                  <c:v>2024-09-16</c:v>
                </c:pt>
                <c:pt idx="64">
                  <c:v>2024-09-23</c:v>
                </c:pt>
                <c:pt idx="65">
                  <c:v>2024-09-23</c:v>
                </c:pt>
                <c:pt idx="66">
                  <c:v>2024-09-23</c:v>
                </c:pt>
                <c:pt idx="67">
                  <c:v>2024-09-23</c:v>
                </c:pt>
                <c:pt idx="68">
                  <c:v>2024-09-30</c:v>
                </c:pt>
                <c:pt idx="69">
                  <c:v>2024-09-30</c:v>
                </c:pt>
                <c:pt idx="70">
                  <c:v>2024-09-30</c:v>
                </c:pt>
                <c:pt idx="71">
                  <c:v>2024-09-30</c:v>
                </c:pt>
                <c:pt idx="72">
                  <c:v>2024-10-07</c:v>
                </c:pt>
                <c:pt idx="73">
                  <c:v>2024-10-07</c:v>
                </c:pt>
                <c:pt idx="74">
                  <c:v>2024-10-07</c:v>
                </c:pt>
                <c:pt idx="75">
                  <c:v>2024-10-07</c:v>
                </c:pt>
                <c:pt idx="76">
                  <c:v>2024-10-14</c:v>
                </c:pt>
                <c:pt idx="77">
                  <c:v>2024-10-14</c:v>
                </c:pt>
                <c:pt idx="78">
                  <c:v>2024-10-14</c:v>
                </c:pt>
                <c:pt idx="79">
                  <c:v>2024-10-14</c:v>
                </c:pt>
                <c:pt idx="80">
                  <c:v>2024-10-21</c:v>
                </c:pt>
                <c:pt idx="81">
                  <c:v>2024-10-21</c:v>
                </c:pt>
                <c:pt idx="82">
                  <c:v>2024-10-21</c:v>
                </c:pt>
                <c:pt idx="83">
                  <c:v>2024-10-21</c:v>
                </c:pt>
                <c:pt idx="84">
                  <c:v>2024-10-28</c:v>
                </c:pt>
                <c:pt idx="85">
                  <c:v>2024-10-28</c:v>
                </c:pt>
                <c:pt idx="86">
                  <c:v>2024-10-28</c:v>
                </c:pt>
                <c:pt idx="87">
                  <c:v>2024-10-28</c:v>
                </c:pt>
                <c:pt idx="88">
                  <c:v>2024-11-04</c:v>
                </c:pt>
                <c:pt idx="89">
                  <c:v>2024-11-04</c:v>
                </c:pt>
                <c:pt idx="90">
                  <c:v>2024-11-04</c:v>
                </c:pt>
                <c:pt idx="91">
                  <c:v>2024-11-04</c:v>
                </c:pt>
                <c:pt idx="92">
                  <c:v>2024-11-11</c:v>
                </c:pt>
                <c:pt idx="93">
                  <c:v>2024-11-11</c:v>
                </c:pt>
                <c:pt idx="94">
                  <c:v>2024-11-11</c:v>
                </c:pt>
                <c:pt idx="95">
                  <c:v>2024-11-11</c:v>
                </c:pt>
                <c:pt idx="96">
                  <c:v>2024-11-18</c:v>
                </c:pt>
                <c:pt idx="97">
                  <c:v>2024-11-18</c:v>
                </c:pt>
                <c:pt idx="98">
                  <c:v>2024-11-18</c:v>
                </c:pt>
                <c:pt idx="99">
                  <c:v>2024-11-18</c:v>
                </c:pt>
                <c:pt idx="100">
                  <c:v>2024-11-25</c:v>
                </c:pt>
                <c:pt idx="101">
                  <c:v>2024-11-25</c:v>
                </c:pt>
                <c:pt idx="102">
                  <c:v>2024-11-25</c:v>
                </c:pt>
                <c:pt idx="103">
                  <c:v>2024-11-25</c:v>
                </c:pt>
                <c:pt idx="104">
                  <c:v>2024-12-02</c:v>
                </c:pt>
                <c:pt idx="105">
                  <c:v>2024-12-02</c:v>
                </c:pt>
                <c:pt idx="106">
                  <c:v>2024-12-02</c:v>
                </c:pt>
                <c:pt idx="107">
                  <c:v>2024-12-02</c:v>
                </c:pt>
                <c:pt idx="108">
                  <c:v>2024-12-09</c:v>
                </c:pt>
                <c:pt idx="109">
                  <c:v>2024-12-09</c:v>
                </c:pt>
                <c:pt idx="110">
                  <c:v>2024-12-09</c:v>
                </c:pt>
                <c:pt idx="111">
                  <c:v>2024-12-09</c:v>
                </c:pt>
                <c:pt idx="112">
                  <c:v>2024-12-16</c:v>
                </c:pt>
                <c:pt idx="113">
                  <c:v>2024-12-16</c:v>
                </c:pt>
                <c:pt idx="114">
                  <c:v>2024-12-16</c:v>
                </c:pt>
                <c:pt idx="115">
                  <c:v>2024-12-16</c:v>
                </c:pt>
                <c:pt idx="116">
                  <c:v>2024-12-23</c:v>
                </c:pt>
                <c:pt idx="117">
                  <c:v>2024-12-23</c:v>
                </c:pt>
                <c:pt idx="118">
                  <c:v>2024-12-23</c:v>
                </c:pt>
                <c:pt idx="119">
                  <c:v>2024-12-23</c:v>
                </c:pt>
                <c:pt idx="120">
                  <c:v>2024-12-30</c:v>
                </c:pt>
                <c:pt idx="121">
                  <c:v>2024-12-30</c:v>
                </c:pt>
                <c:pt idx="122">
                  <c:v>2024-12-30</c:v>
                </c:pt>
                <c:pt idx="123">
                  <c:v>2024-12-30</c:v>
                </c:pt>
                <c:pt idx="124">
                  <c:v>2025-01-06</c:v>
                </c:pt>
                <c:pt idx="125">
                  <c:v>2025-01-06</c:v>
                </c:pt>
                <c:pt idx="126">
                  <c:v>2025-01-06</c:v>
                </c:pt>
                <c:pt idx="127">
                  <c:v>2025-01-06</c:v>
                </c:pt>
                <c:pt idx="128">
                  <c:v>2025-01-13</c:v>
                </c:pt>
                <c:pt idx="129">
                  <c:v>2025-01-13</c:v>
                </c:pt>
                <c:pt idx="130">
                  <c:v>2025-01-13</c:v>
                </c:pt>
                <c:pt idx="131">
                  <c:v>2025-01-13</c:v>
                </c:pt>
                <c:pt idx="132">
                  <c:v>2025-01-20</c:v>
                </c:pt>
                <c:pt idx="133">
                  <c:v>2025-01-20</c:v>
                </c:pt>
                <c:pt idx="134">
                  <c:v>2025-01-20</c:v>
                </c:pt>
                <c:pt idx="135">
                  <c:v>2025-01-20</c:v>
                </c:pt>
                <c:pt idx="136">
                  <c:v>2025-01-27</c:v>
                </c:pt>
                <c:pt idx="137">
                  <c:v>2025-01-27</c:v>
                </c:pt>
                <c:pt idx="138">
                  <c:v>2025-01-27</c:v>
                </c:pt>
                <c:pt idx="139">
                  <c:v>2025-01-27</c:v>
                </c:pt>
                <c:pt idx="140">
                  <c:v>2025-02-03</c:v>
                </c:pt>
                <c:pt idx="141">
                  <c:v>2025-02-03</c:v>
                </c:pt>
                <c:pt idx="142">
                  <c:v>2025-02-03</c:v>
                </c:pt>
                <c:pt idx="143">
                  <c:v>2025-02-03</c:v>
                </c:pt>
                <c:pt idx="144">
                  <c:v>2025-02-10</c:v>
                </c:pt>
                <c:pt idx="145">
                  <c:v>2025-02-10</c:v>
                </c:pt>
                <c:pt idx="146">
                  <c:v>2025-02-10</c:v>
                </c:pt>
                <c:pt idx="147">
                  <c:v>2025-02-10</c:v>
                </c:pt>
                <c:pt idx="148">
                  <c:v>2025-02-17</c:v>
                </c:pt>
                <c:pt idx="149">
                  <c:v>2025-02-17</c:v>
                </c:pt>
                <c:pt idx="150">
                  <c:v>2025-02-17</c:v>
                </c:pt>
                <c:pt idx="151">
                  <c:v>2025-02-17</c:v>
                </c:pt>
                <c:pt idx="152">
                  <c:v>2025-02-24</c:v>
                </c:pt>
                <c:pt idx="153">
                  <c:v>2025-02-24</c:v>
                </c:pt>
                <c:pt idx="154">
                  <c:v>2025-02-24</c:v>
                </c:pt>
                <c:pt idx="155">
                  <c:v>2025-02-24</c:v>
                </c:pt>
                <c:pt idx="156">
                  <c:v>2025-03-03</c:v>
                </c:pt>
                <c:pt idx="157">
                  <c:v>2025-03-03</c:v>
                </c:pt>
                <c:pt idx="158">
                  <c:v>2025-03-03</c:v>
                </c:pt>
                <c:pt idx="159">
                  <c:v>2025-03-03</c:v>
                </c:pt>
                <c:pt idx="160">
                  <c:v>2025-03-10</c:v>
                </c:pt>
                <c:pt idx="161">
                  <c:v>2025-03-10</c:v>
                </c:pt>
                <c:pt idx="162">
                  <c:v>2025-03-10</c:v>
                </c:pt>
                <c:pt idx="163">
                  <c:v>2025-03-10</c:v>
                </c:pt>
                <c:pt idx="164">
                  <c:v>2025-03-17</c:v>
                </c:pt>
                <c:pt idx="165">
                  <c:v>2025-03-17</c:v>
                </c:pt>
                <c:pt idx="166">
                  <c:v>2025-03-17</c:v>
                </c:pt>
                <c:pt idx="167">
                  <c:v>2025-03-17</c:v>
                </c:pt>
                <c:pt idx="168">
                  <c:v>2025-03-24</c:v>
                </c:pt>
                <c:pt idx="169">
                  <c:v>2025-03-24</c:v>
                </c:pt>
                <c:pt idx="170">
                  <c:v>2025-03-24</c:v>
                </c:pt>
                <c:pt idx="171">
                  <c:v>2025-03-24</c:v>
                </c:pt>
                <c:pt idx="172">
                  <c:v>2025-03-31</c:v>
                </c:pt>
                <c:pt idx="173">
                  <c:v>2025-03-31</c:v>
                </c:pt>
                <c:pt idx="174">
                  <c:v>2025-03-31</c:v>
                </c:pt>
                <c:pt idx="175">
                  <c:v>2025-03-31</c:v>
                </c:pt>
                <c:pt idx="176">
                  <c:v>2025-04-07</c:v>
                </c:pt>
                <c:pt idx="177">
                  <c:v>2025-04-07</c:v>
                </c:pt>
                <c:pt idx="178">
                  <c:v>2025-04-07</c:v>
                </c:pt>
                <c:pt idx="179">
                  <c:v>2025-04-07</c:v>
                </c:pt>
                <c:pt idx="180">
                  <c:v>2025-04-14</c:v>
                </c:pt>
                <c:pt idx="181">
                  <c:v>2025-04-14</c:v>
                </c:pt>
                <c:pt idx="182">
                  <c:v>2025-04-14</c:v>
                </c:pt>
                <c:pt idx="183">
                  <c:v>2025-04-14</c:v>
                </c:pt>
                <c:pt idx="184">
                  <c:v>2025-04-21</c:v>
                </c:pt>
                <c:pt idx="185">
                  <c:v>2025-04-21</c:v>
                </c:pt>
                <c:pt idx="186">
                  <c:v>2025-04-21</c:v>
                </c:pt>
                <c:pt idx="187">
                  <c:v>2025-04-21</c:v>
                </c:pt>
                <c:pt idx="188">
                  <c:v>2025-04-28</c:v>
                </c:pt>
                <c:pt idx="189">
                  <c:v>2025-04-28</c:v>
                </c:pt>
                <c:pt idx="190">
                  <c:v>2025-04-28</c:v>
                </c:pt>
                <c:pt idx="191">
                  <c:v>2025-04-28</c:v>
                </c:pt>
                <c:pt idx="192">
                  <c:v>2025-05-05</c:v>
                </c:pt>
                <c:pt idx="193">
                  <c:v>2025-05-05</c:v>
                </c:pt>
                <c:pt idx="194">
                  <c:v>2025-05-05</c:v>
                </c:pt>
                <c:pt idx="195">
                  <c:v>2025-05-05</c:v>
                </c:pt>
                <c:pt idx="196">
                  <c:v>2025-05-12</c:v>
                </c:pt>
                <c:pt idx="197">
                  <c:v>2025-05-12</c:v>
                </c:pt>
                <c:pt idx="198">
                  <c:v>2025-05-12</c:v>
                </c:pt>
                <c:pt idx="199">
                  <c:v>2025-05-12</c:v>
                </c:pt>
              </c:strCache>
            </c:strRef>
          </c:cat>
          <c:val>
            <c:numRef>
              <c:f>Task6.3Moving_Average_chart!$C$2:$C$201</c:f>
              <c:numCache>
                <c:formatCode>General</c:formatCode>
                <c:ptCount val="200"/>
                <c:pt idx="0">
                  <c:v>800.52499999999998</c:v>
                </c:pt>
                <c:pt idx="1">
                  <c:v>799.070351758794</c:v>
                </c:pt>
                <c:pt idx="2">
                  <c:v>797.81818181818187</c:v>
                </c:pt>
                <c:pt idx="3">
                  <c:v>796.7817258883249</c:v>
                </c:pt>
                <c:pt idx="4">
                  <c:v>798.7295918367347</c:v>
                </c:pt>
                <c:pt idx="5">
                  <c:v>796.2461538461539</c:v>
                </c:pt>
                <c:pt idx="6">
                  <c:v>795.2268041237113</c:v>
                </c:pt>
                <c:pt idx="7">
                  <c:v>796.66839378238342</c:v>
                </c:pt>
                <c:pt idx="8">
                  <c:v>799.84895833333337</c:v>
                </c:pt>
                <c:pt idx="9">
                  <c:v>796.80104712041884</c:v>
                </c:pt>
                <c:pt idx="10">
                  <c:v>794.17894736842106</c:v>
                </c:pt>
                <c:pt idx="11">
                  <c:v>793.65608465608466</c:v>
                </c:pt>
                <c:pt idx="12">
                  <c:v>796.08510638297878</c:v>
                </c:pt>
                <c:pt idx="13">
                  <c:v>791.41176470588232</c:v>
                </c:pt>
                <c:pt idx="14">
                  <c:v>791.17741935483866</c:v>
                </c:pt>
                <c:pt idx="15">
                  <c:v>792.05405405405406</c:v>
                </c:pt>
                <c:pt idx="16">
                  <c:v>797.0271739130435</c:v>
                </c:pt>
                <c:pt idx="17">
                  <c:v>793.96721311475414</c:v>
                </c:pt>
                <c:pt idx="18">
                  <c:v>797.82967032967031</c:v>
                </c:pt>
                <c:pt idx="19">
                  <c:v>801.88397790055251</c:v>
                </c:pt>
                <c:pt idx="20">
                  <c:v>807.55555555555554</c:v>
                </c:pt>
                <c:pt idx="21">
                  <c:v>802.72625698324021</c:v>
                </c:pt>
                <c:pt idx="22">
                  <c:v>804.16292134831463</c:v>
                </c:pt>
                <c:pt idx="23">
                  <c:v>805.80225988700568</c:v>
                </c:pt>
                <c:pt idx="24">
                  <c:v>808.625</c:v>
                </c:pt>
                <c:pt idx="25">
                  <c:v>802.70285714285717</c:v>
                </c:pt>
                <c:pt idx="26">
                  <c:v>804.85057471264372</c:v>
                </c:pt>
                <c:pt idx="27">
                  <c:v>808.5780346820809</c:v>
                </c:pt>
                <c:pt idx="28">
                  <c:v>814.23255813953483</c:v>
                </c:pt>
                <c:pt idx="29">
                  <c:v>811.29824561403507</c:v>
                </c:pt>
                <c:pt idx="30">
                  <c:v>810.41764705882349</c:v>
                </c:pt>
                <c:pt idx="31">
                  <c:v>813.33727810650885</c:v>
                </c:pt>
                <c:pt idx="32">
                  <c:v>817.23214285714289</c:v>
                </c:pt>
                <c:pt idx="33">
                  <c:v>813.17365269461072</c:v>
                </c:pt>
                <c:pt idx="34">
                  <c:v>814.81325301204822</c:v>
                </c:pt>
                <c:pt idx="35">
                  <c:v>816.87272727272727</c:v>
                </c:pt>
                <c:pt idx="36">
                  <c:v>823.79268292682923</c:v>
                </c:pt>
                <c:pt idx="37">
                  <c:v>826.68711656441712</c:v>
                </c:pt>
                <c:pt idx="38">
                  <c:v>829.76543209876547</c:v>
                </c:pt>
                <c:pt idx="39">
                  <c:v>832.93788819875772</c:v>
                </c:pt>
                <c:pt idx="40">
                  <c:v>839.375</c:v>
                </c:pt>
                <c:pt idx="41">
                  <c:v>836.2641509433962</c:v>
                </c:pt>
                <c:pt idx="42">
                  <c:v>833.1708860759494</c:v>
                </c:pt>
                <c:pt idx="43">
                  <c:v>831.90445859872614</c:v>
                </c:pt>
                <c:pt idx="44">
                  <c:v>837</c:v>
                </c:pt>
                <c:pt idx="45">
                  <c:v>831.658064516129</c:v>
                </c:pt>
                <c:pt idx="46">
                  <c:v>830.18831168831173</c:v>
                </c:pt>
                <c:pt idx="47">
                  <c:v>834.37254901960785</c:v>
                </c:pt>
                <c:pt idx="48">
                  <c:v>839.36184210526312</c:v>
                </c:pt>
                <c:pt idx="49">
                  <c:v>834.26490066225165</c:v>
                </c:pt>
                <c:pt idx="50">
                  <c:v>831.63333333333333</c:v>
                </c:pt>
                <c:pt idx="51">
                  <c:v>836.96644295302008</c:v>
                </c:pt>
                <c:pt idx="52">
                  <c:v>842.43243243243239</c:v>
                </c:pt>
                <c:pt idx="53">
                  <c:v>839.6802721088435</c:v>
                </c:pt>
                <c:pt idx="54">
                  <c:v>838.27397260273972</c:v>
                </c:pt>
                <c:pt idx="55">
                  <c:v>841.75862068965512</c:v>
                </c:pt>
                <c:pt idx="56">
                  <c:v>846.23611111111109</c:v>
                </c:pt>
                <c:pt idx="57">
                  <c:v>841.16083916083915</c:v>
                </c:pt>
                <c:pt idx="58">
                  <c:v>837.02816901408448</c:v>
                </c:pt>
                <c:pt idx="59">
                  <c:v>835.16312056737593</c:v>
                </c:pt>
                <c:pt idx="60">
                  <c:v>839.2714285714286</c:v>
                </c:pt>
                <c:pt idx="61">
                  <c:v>837.21582733812954</c:v>
                </c:pt>
                <c:pt idx="62">
                  <c:v>840.55072463768113</c:v>
                </c:pt>
                <c:pt idx="63">
                  <c:v>845.97080291970804</c:v>
                </c:pt>
                <c:pt idx="64">
                  <c:v>852.42647058823525</c:v>
                </c:pt>
                <c:pt idx="65">
                  <c:v>846.2962962962963</c:v>
                </c:pt>
                <c:pt idx="66">
                  <c:v>845.1044776119403</c:v>
                </c:pt>
                <c:pt idx="67">
                  <c:v>846.4511278195489</c:v>
                </c:pt>
                <c:pt idx="68">
                  <c:v>853.00757575757575</c:v>
                </c:pt>
                <c:pt idx="69">
                  <c:v>846.49618320610682</c:v>
                </c:pt>
                <c:pt idx="70">
                  <c:v>845.12307692307695</c:v>
                </c:pt>
                <c:pt idx="71">
                  <c:v>847.03100775193798</c:v>
                </c:pt>
                <c:pt idx="72">
                  <c:v>855.046875</c:v>
                </c:pt>
                <c:pt idx="73">
                  <c:v>847.03937007874015</c:v>
                </c:pt>
                <c:pt idx="74">
                  <c:v>840.57142857142856</c:v>
                </c:pt>
                <c:pt idx="75">
                  <c:v>846.35199999999998</c:v>
                </c:pt>
                <c:pt idx="76">
                  <c:v>852.31451612903231</c:v>
                </c:pt>
                <c:pt idx="77">
                  <c:v>849.29268292682923</c:v>
                </c:pt>
                <c:pt idx="78">
                  <c:v>853.24590163934431</c:v>
                </c:pt>
                <c:pt idx="79">
                  <c:v>857.94214876033061</c:v>
                </c:pt>
                <c:pt idx="80">
                  <c:v>865.25833333333333</c:v>
                </c:pt>
                <c:pt idx="81">
                  <c:v>860.05882352941171</c:v>
                </c:pt>
                <c:pt idx="82">
                  <c:v>861.95762711864404</c:v>
                </c:pt>
                <c:pt idx="83">
                  <c:v>865.57264957264954</c:v>
                </c:pt>
                <c:pt idx="84">
                  <c:v>870.77586206896547</c:v>
                </c:pt>
                <c:pt idx="85">
                  <c:v>863.93913043478256</c:v>
                </c:pt>
                <c:pt idx="86">
                  <c:v>866.46491228070181</c:v>
                </c:pt>
                <c:pt idx="87">
                  <c:v>870.71681415929208</c:v>
                </c:pt>
                <c:pt idx="88">
                  <c:v>878.16071428571433</c:v>
                </c:pt>
                <c:pt idx="89">
                  <c:v>871.63063063063066</c:v>
                </c:pt>
                <c:pt idx="90">
                  <c:v>866.85454545454547</c:v>
                </c:pt>
                <c:pt idx="91">
                  <c:v>865.2293577981651</c:v>
                </c:pt>
                <c:pt idx="92">
                  <c:v>868.24074074074076</c:v>
                </c:pt>
                <c:pt idx="93">
                  <c:v>865.60747663551399</c:v>
                </c:pt>
                <c:pt idx="94">
                  <c:v>865.2641509433962</c:v>
                </c:pt>
                <c:pt idx="95">
                  <c:v>870.18095238095236</c:v>
                </c:pt>
                <c:pt idx="96">
                  <c:v>879.56730769230774</c:v>
                </c:pt>
                <c:pt idx="97">
                  <c:v>883.78640776699024</c:v>
                </c:pt>
                <c:pt idx="98">
                  <c:v>891.74509803921569</c:v>
                </c:pt>
                <c:pt idx="99">
                  <c:v>899.98019801980195</c:v>
                </c:pt>
                <c:pt idx="100">
                  <c:v>909.47</c:v>
                </c:pt>
                <c:pt idx="101">
                  <c:v>901.55555555555554</c:v>
                </c:pt>
                <c:pt idx="102">
                  <c:v>897.16326530612241</c:v>
                </c:pt>
                <c:pt idx="103">
                  <c:v>897.28865979381442</c:v>
                </c:pt>
                <c:pt idx="104">
                  <c:v>905.61458333333337</c:v>
                </c:pt>
                <c:pt idx="105">
                  <c:v>897.1894736842105</c:v>
                </c:pt>
                <c:pt idx="106">
                  <c:v>889.44680851063833</c:v>
                </c:pt>
                <c:pt idx="107">
                  <c:v>886.39784946236557</c:v>
                </c:pt>
                <c:pt idx="108">
                  <c:v>892.86956521739125</c:v>
                </c:pt>
                <c:pt idx="109">
                  <c:v>883.7032967032967</c:v>
                </c:pt>
                <c:pt idx="110">
                  <c:v>878.26666666666665</c:v>
                </c:pt>
                <c:pt idx="111">
                  <c:v>875.56179775280896</c:v>
                </c:pt>
                <c:pt idx="112">
                  <c:v>879</c:v>
                </c:pt>
                <c:pt idx="113">
                  <c:v>872.64367816091954</c:v>
                </c:pt>
                <c:pt idx="114">
                  <c:v>866.77906976744191</c:v>
                </c:pt>
                <c:pt idx="115">
                  <c:v>860.98823529411766</c:v>
                </c:pt>
                <c:pt idx="116">
                  <c:v>860.80952380952385</c:v>
                </c:pt>
                <c:pt idx="117">
                  <c:v>852.03614457831327</c:v>
                </c:pt>
                <c:pt idx="118">
                  <c:v>851.31707317073176</c:v>
                </c:pt>
                <c:pt idx="119">
                  <c:v>852.81481481481478</c:v>
                </c:pt>
                <c:pt idx="120">
                  <c:v>854.92499999999995</c:v>
                </c:pt>
                <c:pt idx="121">
                  <c:v>843.2658227848101</c:v>
                </c:pt>
                <c:pt idx="122">
                  <c:v>831.4487179487179</c:v>
                </c:pt>
                <c:pt idx="123">
                  <c:v>822.38961038961043</c:v>
                </c:pt>
                <c:pt idx="124">
                  <c:v>814</c:v>
                </c:pt>
                <c:pt idx="125">
                  <c:v>809.01333333333332</c:v>
                </c:pt>
                <c:pt idx="126">
                  <c:v>807.74324324324323</c:v>
                </c:pt>
                <c:pt idx="127">
                  <c:v>807.21917808219177</c:v>
                </c:pt>
                <c:pt idx="128">
                  <c:v>809.81944444444446</c:v>
                </c:pt>
                <c:pt idx="129">
                  <c:v>796.97183098591552</c:v>
                </c:pt>
                <c:pt idx="130">
                  <c:v>795.48571428571427</c:v>
                </c:pt>
                <c:pt idx="131">
                  <c:v>802.695652173913</c:v>
                </c:pt>
                <c:pt idx="132">
                  <c:v>816.61764705882354</c:v>
                </c:pt>
                <c:pt idx="133">
                  <c:v>805.3432835820895</c:v>
                </c:pt>
                <c:pt idx="134">
                  <c:v>804.0454545454545</c:v>
                </c:pt>
                <c:pt idx="135">
                  <c:v>805.27692307692303</c:v>
                </c:pt>
                <c:pt idx="136">
                  <c:v>811.1875</c:v>
                </c:pt>
                <c:pt idx="137">
                  <c:v>801.42857142857144</c:v>
                </c:pt>
                <c:pt idx="138">
                  <c:v>794.59677419354841</c:v>
                </c:pt>
                <c:pt idx="139">
                  <c:v>792.90163934426232</c:v>
                </c:pt>
                <c:pt idx="140">
                  <c:v>808.88333333333333</c:v>
                </c:pt>
                <c:pt idx="141">
                  <c:v>804.28813559322032</c:v>
                </c:pt>
                <c:pt idx="142">
                  <c:v>805.25862068965512</c:v>
                </c:pt>
                <c:pt idx="143">
                  <c:v>809.40350877192986</c:v>
                </c:pt>
                <c:pt idx="144">
                  <c:v>827.48214285714289</c:v>
                </c:pt>
                <c:pt idx="145">
                  <c:v>811.2</c:v>
                </c:pt>
                <c:pt idx="146">
                  <c:v>799.48148148148152</c:v>
                </c:pt>
                <c:pt idx="147">
                  <c:v>791.88679245283015</c:v>
                </c:pt>
                <c:pt idx="148">
                  <c:v>789.57692307692309</c:v>
                </c:pt>
                <c:pt idx="149">
                  <c:v>773.88235294117646</c:v>
                </c:pt>
                <c:pt idx="150">
                  <c:v>765.86</c:v>
                </c:pt>
                <c:pt idx="151">
                  <c:v>761.79591836734699</c:v>
                </c:pt>
                <c:pt idx="152">
                  <c:v>778.4375</c:v>
                </c:pt>
                <c:pt idx="153">
                  <c:v>758.68085106382978</c:v>
                </c:pt>
                <c:pt idx="154">
                  <c:v>745.28260869565213</c:v>
                </c:pt>
                <c:pt idx="155">
                  <c:v>739.26666666666665</c:v>
                </c:pt>
                <c:pt idx="156">
                  <c:v>739.97727272727275</c:v>
                </c:pt>
                <c:pt idx="157">
                  <c:v>726.60465116279067</c:v>
                </c:pt>
                <c:pt idx="158">
                  <c:v>722.5</c:v>
                </c:pt>
                <c:pt idx="159">
                  <c:v>732.43902439024396</c:v>
                </c:pt>
                <c:pt idx="160">
                  <c:v>753.72500000000002</c:v>
                </c:pt>
                <c:pt idx="161">
                  <c:v>738.43589743589746</c:v>
                </c:pt>
                <c:pt idx="162">
                  <c:v>725.18421052631584</c:v>
                </c:pt>
                <c:pt idx="163">
                  <c:v>720.24324324324323</c:v>
                </c:pt>
                <c:pt idx="164">
                  <c:v>734.36111111111109</c:v>
                </c:pt>
                <c:pt idx="165">
                  <c:v>715.7714285714286</c:v>
                </c:pt>
                <c:pt idx="166">
                  <c:v>704</c:v>
                </c:pt>
                <c:pt idx="167">
                  <c:v>699.24242424242425</c:v>
                </c:pt>
                <c:pt idx="168">
                  <c:v>699.84375</c:v>
                </c:pt>
                <c:pt idx="169">
                  <c:v>707.12903225806451</c:v>
                </c:pt>
                <c:pt idx="170">
                  <c:v>715.33333333333337</c:v>
                </c:pt>
                <c:pt idx="171">
                  <c:v>726.58620689655174</c:v>
                </c:pt>
                <c:pt idx="172">
                  <c:v>742.10714285714289</c:v>
                </c:pt>
                <c:pt idx="173">
                  <c:v>707.51851851851848</c:v>
                </c:pt>
                <c:pt idx="174">
                  <c:v>678.30769230769226</c:v>
                </c:pt>
                <c:pt idx="175">
                  <c:v>679.8</c:v>
                </c:pt>
                <c:pt idx="176">
                  <c:v>686.70833333333337</c:v>
                </c:pt>
                <c:pt idx="177">
                  <c:v>671.82608695652175</c:v>
                </c:pt>
                <c:pt idx="178">
                  <c:v>656.59090909090912</c:v>
                </c:pt>
                <c:pt idx="179">
                  <c:v>677.90476190476193</c:v>
                </c:pt>
                <c:pt idx="180">
                  <c:v>703.45</c:v>
                </c:pt>
                <c:pt idx="181">
                  <c:v>732.84210526315792</c:v>
                </c:pt>
                <c:pt idx="182">
                  <c:v>770.61111111111109</c:v>
                </c:pt>
                <c:pt idx="183">
                  <c:v>825.35294117647061</c:v>
                </c:pt>
                <c:pt idx="184">
                  <c:v>887.875</c:v>
                </c:pt>
                <c:pt idx="185">
                  <c:v>838.2</c:v>
                </c:pt>
                <c:pt idx="186">
                  <c:v>823.42857142857144</c:v>
                </c:pt>
                <c:pt idx="187">
                  <c:v>828.38461538461536</c:v>
                </c:pt>
                <c:pt idx="188">
                  <c:v>847.16666666666663</c:v>
                </c:pt>
                <c:pt idx="189">
                  <c:v>784.27272727272725</c:v>
                </c:pt>
                <c:pt idx="190">
                  <c:v>767.9</c:v>
                </c:pt>
                <c:pt idx="191">
                  <c:v>782.44444444444446</c:v>
                </c:pt>
                <c:pt idx="192">
                  <c:v>823.625</c:v>
                </c:pt>
                <c:pt idx="193">
                  <c:v>672.57142857142856</c:v>
                </c:pt>
                <c:pt idx="194">
                  <c:v>533</c:v>
                </c:pt>
                <c:pt idx="195">
                  <c:v>466.8</c:v>
                </c:pt>
                <c:pt idx="196">
                  <c:v>498.75</c:v>
                </c:pt>
                <c:pt idx="197">
                  <c:v>113</c:v>
                </c:pt>
                <c:pt idx="198">
                  <c:v>-34</c:v>
                </c:pt>
                <c:pt idx="199">
                  <c:v>-337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DE-4DA8-8243-3759F2C52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413967"/>
        <c:axId val="68417327"/>
      </c:lineChart>
      <c:catAx>
        <c:axId val="6841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17327"/>
        <c:crosses val="autoZero"/>
        <c:auto val="1"/>
        <c:lblAlgn val="ctr"/>
        <c:lblOffset val="100"/>
        <c:noMultiLvlLbl val="0"/>
      </c:catAx>
      <c:valAx>
        <c:axId val="6841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1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Correlation: Ad Spend vs. Follower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'Task6.4 Correlation'!$D$1</c:f>
              <c:strCache>
                <c:ptCount val="1"/>
                <c:pt idx="0">
                  <c:v>Ad_Spend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'Task6.4 Correlation'!$C$2:$C$201</c:f>
              <c:numCache>
                <c:formatCode>General</c:formatCode>
                <c:ptCount val="200"/>
                <c:pt idx="0">
                  <c:v>1047</c:v>
                </c:pt>
                <c:pt idx="1">
                  <c:v>1002</c:v>
                </c:pt>
                <c:pt idx="2">
                  <c:v>415</c:v>
                </c:pt>
                <c:pt idx="3">
                  <c:v>1090</c:v>
                </c:pt>
                <c:pt idx="4">
                  <c:v>517</c:v>
                </c:pt>
                <c:pt idx="5">
                  <c:v>1283</c:v>
                </c:pt>
                <c:pt idx="6">
                  <c:v>186</c:v>
                </c:pt>
                <c:pt idx="7">
                  <c:v>994</c:v>
                </c:pt>
                <c:pt idx="8">
                  <c:v>893</c:v>
                </c:pt>
                <c:pt idx="9">
                  <c:v>1382</c:v>
                </c:pt>
                <c:pt idx="10">
                  <c:v>1295</c:v>
                </c:pt>
                <c:pt idx="11">
                  <c:v>337</c:v>
                </c:pt>
                <c:pt idx="12">
                  <c:v>629</c:v>
                </c:pt>
                <c:pt idx="13">
                  <c:v>1670</c:v>
                </c:pt>
                <c:pt idx="14">
                  <c:v>835</c:v>
                </c:pt>
                <c:pt idx="15">
                  <c:v>-123</c:v>
                </c:pt>
                <c:pt idx="16">
                  <c:v>-219</c:v>
                </c:pt>
                <c:pt idx="17">
                  <c:v>64</c:v>
                </c:pt>
                <c:pt idx="18">
                  <c:v>1357</c:v>
                </c:pt>
                <c:pt idx="19">
                  <c:v>91</c:v>
                </c:pt>
                <c:pt idx="20">
                  <c:v>1672</c:v>
                </c:pt>
                <c:pt idx="21">
                  <c:v>309</c:v>
                </c:pt>
                <c:pt idx="22">
                  <c:v>547</c:v>
                </c:pt>
                <c:pt idx="23">
                  <c:v>514</c:v>
                </c:pt>
                <c:pt idx="24">
                  <c:v>1845</c:v>
                </c:pt>
                <c:pt idx="25">
                  <c:v>-164</c:v>
                </c:pt>
                <c:pt idx="26">
                  <c:v>429</c:v>
                </c:pt>
                <c:pt idx="27">
                  <c:v>160</c:v>
                </c:pt>
                <c:pt idx="28">
                  <c:v>159</c:v>
                </c:pt>
                <c:pt idx="29">
                  <c:v>961</c:v>
                </c:pt>
                <c:pt idx="30">
                  <c:v>1316</c:v>
                </c:pt>
                <c:pt idx="31">
                  <c:v>317</c:v>
                </c:pt>
                <c:pt idx="32">
                  <c:v>541</c:v>
                </c:pt>
                <c:pt idx="33">
                  <c:v>-318</c:v>
                </c:pt>
                <c:pt idx="34">
                  <c:v>1495</c:v>
                </c:pt>
                <c:pt idx="35">
                  <c:v>475</c:v>
                </c:pt>
                <c:pt idx="36">
                  <c:v>352</c:v>
                </c:pt>
                <c:pt idx="37">
                  <c:v>-197</c:v>
                </c:pt>
                <c:pt idx="38">
                  <c:v>328</c:v>
                </c:pt>
                <c:pt idx="39">
                  <c:v>319</c:v>
                </c:pt>
                <c:pt idx="40">
                  <c:v>1325</c:v>
                </c:pt>
                <c:pt idx="41">
                  <c:v>1334</c:v>
                </c:pt>
                <c:pt idx="42">
                  <c:v>37</c:v>
                </c:pt>
                <c:pt idx="43">
                  <c:v>1032</c:v>
                </c:pt>
                <c:pt idx="44">
                  <c:v>76</c:v>
                </c:pt>
                <c:pt idx="45">
                  <c:v>1058</c:v>
                </c:pt>
                <c:pt idx="46">
                  <c:v>1665</c:v>
                </c:pt>
                <c:pt idx="47">
                  <c:v>190</c:v>
                </c:pt>
                <c:pt idx="48">
                  <c:v>1609</c:v>
                </c:pt>
                <c:pt idx="49">
                  <c:v>37</c:v>
                </c:pt>
                <c:pt idx="50">
                  <c:v>1229</c:v>
                </c:pt>
                <c:pt idx="51">
                  <c:v>28</c:v>
                </c:pt>
                <c:pt idx="52">
                  <c:v>1247</c:v>
                </c:pt>
                <c:pt idx="53">
                  <c:v>1045</c:v>
                </c:pt>
                <c:pt idx="54">
                  <c:v>197</c:v>
                </c:pt>
                <c:pt idx="55">
                  <c:v>333</c:v>
                </c:pt>
                <c:pt idx="56">
                  <c:v>1572</c:v>
                </c:pt>
                <c:pt idx="57">
                  <c:v>1428</c:v>
                </c:pt>
                <c:pt idx="58">
                  <c:v>260</c:v>
                </c:pt>
                <c:pt idx="59">
                  <c:v>1100</c:v>
                </c:pt>
                <c:pt idx="60">
                  <c:v>377</c:v>
                </c:pt>
                <c:pt idx="61">
                  <c:v>98</c:v>
                </c:pt>
                <c:pt idx="62">
                  <c:v>1125</c:v>
                </c:pt>
                <c:pt idx="63">
                  <c:v>-32</c:v>
                </c:pt>
                <c:pt idx="64">
                  <c:v>666</c:v>
                </c:pt>
                <c:pt idx="65">
                  <c:v>-19</c:v>
                </c:pt>
                <c:pt idx="66">
                  <c:v>1680</c:v>
                </c:pt>
                <c:pt idx="67">
                  <c:v>1006</c:v>
                </c:pt>
                <c:pt idx="68">
                  <c:v>1025</c:v>
                </c:pt>
                <c:pt idx="69">
                  <c:v>-179</c:v>
                </c:pt>
                <c:pt idx="70">
                  <c:v>599</c:v>
                </c:pt>
                <c:pt idx="71">
                  <c:v>1706</c:v>
                </c:pt>
                <c:pt idx="72">
                  <c:v>1872</c:v>
                </c:pt>
                <c:pt idx="73">
                  <c:v>1662</c:v>
                </c:pt>
                <c:pt idx="74">
                  <c:v>107</c:v>
                </c:pt>
                <c:pt idx="75">
                  <c:v>118</c:v>
                </c:pt>
                <c:pt idx="76">
                  <c:v>1224</c:v>
                </c:pt>
                <c:pt idx="77">
                  <c:v>285</c:v>
                </c:pt>
                <c:pt idx="78">
                  <c:v>-20</c:v>
                </c:pt>
                <c:pt idx="79">
                  <c:v>367</c:v>
                </c:pt>
                <c:pt idx="80">
                  <c:v>262</c:v>
                </c:pt>
                <c:pt idx="81">
                  <c:v>439</c:v>
                </c:pt>
                <c:pt idx="82">
                  <c:v>636</c:v>
                </c:pt>
                <c:pt idx="83">
                  <c:v>1484</c:v>
                </c:pt>
                <c:pt idx="84">
                  <c:v>576</c:v>
                </c:pt>
                <c:pt idx="85">
                  <c:v>386</c:v>
                </c:pt>
                <c:pt idx="86">
                  <c:v>37</c:v>
                </c:pt>
                <c:pt idx="87">
                  <c:v>1657</c:v>
                </c:pt>
                <c:pt idx="88">
                  <c:v>1397</c:v>
                </c:pt>
                <c:pt idx="89">
                  <c:v>540</c:v>
                </c:pt>
                <c:pt idx="90">
                  <c:v>1603</c:v>
                </c:pt>
                <c:pt idx="91">
                  <c:v>1044</c:v>
                </c:pt>
                <c:pt idx="92">
                  <c:v>902</c:v>
                </c:pt>
                <c:pt idx="93">
                  <c:v>-106</c:v>
                </c:pt>
                <c:pt idx="94">
                  <c:v>1150</c:v>
                </c:pt>
                <c:pt idx="95">
                  <c:v>349</c:v>
                </c:pt>
                <c:pt idx="96">
                  <c:v>-49</c:v>
                </c:pt>
                <c:pt idx="97">
                  <c:v>72</c:v>
                </c:pt>
                <c:pt idx="98">
                  <c:v>445</c:v>
                </c:pt>
                <c:pt idx="99">
                  <c:v>60</c:v>
                </c:pt>
                <c:pt idx="100">
                  <c:v>1693</c:v>
                </c:pt>
                <c:pt idx="101">
                  <c:v>1332</c:v>
                </c:pt>
                <c:pt idx="102">
                  <c:v>98</c:v>
                </c:pt>
                <c:pt idx="103">
                  <c:v>885</c:v>
                </c:pt>
                <c:pt idx="104">
                  <c:v>1625</c:v>
                </c:pt>
                <c:pt idx="105">
                  <c:v>1706</c:v>
                </c:pt>
                <c:pt idx="106">
                  <c:v>1173</c:v>
                </c:pt>
                <c:pt idx="107">
                  <c:v>291</c:v>
                </c:pt>
                <c:pt idx="108">
                  <c:v>1119</c:v>
                </c:pt>
                <c:pt idx="109">
                  <c:v>1373</c:v>
                </c:pt>
                <c:pt idx="110">
                  <c:v>1727</c:v>
                </c:pt>
                <c:pt idx="111">
                  <c:v>573</c:v>
                </c:pt>
                <c:pt idx="112">
                  <c:v>1432</c:v>
                </c:pt>
                <c:pt idx="113">
                  <c:v>1377</c:v>
                </c:pt>
                <c:pt idx="114">
                  <c:v>1359</c:v>
                </c:pt>
                <c:pt idx="115">
                  <c:v>876</c:v>
                </c:pt>
                <c:pt idx="116">
                  <c:v>684</c:v>
                </c:pt>
                <c:pt idx="117">
                  <c:v>730</c:v>
                </c:pt>
                <c:pt idx="118">
                  <c:v>911</c:v>
                </c:pt>
                <c:pt idx="119">
                  <c:v>1589</c:v>
                </c:pt>
                <c:pt idx="120">
                  <c:v>1765</c:v>
                </c:pt>
                <c:pt idx="121">
                  <c:v>1776</c:v>
                </c:pt>
                <c:pt idx="122">
                  <c:v>1529</c:v>
                </c:pt>
                <c:pt idx="123">
                  <c:v>1460</c:v>
                </c:pt>
                <c:pt idx="124">
                  <c:v>903</c:v>
                </c:pt>
                <c:pt idx="125">
                  <c:v>620</c:v>
                </c:pt>
                <c:pt idx="126">
                  <c:v>1188</c:v>
                </c:pt>
                <c:pt idx="127">
                  <c:v>846</c:v>
                </c:pt>
                <c:pt idx="128">
                  <c:v>1722</c:v>
                </c:pt>
                <c:pt idx="129">
                  <c:v>298</c:v>
                </c:pt>
                <c:pt idx="130">
                  <c:v>-144</c:v>
                </c:pt>
                <c:pt idx="131">
                  <c:v>901</c:v>
                </c:pt>
                <c:pt idx="132">
                  <c:v>1572</c:v>
                </c:pt>
                <c:pt idx="133">
                  <c:v>427</c:v>
                </c:pt>
                <c:pt idx="134">
                  <c:v>891</c:v>
                </c:pt>
                <c:pt idx="135">
                  <c:v>724</c:v>
                </c:pt>
                <c:pt idx="136">
                  <c:v>-166</c:v>
                </c:pt>
                <c:pt idx="137">
                  <c:v>898</c:v>
                </c:pt>
                <c:pt idx="138">
                  <c:v>1426</c:v>
                </c:pt>
                <c:pt idx="139">
                  <c:v>1225</c:v>
                </c:pt>
                <c:pt idx="140">
                  <c:v>1080</c:v>
                </c:pt>
                <c:pt idx="141">
                  <c:v>748</c:v>
                </c:pt>
                <c:pt idx="142">
                  <c:v>569</c:v>
                </c:pt>
                <c:pt idx="143">
                  <c:v>-203</c:v>
                </c:pt>
                <c:pt idx="144">
                  <c:v>1723</c:v>
                </c:pt>
                <c:pt idx="145">
                  <c:v>912</c:v>
                </c:pt>
                <c:pt idx="146">
                  <c:v>1202</c:v>
                </c:pt>
                <c:pt idx="147">
                  <c:v>1444</c:v>
                </c:pt>
                <c:pt idx="148">
                  <c:v>965</c:v>
                </c:pt>
                <c:pt idx="149">
                  <c:v>1590</c:v>
                </c:pt>
                <c:pt idx="150">
                  <c:v>-37</c:v>
                </c:pt>
                <c:pt idx="151">
                  <c:v>1175</c:v>
                </c:pt>
                <c:pt idx="152">
                  <c:v>1375</c:v>
                </c:pt>
                <c:pt idx="153">
                  <c:v>1707</c:v>
                </c:pt>
                <c:pt idx="154">
                  <c:v>708</c:v>
                </c:pt>
                <c:pt idx="155">
                  <c:v>1016</c:v>
                </c:pt>
                <c:pt idx="156">
                  <c:v>1315</c:v>
                </c:pt>
                <c:pt idx="157">
                  <c:v>-119</c:v>
                </c:pt>
                <c:pt idx="158">
                  <c:v>899</c:v>
                </c:pt>
                <c:pt idx="159">
                  <c:v>315</c:v>
                </c:pt>
                <c:pt idx="160">
                  <c:v>212</c:v>
                </c:pt>
                <c:pt idx="161">
                  <c:v>908</c:v>
                </c:pt>
                <c:pt idx="162">
                  <c:v>1350</c:v>
                </c:pt>
                <c:pt idx="163">
                  <c:v>1242</c:v>
                </c:pt>
                <c:pt idx="164">
                  <c:v>680</c:v>
                </c:pt>
                <c:pt idx="165">
                  <c:v>1116</c:v>
                </c:pt>
                <c:pt idx="166">
                  <c:v>861</c:v>
                </c:pt>
                <c:pt idx="167">
                  <c:v>1385</c:v>
                </c:pt>
                <c:pt idx="168">
                  <c:v>461</c:v>
                </c:pt>
                <c:pt idx="169">
                  <c:v>474</c:v>
                </c:pt>
                <c:pt idx="170">
                  <c:v>292</c:v>
                </c:pt>
                <c:pt idx="171">
                  <c:v>389</c:v>
                </c:pt>
                <c:pt idx="172">
                  <c:v>641</c:v>
                </c:pt>
                <c:pt idx="173">
                  <c:v>514</c:v>
                </c:pt>
                <c:pt idx="174">
                  <c:v>1676</c:v>
                </c:pt>
                <c:pt idx="175">
                  <c:v>1467</c:v>
                </c:pt>
                <c:pt idx="176">
                  <c:v>167</c:v>
                </c:pt>
                <c:pt idx="177">
                  <c:v>1029</c:v>
                </c:pt>
                <c:pt idx="178">
                  <c:v>1007</c:v>
                </c:pt>
                <c:pt idx="179">
                  <c:v>209</c:v>
                </c:pt>
                <c:pt idx="180">
                  <c:v>-160</c:v>
                </c:pt>
                <c:pt idx="181">
                  <c:v>-175</c:v>
                </c:pt>
                <c:pt idx="182">
                  <c:v>53</c:v>
                </c:pt>
                <c:pt idx="183">
                  <c:v>145</c:v>
                </c:pt>
                <c:pt idx="184">
                  <c:v>603</c:v>
                </c:pt>
                <c:pt idx="185">
                  <c:v>1045</c:v>
                </c:pt>
                <c:pt idx="186">
                  <c:v>759</c:v>
                </c:pt>
                <c:pt idx="187">
                  <c:v>1633</c:v>
                </c:pt>
                <c:pt idx="188">
                  <c:v>1539</c:v>
                </c:pt>
                <c:pt idx="189">
                  <c:v>453</c:v>
                </c:pt>
                <c:pt idx="190">
                  <c:v>948</c:v>
                </c:pt>
                <c:pt idx="191">
                  <c:v>637</c:v>
                </c:pt>
                <c:pt idx="192">
                  <c:v>1881</c:v>
                </c:pt>
                <c:pt idx="193">
                  <c:v>339</c:v>
                </c:pt>
                <c:pt idx="194">
                  <c:v>1510</c:v>
                </c:pt>
                <c:pt idx="195">
                  <c:v>864</c:v>
                </c:pt>
                <c:pt idx="196">
                  <c:v>1656</c:v>
                </c:pt>
                <c:pt idx="197">
                  <c:v>407</c:v>
                </c:pt>
                <c:pt idx="198">
                  <c:v>269</c:v>
                </c:pt>
                <c:pt idx="199">
                  <c:v>-337</c:v>
                </c:pt>
              </c:numCache>
            </c:numRef>
          </c:xVal>
          <c:yVal>
            <c:numRef>
              <c:f>'Task6.4 Correlation'!$D$2:$D$201</c:f>
              <c:numCache>
                <c:formatCode>General</c:formatCode>
                <c:ptCount val="200"/>
                <c:pt idx="0">
                  <c:v>5904</c:v>
                </c:pt>
                <c:pt idx="1">
                  <c:v>9566</c:v>
                </c:pt>
                <c:pt idx="2">
                  <c:v>26752</c:v>
                </c:pt>
                <c:pt idx="3">
                  <c:v>30671</c:v>
                </c:pt>
                <c:pt idx="4">
                  <c:v>9920</c:v>
                </c:pt>
                <c:pt idx="5">
                  <c:v>7924</c:v>
                </c:pt>
                <c:pt idx="6">
                  <c:v>8912</c:v>
                </c:pt>
                <c:pt idx="7">
                  <c:v>21205</c:v>
                </c:pt>
                <c:pt idx="8">
                  <c:v>11329</c:v>
                </c:pt>
                <c:pt idx="9">
                  <c:v>46670</c:v>
                </c:pt>
                <c:pt idx="10">
                  <c:v>22482</c:v>
                </c:pt>
                <c:pt idx="11">
                  <c:v>24313</c:v>
                </c:pt>
                <c:pt idx="12">
                  <c:v>18050</c:v>
                </c:pt>
                <c:pt idx="13">
                  <c:v>30635</c:v>
                </c:pt>
                <c:pt idx="14">
                  <c:v>31280</c:v>
                </c:pt>
                <c:pt idx="15">
                  <c:v>1783</c:v>
                </c:pt>
                <c:pt idx="16">
                  <c:v>9566</c:v>
                </c:pt>
                <c:pt idx="17">
                  <c:v>42307</c:v>
                </c:pt>
                <c:pt idx="18">
                  <c:v>5914</c:v>
                </c:pt>
                <c:pt idx="19">
                  <c:v>30060</c:v>
                </c:pt>
                <c:pt idx="20">
                  <c:v>22728</c:v>
                </c:pt>
                <c:pt idx="21">
                  <c:v>38610</c:v>
                </c:pt>
                <c:pt idx="22">
                  <c:v>2932</c:v>
                </c:pt>
                <c:pt idx="23">
                  <c:v>15071</c:v>
                </c:pt>
                <c:pt idx="24">
                  <c:v>10740</c:v>
                </c:pt>
                <c:pt idx="25">
                  <c:v>43420</c:v>
                </c:pt>
                <c:pt idx="26">
                  <c:v>32393</c:v>
                </c:pt>
                <c:pt idx="27">
                  <c:v>28474</c:v>
                </c:pt>
                <c:pt idx="28">
                  <c:v>17328</c:v>
                </c:pt>
                <c:pt idx="29">
                  <c:v>26067</c:v>
                </c:pt>
                <c:pt idx="30">
                  <c:v>32763</c:v>
                </c:pt>
                <c:pt idx="31">
                  <c:v>26452</c:v>
                </c:pt>
                <c:pt idx="32">
                  <c:v>15353</c:v>
                </c:pt>
                <c:pt idx="33">
                  <c:v>4839</c:v>
                </c:pt>
                <c:pt idx="34">
                  <c:v>39272</c:v>
                </c:pt>
                <c:pt idx="35">
                  <c:v>16804</c:v>
                </c:pt>
                <c:pt idx="36">
                  <c:v>49303</c:v>
                </c:pt>
                <c:pt idx="37">
                  <c:v>26455</c:v>
                </c:pt>
                <c:pt idx="38">
                  <c:v>12384</c:v>
                </c:pt>
                <c:pt idx="39">
                  <c:v>49372</c:v>
                </c:pt>
                <c:pt idx="40">
                  <c:v>47101</c:v>
                </c:pt>
                <c:pt idx="41">
                  <c:v>37903</c:v>
                </c:pt>
                <c:pt idx="42">
                  <c:v>33258</c:v>
                </c:pt>
                <c:pt idx="43">
                  <c:v>6915</c:v>
                </c:pt>
                <c:pt idx="44">
                  <c:v>35501</c:v>
                </c:pt>
                <c:pt idx="45">
                  <c:v>14203</c:v>
                </c:pt>
                <c:pt idx="46">
                  <c:v>22206</c:v>
                </c:pt>
                <c:pt idx="47">
                  <c:v>10283</c:v>
                </c:pt>
                <c:pt idx="48">
                  <c:v>24913</c:v>
                </c:pt>
                <c:pt idx="49">
                  <c:v>26925</c:v>
                </c:pt>
                <c:pt idx="50">
                  <c:v>9942</c:v>
                </c:pt>
                <c:pt idx="51">
                  <c:v>32929</c:v>
                </c:pt>
                <c:pt idx="52">
                  <c:v>37829</c:v>
                </c:pt>
                <c:pt idx="53">
                  <c:v>24384</c:v>
                </c:pt>
                <c:pt idx="54">
                  <c:v>25797</c:v>
                </c:pt>
                <c:pt idx="55">
                  <c:v>12646</c:v>
                </c:pt>
                <c:pt idx="56">
                  <c:v>26663</c:v>
                </c:pt>
                <c:pt idx="57">
                  <c:v>40478</c:v>
                </c:pt>
                <c:pt idx="58">
                  <c:v>15476</c:v>
                </c:pt>
                <c:pt idx="59">
                  <c:v>10217</c:v>
                </c:pt>
                <c:pt idx="60">
                  <c:v>21939</c:v>
                </c:pt>
                <c:pt idx="61">
                  <c:v>47462</c:v>
                </c:pt>
                <c:pt idx="62">
                  <c:v>30270</c:v>
                </c:pt>
                <c:pt idx="63">
                  <c:v>5442</c:v>
                </c:pt>
                <c:pt idx="64">
                  <c:v>1083</c:v>
                </c:pt>
                <c:pt idx="65">
                  <c:v>11901</c:v>
                </c:pt>
                <c:pt idx="66">
                  <c:v>24018</c:v>
                </c:pt>
                <c:pt idx="67">
                  <c:v>38883</c:v>
                </c:pt>
                <c:pt idx="68">
                  <c:v>30575</c:v>
                </c:pt>
                <c:pt idx="69">
                  <c:v>2315</c:v>
                </c:pt>
                <c:pt idx="70">
                  <c:v>12148</c:v>
                </c:pt>
                <c:pt idx="71">
                  <c:v>36851</c:v>
                </c:pt>
                <c:pt idx="72">
                  <c:v>41215</c:v>
                </c:pt>
                <c:pt idx="73">
                  <c:v>43836</c:v>
                </c:pt>
                <c:pt idx="74">
                  <c:v>4509</c:v>
                </c:pt>
                <c:pt idx="75">
                  <c:v>27822</c:v>
                </c:pt>
                <c:pt idx="76">
                  <c:v>36397</c:v>
                </c:pt>
                <c:pt idx="77">
                  <c:v>7285</c:v>
                </c:pt>
                <c:pt idx="78">
                  <c:v>33174</c:v>
                </c:pt>
                <c:pt idx="79">
                  <c:v>6742</c:v>
                </c:pt>
                <c:pt idx="80">
                  <c:v>32478</c:v>
                </c:pt>
                <c:pt idx="81">
                  <c:v>42824</c:v>
                </c:pt>
                <c:pt idx="82">
                  <c:v>21208</c:v>
                </c:pt>
                <c:pt idx="83">
                  <c:v>44321</c:v>
                </c:pt>
                <c:pt idx="84">
                  <c:v>13116</c:v>
                </c:pt>
                <c:pt idx="85">
                  <c:v>30214</c:v>
                </c:pt>
                <c:pt idx="86">
                  <c:v>15827</c:v>
                </c:pt>
                <c:pt idx="87">
                  <c:v>46643</c:v>
                </c:pt>
                <c:pt idx="88">
                  <c:v>36484</c:v>
                </c:pt>
                <c:pt idx="89">
                  <c:v>4996</c:v>
                </c:pt>
                <c:pt idx="90">
                  <c:v>36095</c:v>
                </c:pt>
                <c:pt idx="91">
                  <c:v>16443</c:v>
                </c:pt>
                <c:pt idx="92">
                  <c:v>47812</c:v>
                </c:pt>
                <c:pt idx="93">
                  <c:v>38452</c:v>
                </c:pt>
                <c:pt idx="94">
                  <c:v>30428</c:v>
                </c:pt>
                <c:pt idx="95">
                  <c:v>9269</c:v>
                </c:pt>
                <c:pt idx="96">
                  <c:v>29533</c:v>
                </c:pt>
                <c:pt idx="97">
                  <c:v>39997</c:v>
                </c:pt>
                <c:pt idx="98">
                  <c:v>5391</c:v>
                </c:pt>
                <c:pt idx="99">
                  <c:v>22373</c:v>
                </c:pt>
                <c:pt idx="100">
                  <c:v>1810</c:v>
                </c:pt>
                <c:pt idx="101">
                  <c:v>28498</c:v>
                </c:pt>
                <c:pt idx="102">
                  <c:v>39530</c:v>
                </c:pt>
                <c:pt idx="103">
                  <c:v>37876</c:v>
                </c:pt>
                <c:pt idx="104">
                  <c:v>36103</c:v>
                </c:pt>
                <c:pt idx="105">
                  <c:v>26103</c:v>
                </c:pt>
                <c:pt idx="106">
                  <c:v>3455</c:v>
                </c:pt>
                <c:pt idx="107">
                  <c:v>40888</c:v>
                </c:pt>
                <c:pt idx="108">
                  <c:v>22724</c:v>
                </c:pt>
                <c:pt idx="109">
                  <c:v>18601</c:v>
                </c:pt>
                <c:pt idx="110">
                  <c:v>20861</c:v>
                </c:pt>
                <c:pt idx="111">
                  <c:v>46625</c:v>
                </c:pt>
                <c:pt idx="112">
                  <c:v>20692</c:v>
                </c:pt>
                <c:pt idx="113">
                  <c:v>18656</c:v>
                </c:pt>
                <c:pt idx="114">
                  <c:v>13316</c:v>
                </c:pt>
                <c:pt idx="115">
                  <c:v>49558</c:v>
                </c:pt>
                <c:pt idx="116">
                  <c:v>4683</c:v>
                </c:pt>
                <c:pt idx="117">
                  <c:v>47502</c:v>
                </c:pt>
                <c:pt idx="118">
                  <c:v>35359</c:v>
                </c:pt>
                <c:pt idx="119">
                  <c:v>14154</c:v>
                </c:pt>
                <c:pt idx="120">
                  <c:v>4313</c:v>
                </c:pt>
                <c:pt idx="121">
                  <c:v>25140</c:v>
                </c:pt>
                <c:pt idx="122">
                  <c:v>9118</c:v>
                </c:pt>
                <c:pt idx="123">
                  <c:v>39931</c:v>
                </c:pt>
                <c:pt idx="124">
                  <c:v>37132</c:v>
                </c:pt>
                <c:pt idx="125">
                  <c:v>17951</c:v>
                </c:pt>
                <c:pt idx="126">
                  <c:v>2798</c:v>
                </c:pt>
                <c:pt idx="127">
                  <c:v>15045</c:v>
                </c:pt>
                <c:pt idx="128">
                  <c:v>14548</c:v>
                </c:pt>
                <c:pt idx="129">
                  <c:v>45708</c:v>
                </c:pt>
                <c:pt idx="130">
                  <c:v>12350</c:v>
                </c:pt>
                <c:pt idx="131">
                  <c:v>40868</c:v>
                </c:pt>
                <c:pt idx="132">
                  <c:v>43122</c:v>
                </c:pt>
                <c:pt idx="133">
                  <c:v>23853</c:v>
                </c:pt>
                <c:pt idx="134">
                  <c:v>45380</c:v>
                </c:pt>
                <c:pt idx="135">
                  <c:v>7705</c:v>
                </c:pt>
                <c:pt idx="136">
                  <c:v>25525</c:v>
                </c:pt>
                <c:pt idx="137">
                  <c:v>20560</c:v>
                </c:pt>
                <c:pt idx="138">
                  <c:v>19119</c:v>
                </c:pt>
                <c:pt idx="139">
                  <c:v>43999</c:v>
                </c:pt>
                <c:pt idx="140">
                  <c:v>10825</c:v>
                </c:pt>
                <c:pt idx="141">
                  <c:v>40323</c:v>
                </c:pt>
                <c:pt idx="142">
                  <c:v>48270</c:v>
                </c:pt>
                <c:pt idx="143">
                  <c:v>18001</c:v>
                </c:pt>
                <c:pt idx="144">
                  <c:v>3314</c:v>
                </c:pt>
                <c:pt idx="145">
                  <c:v>23489</c:v>
                </c:pt>
                <c:pt idx="146">
                  <c:v>42832</c:v>
                </c:pt>
                <c:pt idx="147">
                  <c:v>24494</c:v>
                </c:pt>
                <c:pt idx="148">
                  <c:v>44097</c:v>
                </c:pt>
                <c:pt idx="149">
                  <c:v>31853</c:v>
                </c:pt>
                <c:pt idx="150">
                  <c:v>37636</c:v>
                </c:pt>
                <c:pt idx="151">
                  <c:v>22996</c:v>
                </c:pt>
                <c:pt idx="152">
                  <c:v>49772</c:v>
                </c:pt>
                <c:pt idx="153">
                  <c:v>22713</c:v>
                </c:pt>
                <c:pt idx="154">
                  <c:v>8718</c:v>
                </c:pt>
                <c:pt idx="155">
                  <c:v>39031</c:v>
                </c:pt>
                <c:pt idx="156">
                  <c:v>33799</c:v>
                </c:pt>
                <c:pt idx="157">
                  <c:v>20553</c:v>
                </c:pt>
                <c:pt idx="158">
                  <c:v>10002</c:v>
                </c:pt>
                <c:pt idx="159">
                  <c:v>30987</c:v>
                </c:pt>
                <c:pt idx="160">
                  <c:v>6296</c:v>
                </c:pt>
                <c:pt idx="161">
                  <c:v>21539</c:v>
                </c:pt>
                <c:pt idx="162">
                  <c:v>14722</c:v>
                </c:pt>
                <c:pt idx="163">
                  <c:v>11383</c:v>
                </c:pt>
                <c:pt idx="164">
                  <c:v>9480</c:v>
                </c:pt>
                <c:pt idx="165">
                  <c:v>29116</c:v>
                </c:pt>
                <c:pt idx="166">
                  <c:v>14068</c:v>
                </c:pt>
                <c:pt idx="167">
                  <c:v>35801</c:v>
                </c:pt>
                <c:pt idx="168">
                  <c:v>49077</c:v>
                </c:pt>
                <c:pt idx="169">
                  <c:v>21453</c:v>
                </c:pt>
                <c:pt idx="170">
                  <c:v>21061</c:v>
                </c:pt>
                <c:pt idx="171">
                  <c:v>20059</c:v>
                </c:pt>
                <c:pt idx="172">
                  <c:v>23140</c:v>
                </c:pt>
                <c:pt idx="173">
                  <c:v>23461</c:v>
                </c:pt>
                <c:pt idx="174">
                  <c:v>11805</c:v>
                </c:pt>
                <c:pt idx="175">
                  <c:v>15969</c:v>
                </c:pt>
                <c:pt idx="176">
                  <c:v>2436</c:v>
                </c:pt>
                <c:pt idx="177">
                  <c:v>47603</c:v>
                </c:pt>
                <c:pt idx="178">
                  <c:v>42964</c:v>
                </c:pt>
                <c:pt idx="179">
                  <c:v>39923</c:v>
                </c:pt>
                <c:pt idx="180">
                  <c:v>2293</c:v>
                </c:pt>
                <c:pt idx="181">
                  <c:v>25920</c:v>
                </c:pt>
                <c:pt idx="182">
                  <c:v>11035</c:v>
                </c:pt>
                <c:pt idx="183">
                  <c:v>20733</c:v>
                </c:pt>
                <c:pt idx="184">
                  <c:v>18693</c:v>
                </c:pt>
                <c:pt idx="185">
                  <c:v>7875</c:v>
                </c:pt>
                <c:pt idx="186">
                  <c:v>8471</c:v>
                </c:pt>
                <c:pt idx="187">
                  <c:v>14090</c:v>
                </c:pt>
                <c:pt idx="188">
                  <c:v>14216</c:v>
                </c:pt>
                <c:pt idx="189">
                  <c:v>3582</c:v>
                </c:pt>
                <c:pt idx="190">
                  <c:v>32500</c:v>
                </c:pt>
                <c:pt idx="191">
                  <c:v>6832</c:v>
                </c:pt>
                <c:pt idx="192">
                  <c:v>33381</c:v>
                </c:pt>
                <c:pt idx="193">
                  <c:v>48419</c:v>
                </c:pt>
                <c:pt idx="194">
                  <c:v>16149</c:v>
                </c:pt>
                <c:pt idx="195">
                  <c:v>7541</c:v>
                </c:pt>
                <c:pt idx="196">
                  <c:v>20042</c:v>
                </c:pt>
                <c:pt idx="197">
                  <c:v>49400</c:v>
                </c:pt>
                <c:pt idx="198">
                  <c:v>4007</c:v>
                </c:pt>
                <c:pt idx="199">
                  <c:v>12174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3B-455C-A57D-248303B70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73647"/>
        <c:axId val="68370767"/>
      </c:scatterChart>
      <c:valAx>
        <c:axId val="6837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 Follower 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0767"/>
        <c:crosses val="autoZero"/>
        <c:crossBetween val="midCat"/>
      </c:valAx>
      <c:valAx>
        <c:axId val="6837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73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86770</xdr:colOff>
      <xdr:row>19</xdr:row>
      <xdr:rowOff>124691</xdr:rowOff>
    </xdr:from>
    <xdr:to>
      <xdr:col>31</xdr:col>
      <xdr:colOff>446313</xdr:colOff>
      <xdr:row>59</xdr:row>
      <xdr:rowOff>41563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95AFB1-1FEF-406A-9E52-FBA3E13938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119767</xdr:colOff>
      <xdr:row>0</xdr:row>
      <xdr:rowOff>30551</xdr:rowOff>
    </xdr:from>
    <xdr:to>
      <xdr:col>15</xdr:col>
      <xdr:colOff>460461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69327C-9EAD-3894-44CD-ADD006A42E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31376</xdr:colOff>
      <xdr:row>9</xdr:row>
      <xdr:rowOff>169881</xdr:rowOff>
    </xdr:from>
    <xdr:to>
      <xdr:col>8</xdr:col>
      <xdr:colOff>16136</xdr:colOff>
      <xdr:row>27</xdr:row>
      <xdr:rowOff>8965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F7B128-C8AC-FE68-5FB3-F5ABCAA92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580465</xdr:colOff>
      <xdr:row>10</xdr:row>
      <xdr:rowOff>5828</xdr:rowOff>
    </xdr:from>
    <xdr:to>
      <xdr:col>14</xdr:col>
      <xdr:colOff>17929</xdr:colOff>
      <xdr:row>26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A07C42-09E6-6F8D-260C-E10A61837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260684</xdr:colOff>
      <xdr:row>11</xdr:row>
      <xdr:rowOff>85023</xdr:rowOff>
    </xdr:from>
    <xdr:to>
      <xdr:col>13</xdr:col>
      <xdr:colOff>428324</xdr:colOff>
      <xdr:row>26</xdr:row>
      <xdr:rowOff>85023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334A91-8C04-41F4-7E47-603F2A279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449580</xdr:colOff>
      <xdr:row>9</xdr:row>
      <xdr:rowOff>106680</xdr:rowOff>
    </xdr:from>
    <xdr:to>
      <xdr:col>9</xdr:col>
      <xdr:colOff>571500</xdr:colOff>
      <xdr:row>24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AF1164-D4E0-B5C3-D9E8-B4C0A80F18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167640</xdr:colOff>
      <xdr:row>1</xdr:row>
      <xdr:rowOff>144780</xdr:rowOff>
    </xdr:from>
    <xdr:to>
      <xdr:col>20</xdr:col>
      <xdr:colOff>208410</xdr:colOff>
      <xdr:row>20</xdr:row>
      <xdr:rowOff>104206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F392C5-F2FB-1AE4-B100-6A93ADFE8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2</xdr:row>
      <xdr:rowOff>30480</xdr:rowOff>
    </xdr:from>
    <xdr:to>
      <xdr:col>14</xdr:col>
      <xdr:colOff>495300</xdr:colOff>
      <xdr:row>18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1135A6-2BFB-4A18-8776-D75F93B8A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11430</xdr:rowOff>
    </xdr:from>
    <xdr:to>
      <xdr:col>17</xdr:col>
      <xdr:colOff>381000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FD88B5-13F0-F1DD-2F18-EE5CC4E3A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tesh Singh Rathore" refreshedDate="46031.766339814814" createdVersion="8" refreshedVersion="8" minRefreshableVersion="3" recordCount="300" xr:uid="{C1810A5E-EBEA-4E8D-98BA-C39FEC91B363}">
  <cacheSource type="worksheet">
    <worksheetSource name="Table1"/>
  </cacheSource>
  <cacheFields count="16">
    <cacheField name="Post ID" numFmtId="0">
      <sharedItems/>
    </cacheField>
    <cacheField name="Platform" numFmtId="0">
      <sharedItems count="4">
        <s v="X"/>
        <s v="YouTube"/>
        <s v="Instagram"/>
        <s v="Facebook"/>
      </sharedItems>
    </cacheField>
    <cacheField name="Date" numFmtId="164">
      <sharedItems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 count="191">
        <n v="15"/>
        <n v="117"/>
        <n v="204"/>
        <n v="128"/>
        <n v="224"/>
        <n v="256"/>
        <n v="235"/>
        <n v="39"/>
        <n v="131"/>
        <n v="167"/>
        <n v="65"/>
        <n v="213"/>
        <n v="114"/>
        <n v="265"/>
        <n v="20"/>
        <n v="87"/>
        <n v="159"/>
        <n v="19"/>
        <n v="103"/>
        <n v="25"/>
        <n v="83"/>
        <n v="133"/>
        <n v="225"/>
        <n v="161"/>
        <n v="238"/>
        <n v="211"/>
        <n v="51"/>
        <n v="79"/>
        <n v="221"/>
        <n v="93"/>
        <n v="282"/>
        <n v="275"/>
        <n v="113"/>
        <n v="215"/>
        <n v="271"/>
        <n v="31"/>
        <n v="36"/>
        <n v="92"/>
        <n v="299"/>
        <n v="205"/>
        <n v="241"/>
        <n v="137"/>
        <n v="216"/>
        <n v="176"/>
        <n v="97"/>
        <n v="127"/>
        <n v="119"/>
        <n v="177"/>
        <n v="112"/>
        <n v="34"/>
        <n v="11"/>
        <n v="52"/>
        <n v="123"/>
        <n v="60"/>
        <n v="169"/>
        <n v="262"/>
        <n v="174"/>
        <n v="84"/>
        <n v="148"/>
        <n v="125"/>
        <n v="75"/>
        <n v="289"/>
        <n v="184"/>
        <n v="100"/>
        <n v="73"/>
        <n v="149"/>
        <n v="43"/>
        <n v="227"/>
        <n v="88"/>
        <n v="255"/>
        <n v="99"/>
        <n v="63"/>
        <n v="21"/>
        <n v="266"/>
        <n v="28"/>
        <n v="283"/>
        <n v="200"/>
        <n v="230"/>
        <n v="242"/>
        <n v="197"/>
        <n v="180"/>
        <n v="297"/>
        <n v="236"/>
        <n v="150"/>
        <n v="46"/>
        <n v="163"/>
        <n v="17"/>
        <n v="173"/>
        <n v="12"/>
        <n v="223"/>
        <n v="212"/>
        <n v="199"/>
        <n v="32"/>
        <n v="298"/>
        <n v="182"/>
        <n v="209"/>
        <n v="270"/>
        <n v="40"/>
        <n v="10"/>
        <n v="44"/>
        <n v="219"/>
        <n v="57"/>
        <n v="91"/>
        <n v="185"/>
        <n v="264"/>
        <n v="157"/>
        <n v="233"/>
        <n v="142"/>
        <n v="158"/>
        <n v="102"/>
        <n v="170"/>
        <n v="22"/>
        <n v="186"/>
        <n v="272"/>
        <n v="130"/>
        <n v="277"/>
        <n v="234"/>
        <n v="147"/>
        <n v="240"/>
        <n v="66"/>
        <n v="143"/>
        <n v="76"/>
        <n v="290"/>
        <n v="122"/>
        <n v="47"/>
        <n v="64"/>
        <n v="187"/>
        <n v="245"/>
        <n v="120"/>
        <n v="132"/>
        <n v="104"/>
        <n v="53"/>
        <n v="38"/>
        <n v="246"/>
        <n v="229"/>
        <n v="154"/>
        <n v="292"/>
        <n v="239"/>
        <n v="208"/>
        <n v="251"/>
        <n v="71"/>
        <n v="300"/>
        <n v="192"/>
        <n v="145"/>
        <n v="195"/>
        <n v="85"/>
        <n v="49"/>
        <n v="288"/>
        <n v="286"/>
        <n v="198"/>
        <n v="171"/>
        <n v="129"/>
        <n v="135"/>
        <n v="287"/>
        <n v="248"/>
        <n v="89"/>
        <n v="56"/>
        <n v="23"/>
        <n v="252"/>
        <n v="164"/>
        <n v="118"/>
        <n v="121"/>
        <n v="217"/>
        <n v="201"/>
        <n v="249"/>
        <n v="42"/>
        <n v="194"/>
        <n v="210"/>
        <n v="160"/>
        <n v="254"/>
        <n v="189"/>
        <n v="226"/>
        <n v="172"/>
        <n v="237"/>
        <n v="293"/>
        <n v="41"/>
        <n v="62"/>
        <n v="269"/>
        <n v="45"/>
        <n v="296"/>
        <n v="58"/>
        <n v="279"/>
        <n v="30"/>
        <n v="231"/>
        <n v="228"/>
        <n v="82"/>
        <n v="191"/>
        <n v="35"/>
        <n v="24"/>
        <n v="14"/>
        <n v="70"/>
      </sharedItems>
    </cacheField>
    <cacheField name="Hashtags Used" numFmtId="0">
      <sharedItems count="3">
        <s v="#LiveForNow"/>
        <s v="#PepsiCoRefresh"/>
        <s v="#ThirstyForMore"/>
      </sharedItems>
    </cacheField>
    <cacheField name="Hastags 2" numFmtId="0">
      <sharedItems count="6">
        <s v="#AnytimeIsPepsiTime"/>
        <s v="#BetterWithPepsi"/>
        <s v="N/A"/>
        <s v="#PepsiCoRefresh"/>
        <s v="#SmoothLikeNitroPepsi"/>
        <s v="#ThirstyForMore"/>
      </sharedItems>
    </cacheField>
    <cacheField name="Hastags 3" numFmtId="0">
      <sharedItems count="4">
        <s v="N/A"/>
        <s v="#AnytimeIsPepsiTime"/>
        <s v="#ThirstyForMore"/>
        <s v="#BetterWithPepsi"/>
      </sharedItems>
    </cacheField>
    <cacheField name="Campaign_Name" numFmtId="0">
      <sharedItems count="5">
        <s v="SummerSplash"/>
        <s v="FestiveRadiance"/>
        <s v="NewYearRefresh"/>
        <s v="DailyWellness"/>
        <s v="N/A"/>
      </sharedItems>
    </cacheField>
    <cacheField name="Engagement_Rate" numFmtId="2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tesh Singh Rathore" refreshedDate="46032.942762847226" createdVersion="8" refreshedVersion="8" minRefreshableVersion="3" recordCount="339" xr:uid="{2BF09A34-2753-4D9F-A7E7-68D1E8E48071}">
  <cacheSource type="worksheet">
    <worksheetSource ref="A1:B340" sheet="Task2.3 Hastage_Table"/>
  </cacheSource>
  <cacheFields count="2">
    <cacheField name="Hashtags Used" numFmtId="0">
      <sharedItems count="6">
        <s v="#LiveForNow"/>
        <s v="#PepsiCoRefresh"/>
        <s v="#ThirstyForMore"/>
        <s v="#AnytimeIsPepsiTime"/>
        <s v="#BetterWithPepsi"/>
        <s v="#SmoothLikeNitroPepsi"/>
      </sharedItems>
    </cacheField>
    <cacheField name="Clicks" numFmtId="0">
      <sharedItems containsSemiMixedTypes="0" containsString="0" containsNumber="1" containsInteger="1" minValue="10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tesh Singh Rathore" refreshedDate="46039.976184143517" createdVersion="8" refreshedVersion="8" minRefreshableVersion="3" recordCount="200" xr:uid="{F5378D88-DD31-4473-B7D0-3970EF10D205}">
  <cacheSource type="worksheet">
    <worksheetSource ref="A1:G201" sheet="Engagement Summary"/>
  </cacheSource>
  <cacheFields count="7">
    <cacheField name="Week_Start_Date" numFmtId="0">
      <sharedItems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tesh Singh Rathore" refreshedDate="46039.997427199072" createdVersion="8" refreshedVersion="8" minRefreshableVersion="3" recordCount="200" xr:uid="{2A9070EB-D8E7-435B-8DC4-F387C74C7807}">
  <cacheSource type="worksheet">
    <worksheetSource ref="A1:G201" sheet="Task3_Social Media Platform ana"/>
  </cacheSource>
  <cacheFields count="7">
    <cacheField name="Platform" numFmtId="0">
      <sharedItems count="5">
        <s v="YouTube"/>
        <s v="Facebook"/>
        <s v="X"/>
        <s v="Instagram"/>
        <s v="Twitter" u="1"/>
      </sharedItems>
    </cacheField>
    <cacheField name="New_Followers" numFmtId="2">
      <sharedItems containsSemiMixedTypes="0" containsString="0" containsNumber="1" containsInteger="1" minValue="115" maxValue="1980"/>
    </cacheField>
    <cacheField name="Unfollows" numFmtId="2">
      <sharedItems containsSemiMixedTypes="0" containsString="0" containsNumber="1" containsInteger="1" minValue="20" maxValue="498"/>
    </cacheField>
    <cacheField name="Total_Followers" numFmtId="2">
      <sharedItems containsSemiMixedTypes="0" containsString="0" containsNumber="1" containsInteger="1" minValue="11435" maxValue="496982"/>
    </cacheField>
    <cacheField name="Engagement_Rate" numFmtId="2">
      <sharedItems containsSemiMixedTypes="0" containsString="0" containsNumber="1" minValue="1.53" maxValue="9.48"/>
    </cacheField>
    <cacheField name="Ad_Spend" numFmtId="1">
      <sharedItems containsSemiMixedTypes="0" containsString="0" containsNumber="1" containsInteger="1" minValue="1083" maxValue="49772"/>
    </cacheField>
    <cacheField name=" Growth_Rates" numFmtId="10">
      <sharedItems containsSemiMixedTypes="0" containsString="0" containsNumber="1" minValue="-4.0819787301048958E-3" maxValue="0.108251142650950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tesh Singh Rathore" refreshedDate="46040.042692708332" createdVersion="8" refreshedVersion="8" minRefreshableVersion="3" recordCount="336" xr:uid="{CA183BFD-92F2-43C6-8C61-3ADC43E2E187}">
  <cacheSource type="worksheet">
    <worksheetSource ref="A1:C337" sheet="Task4_Hashtag &amp; Content Strateg"/>
  </cacheSource>
  <cacheFields count="3">
    <cacheField name="Hashtags Used" numFmtId="0">
      <sharedItems count="6">
        <s v="#ThirstyForMore"/>
        <s v="#PepsiCoRefresh"/>
        <s v="#LiveForNow"/>
        <s v="#AnytimeIsPepsiTime"/>
        <s v="#SmoothLikeNitroPepsi"/>
        <s v="#BetterWithPepsi"/>
      </sharedItems>
    </cacheField>
    <cacheField name="Likes" numFmtId="1">
      <sharedItems containsSemiMixedTypes="0" containsString="0" containsNumber="1" containsInteger="1" minValue="53" maxValue="4941"/>
    </cacheField>
    <cacheField name="Comments" numFmtId="1">
      <sharedItems containsSemiMixedTypes="0" containsString="0" containsNumber="1" containsInteger="1" minValue="7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tesh Singh Rathore" refreshedDate="46041.569554513888" createdVersion="8" refreshedVersion="8" minRefreshableVersion="3" recordCount="300" xr:uid="{0F13D1BE-5101-4D35-AEF4-BFEFAF9CD16E}">
  <cacheSource type="worksheet">
    <worksheetSource ref="A1:H301" sheet="Task5.3_Campaign_ROI"/>
  </cacheSource>
  <cacheFields count="8">
    <cacheField name="Campaign_Name" numFmtId="0">
      <sharedItems count="5">
        <s v="NewYearRefresh"/>
        <s v="DailyWellness"/>
        <s v="FestiveRadiance"/>
        <s v="N/A"/>
        <s v="SummerSplash"/>
      </sharedItems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Total Budget" numFmtId="0">
      <sharedItems containsMixedTypes="1" containsNumber="1" containsInteger="1" minValue="150000" maxValue="250000"/>
    </cacheField>
    <cacheField name="Engagement_rate" numFmtId="0">
      <sharedItems containsMixedTypes="1" containsNumber="1" minValue="5.2551586421122697E-2" maxValue="1.8129251700680271"/>
    </cacheField>
    <cacheField name="ROI" numFmtId="0">
      <sharedItems containsMixedTypes="1" containsNumber="1" minValue="1.575E-3" maxValue="4.185333333333333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tesh Singh Rathore" refreshedDate="46041.641863888886" createdVersion="8" refreshedVersion="8" minRefreshableVersion="3" recordCount="200" xr:uid="{A039B9D6-B84C-46D6-8E84-35705413D5AD}">
  <cacheSource type="worksheet">
    <worksheetSource ref="A1:D201" sheet="Task5.4 campaign_strongest foll"/>
  </cacheSource>
  <cacheFields count="4">
    <cacheField name="Campaign_Name" numFmtId="0">
      <sharedItems count="4">
        <s v="SummerSplash"/>
        <s v="FestiveRadiance"/>
        <s v="NewYearRefresh"/>
        <s v="DailyWellness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Net_follower_Gain" numFmtId="0">
      <sharedItems containsSemiMixedTypes="0" containsString="0" containsNumber="1" containsInteger="1" minValue="-337" maxValue="18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tesh Singh Rathore" refreshedDate="46041.669405324072" createdVersion="8" refreshedVersion="8" minRefreshableVersion="3" recordCount="200" xr:uid="{89CB4EE7-FA04-40C2-A94C-78A1B9BF4EF2}">
  <cacheSource type="worksheet">
    <worksheetSource name="Table12"/>
  </cacheSource>
  <cacheFields count="5">
    <cacheField name="Week_Start_Date" numFmtId="0">
      <sharedItems count="50">
        <s v="2025-05-05"/>
        <s v="2024-10-07"/>
        <s v="2024-07-15"/>
        <s v="2024-12-30"/>
        <s v="2024-12-09"/>
        <s v="2025-02-10"/>
        <s v="2025-01-13"/>
        <s v="2025-02-24"/>
        <s v="2024-09-30"/>
        <s v="2024-12-02"/>
        <s v="2024-11-25"/>
        <s v="2024-09-23"/>
        <s v="2025-03-31"/>
        <s v="2024-07-08"/>
        <s v="2024-06-24"/>
        <s v="2024-08-19"/>
        <s v="2024-10-28"/>
        <s v="2025-05-12"/>
        <s v="2025-04-21"/>
        <s v="2024-08-26"/>
        <s v="2024-11-04"/>
        <s v="2025-02-17"/>
        <s v="2024-12-23"/>
        <s v="2024-09-09"/>
        <s v="2025-01-20"/>
        <s v="2025-04-28"/>
        <s v="2024-07-29"/>
        <s v="2024-10-21"/>
        <s v="2024-12-16"/>
        <s v="2025-01-27"/>
        <s v="2025-03-17"/>
        <s v="2024-06-17"/>
        <s v="2024-07-01"/>
        <s v="2025-03-10"/>
        <s v="2024-08-12"/>
        <s v="2024-07-22"/>
        <s v="2025-03-03"/>
        <s v="2024-06-10"/>
        <s v="2024-09-02"/>
        <s v="2024-10-14"/>
        <s v="2025-01-06"/>
        <s v="2024-11-11"/>
        <s v="2024-09-16"/>
        <s v="2024-06-03"/>
        <s v="2025-02-03"/>
        <s v="2025-04-07"/>
        <s v="2025-03-24"/>
        <s v="2024-11-18"/>
        <s v="2024-08-05"/>
        <s v="2025-04-14"/>
      </sharedItems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Net_follower_Gain" numFmtId="0">
      <sharedItems containsSemiMixedTypes="0" containsString="0" containsNumber="1" containsInteger="1" minValue="-337" maxValue="18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tesh Singh Rathore" refreshedDate="46043.813790972221" createdVersion="8" refreshedVersion="8" minRefreshableVersion="3" recordCount="300" xr:uid="{EAE74298-CDBC-4DE6-B0AE-4CA9E532FB03}">
  <cacheSource type="worksheet">
    <worksheetSource ref="A4:K304" sheet="Task5.2Engagement_uplift"/>
  </cacheSource>
  <cacheFields count="11">
    <cacheField name="Date" numFmtId="0">
      <sharedItems count="198">
        <s v="2024-12-22"/>
        <s v="2025-03-07"/>
        <s v="2025-02-04"/>
        <s v="2024-10-05"/>
        <s v="2024-06-03"/>
        <s v="2024-10-12"/>
        <s v="2025-01-30"/>
        <s v="2024-07-15"/>
        <s v="2024-08-22"/>
        <s v="2025-03-28"/>
        <s v="2024-06-02"/>
        <s v="2025-02-19"/>
        <s v="2024-11-21"/>
        <s v="2024-10-19"/>
        <s v="2024-12-23"/>
        <s v="2024-12-16"/>
        <s v="2024-08-15"/>
        <s v="2024-11-26"/>
        <s v="2024-09-02"/>
        <s v="2024-07-31"/>
        <s v="2025-05-14"/>
        <s v="2024-11-30"/>
        <s v="2024-06-11"/>
        <s v="2024-11-29"/>
        <s v="2024-11-28"/>
        <s v="2025-01-28"/>
        <s v="2024-07-29"/>
        <s v="2025-04-13"/>
        <s v="2024-10-09"/>
        <s v="2024-06-20"/>
        <s v="2025-02-16"/>
        <s v="2024-08-24"/>
        <s v="2024-10-02"/>
        <s v="2025-04-15"/>
        <s v="2025-04-17"/>
        <s v="2024-10-31"/>
        <s v="2024-08-01"/>
        <s v="2024-12-09"/>
        <s v="2024-07-18"/>
        <s v="2024-11-12"/>
        <s v="2024-07-28"/>
        <s v="2025-05-01"/>
        <s v="2024-06-22"/>
        <s v="2025-03-08"/>
        <s v="2024-09-18"/>
        <s v="2024-08-14"/>
        <s v="2025-01-27"/>
        <s v="2025-05-11"/>
        <s v="2025-03-05"/>
        <s v="2025-01-15"/>
        <s v="2024-08-31"/>
        <s v="2024-10-22"/>
        <s v="2025-03-21"/>
        <s v="2024-11-07"/>
        <s v="2025-04-06"/>
        <s v="2024-11-17"/>
        <s v="2025-04-10"/>
        <s v="2025-01-18"/>
        <s v="2024-10-21"/>
        <s v="2025-05-06"/>
        <s v="2024-06-24"/>
        <s v="2025-03-29"/>
        <s v="2024-09-08"/>
        <s v="2025-04-07"/>
        <s v="2024-09-17"/>
        <s v="2025-04-19"/>
        <s v="2024-12-11"/>
        <s v="2024-12-05"/>
        <s v="2024-09-25"/>
        <s v="2025-04-03"/>
        <s v="2024-06-13"/>
        <s v="2024-11-06"/>
        <s v="2025-01-14"/>
        <s v="2024-06-26"/>
        <s v="2024-09-11"/>
        <s v="2025-01-31"/>
        <s v="2025-03-03"/>
        <s v="2024-11-04"/>
        <s v="2025-03-27"/>
        <s v="2024-06-12"/>
        <s v="2025-03-02"/>
        <s v="2025-03-26"/>
        <s v="2024-07-21"/>
        <s v="2025-02-02"/>
        <s v="2025-01-01"/>
        <s v="2025-04-05"/>
        <s v="2024-07-07"/>
        <s v="2025-02-11"/>
        <s v="2025-03-25"/>
        <s v="2024-12-17"/>
        <s v="2024-08-27"/>
        <s v="2024-08-03"/>
        <s v="2025-05-12"/>
        <s v="2025-04-29"/>
        <s v="2024-06-05"/>
        <s v="2024-07-24"/>
        <s v="2025-03-23"/>
        <s v="2024-06-06"/>
        <s v="2024-10-17"/>
        <s v="2024-07-01"/>
        <s v="2024-08-19"/>
        <s v="2025-03-24"/>
        <s v="2024-12-20"/>
        <s v="2024-07-23"/>
        <s v="2025-03-04"/>
        <s v="2024-07-26"/>
        <s v="2024-06-21"/>
        <s v="2025-01-10"/>
        <s v="2025-01-12"/>
        <s v="2024-06-10"/>
        <s v="2024-11-01"/>
        <s v="2024-07-02"/>
        <s v="2024-08-05"/>
        <s v="2025-04-24"/>
        <s v="2024-10-27"/>
        <s v="2025-02-27"/>
        <s v="2024-08-08"/>
        <s v="2025-03-11"/>
        <s v="2025-05-13"/>
        <s v="2024-11-08"/>
        <s v="2025-01-23"/>
        <s v="2024-10-11"/>
        <s v="2025-05-05"/>
        <s v="2024-09-14"/>
        <s v="2024-06-14"/>
        <s v="2025-05-09"/>
        <s v="2025-01-17"/>
        <s v="2024-11-22"/>
        <s v="2024-10-29"/>
        <s v="2024-08-26"/>
        <s v="2024-10-04"/>
        <s v="2024-12-21"/>
        <s v="2024-08-12"/>
        <s v="2024-12-14"/>
        <s v="2024-06-07"/>
        <s v="2025-03-22"/>
        <s v="2025-04-08"/>
        <s v="2025-03-18"/>
        <s v="2024-08-30"/>
        <s v="2024-07-11"/>
        <s v="2024-12-29"/>
        <s v="2025-02-24"/>
        <s v="2024-10-28"/>
        <s v="2024-09-10"/>
        <s v="2024-06-17"/>
        <s v="2024-08-07"/>
        <s v="2025-04-01"/>
        <s v="2024-07-03"/>
        <s v="2025-02-07"/>
        <s v="2024-11-18"/>
        <s v="2024-08-21"/>
        <s v="2024-10-15"/>
        <s v="2024-06-23"/>
        <s v="2025-05-02"/>
        <s v="2025-02-10"/>
        <s v="2025-02-25"/>
        <s v="2024-11-25"/>
        <s v="2024-06-19"/>
        <s v="2024-10-18"/>
        <s v="2025-02-17"/>
        <s v="2024-12-19"/>
        <s v="2024-12-03"/>
        <s v="2025-01-04"/>
        <s v="2024-06-16"/>
        <s v="2024-08-17"/>
        <s v="2024-12-08"/>
        <s v="2025-01-11"/>
        <s v="2024-09-05"/>
        <s v="2025-04-28"/>
        <s v="2024-10-25"/>
        <s v="2024-12-18"/>
        <s v="2025-03-13"/>
        <s v="2024-07-10"/>
        <s v="2025-03-19"/>
        <s v="2025-04-22"/>
        <s v="2024-11-05"/>
        <s v="2024-11-14"/>
        <s v="2025-04-02"/>
        <s v="2024-07-16"/>
        <s v="2024-06-01"/>
        <s v="2025-02-20"/>
        <s v="2024-11-23"/>
        <s v="2024-10-08"/>
        <s v="2024-07-13"/>
        <s v="2024-12-31"/>
        <s v="2025-01-06"/>
        <s v="2024-08-13"/>
        <s v="2025-01-03"/>
        <s v="2025-03-06"/>
        <s v="2024-10-03"/>
        <s v="2024-08-11"/>
        <s v="2025-02-06"/>
        <s v="2024-09-09"/>
        <s v="2024-12-24"/>
        <s v="2024-09-29"/>
        <s v="2024-08-20"/>
        <s v="2024-10-24"/>
        <s v="2025-02-12"/>
      </sharedItems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Campaign_Name" numFmtId="0">
      <sharedItems count="5">
        <s v="SummerSplash"/>
        <s v="FestiveRadiance"/>
        <s v="NewYearRefresh"/>
        <s v="N/A"/>
        <s v="DailyWellness"/>
      </sharedItems>
    </cacheField>
    <cacheField name="Engagement_Rate" numFmtId="10">
      <sharedItems containsSemiMixedTypes="0" containsString="0" containsNumber="1" minValue="5.2551586421122697E-2" maxValue="1.8129251700680271"/>
    </cacheField>
    <cacheField name="Period" numFmtId="0">
      <sharedItems/>
    </cacheField>
    <cacheField name="Avg_Before" numFmtId="2">
      <sharedItems containsSemiMixedTypes="0" containsString="0" containsNumber="1" minValue="0" maxValue="0.19310344827586207"/>
    </cacheField>
    <cacheField name="Avg_During" numFmtId="2">
      <sharedItems containsMixedTypes="1" containsNumber="1" minValue="0" maxValue="0.48518407662376534"/>
    </cacheField>
    <cacheField name="Engagement_Uplift" numFmtId="10">
      <sharedItems containsMixedTypes="1" containsNumber="1" minValue="-0.57989049975137752" maxValue="2.65795966655198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s v="2024-12-23"/>
    <x v="0"/>
    <s v="Check out our latest reel on X!"/>
    <n v="1461"/>
    <n v="184"/>
    <n v="344"/>
    <n v="21915"/>
    <n v="21675"/>
    <x v="0"/>
    <x v="0"/>
    <x v="0"/>
    <x v="0"/>
    <x v="0"/>
    <n v="9.0759753593429152E-2"/>
  </r>
  <r>
    <s v="P002"/>
    <x v="0"/>
    <s v="2025-04-03"/>
    <x v="1"/>
    <s v="Check out our latest text on X!"/>
    <n v="4054"/>
    <n v="389"/>
    <n v="493"/>
    <n v="64864"/>
    <n v="64383"/>
    <x v="1"/>
    <x v="1"/>
    <x v="1"/>
    <x v="0"/>
    <x v="1"/>
    <n v="7.6097681302417369E-2"/>
  </r>
  <r>
    <s v="P003"/>
    <x v="1"/>
    <s v="2025-05-12"/>
    <x v="0"/>
    <s v="Check out our latest reel on youtube!"/>
    <n v="2795"/>
    <n v="105"/>
    <n v="49"/>
    <n v="53105"/>
    <n v="52307"/>
    <x v="2"/>
    <x v="1"/>
    <x v="2"/>
    <x v="0"/>
    <x v="2"/>
    <n v="5.5531494209584788E-2"/>
  </r>
  <r>
    <s v="P004"/>
    <x v="2"/>
    <s v="2024-08-12"/>
    <x v="2"/>
    <s v="Check out our latest story on instagram!"/>
    <n v="2404"/>
    <n v="363"/>
    <n v="138"/>
    <n v="19232"/>
    <n v="18636"/>
    <x v="3"/>
    <x v="2"/>
    <x v="2"/>
    <x v="0"/>
    <x v="3"/>
    <n v="0.15105033277870217"/>
  </r>
  <r>
    <s v="P005"/>
    <x v="1"/>
    <s v="2024-06-26"/>
    <x v="0"/>
    <s v="Check out our latest reel on youtube!"/>
    <n v="3557"/>
    <n v="687"/>
    <n v="424"/>
    <n v="71140"/>
    <n v="70701"/>
    <x v="4"/>
    <x v="2"/>
    <x v="3"/>
    <x v="0"/>
    <x v="0"/>
    <n v="6.5617093055946027E-2"/>
  </r>
  <r>
    <s v="P006"/>
    <x v="3"/>
    <s v="2024-10-31"/>
    <x v="3"/>
    <s v="Check out our latest carousel on facebook!"/>
    <n v="2945"/>
    <n v="930"/>
    <n v="355"/>
    <n v="23560"/>
    <n v="23275"/>
    <x v="5"/>
    <x v="1"/>
    <x v="2"/>
    <x v="0"/>
    <x v="1"/>
    <n v="0.17954159592529711"/>
  </r>
  <r>
    <s v="P007"/>
    <x v="0"/>
    <s v="2024-06-24"/>
    <x v="3"/>
    <s v="Check out our latest carousel on X!"/>
    <n v="3860"/>
    <n v="201"/>
    <n v="279"/>
    <n v="61760"/>
    <n v="61660"/>
    <x v="6"/>
    <x v="1"/>
    <x v="2"/>
    <x v="0"/>
    <x v="1"/>
    <n v="7.0272020725388601E-2"/>
  </r>
  <r>
    <s v="P008"/>
    <x v="1"/>
    <s v="2024-07-13"/>
    <x v="4"/>
    <s v="Check out our latest image on youtube!"/>
    <n v="3929"/>
    <n v="262"/>
    <n v="278"/>
    <n v="43219"/>
    <n v="42841"/>
    <x v="7"/>
    <x v="2"/>
    <x v="2"/>
    <x v="0"/>
    <x v="3"/>
    <n v="0.10340359564080613"/>
  </r>
  <r>
    <s v="P009"/>
    <x v="3"/>
    <s v="2024-08-30"/>
    <x v="1"/>
    <s v="Check out our latest text on facebook!"/>
    <n v="3784"/>
    <n v="808"/>
    <n v="404"/>
    <n v="56760"/>
    <n v="56343"/>
    <x v="8"/>
    <x v="1"/>
    <x v="2"/>
    <x v="0"/>
    <x v="1"/>
    <n v="8.8019732205778717E-2"/>
  </r>
  <r>
    <s v="P010"/>
    <x v="3"/>
    <s v="2025-03-11"/>
    <x v="4"/>
    <s v="Check out our latest image on facebook!"/>
    <n v="4241"/>
    <n v="902"/>
    <n v="47"/>
    <n v="72097"/>
    <n v="71598"/>
    <x v="9"/>
    <x v="1"/>
    <x v="2"/>
    <x v="0"/>
    <x v="1"/>
    <n v="7.198635172059864E-2"/>
  </r>
  <r>
    <s v="P011"/>
    <x v="2"/>
    <s v="2025-02-02"/>
    <x v="2"/>
    <s v="Check out our latest story on instagram!"/>
    <n v="1792"/>
    <n v="614"/>
    <n v="497"/>
    <n v="25088"/>
    <n v="24675"/>
    <x v="10"/>
    <x v="0"/>
    <x v="2"/>
    <x v="0"/>
    <x v="3"/>
    <n v="0.11571269132653061"/>
  </r>
  <r>
    <s v="P012"/>
    <x v="3"/>
    <s v="2024-07-21"/>
    <x v="0"/>
    <s v="Check out our latest reel on facebook!"/>
    <n v="1946"/>
    <n v="686"/>
    <n v="377"/>
    <n v="23352"/>
    <n v="22982"/>
    <x v="11"/>
    <x v="0"/>
    <x v="2"/>
    <x v="0"/>
    <x v="2"/>
    <n v="0.12885405960945528"/>
  </r>
  <r>
    <s v="P013"/>
    <x v="1"/>
    <s v="2024-11-18"/>
    <x v="3"/>
    <s v="Check out our latest carousel on youtube!"/>
    <n v="1171"/>
    <n v="286"/>
    <n v="231"/>
    <n v="22249"/>
    <n v="21282"/>
    <x v="12"/>
    <x v="2"/>
    <x v="2"/>
    <x v="0"/>
    <x v="0"/>
    <n v="7.5868578363072495E-2"/>
  </r>
  <r>
    <s v="P014"/>
    <x v="3"/>
    <s v="2025-02-16"/>
    <x v="2"/>
    <s v="Check out our latest story on facebook!"/>
    <n v="4242"/>
    <n v="555"/>
    <n v="131"/>
    <n v="33936"/>
    <n v="33802"/>
    <x v="13"/>
    <x v="0"/>
    <x v="2"/>
    <x v="0"/>
    <x v="4"/>
    <n v="0.14521452145214522"/>
  </r>
  <r>
    <s v="P015"/>
    <x v="3"/>
    <s v="2024-10-24"/>
    <x v="5"/>
    <s v="Check out our latest video on facebook!"/>
    <n v="3888"/>
    <n v="604"/>
    <n v="128"/>
    <n v="77760"/>
    <n v="77167"/>
    <x v="14"/>
    <x v="0"/>
    <x v="2"/>
    <x v="0"/>
    <x v="0"/>
    <n v="5.941358024691358E-2"/>
  </r>
  <r>
    <s v="P016"/>
    <x v="3"/>
    <s v="2024-08-26"/>
    <x v="1"/>
    <s v="Check out our latest text on facebook!"/>
    <n v="3452"/>
    <n v="377"/>
    <n v="360"/>
    <n v="55232"/>
    <n v="55075"/>
    <x v="15"/>
    <x v="0"/>
    <x v="2"/>
    <x v="0"/>
    <x v="2"/>
    <n v="7.5843713789107758E-2"/>
  </r>
  <r>
    <s v="P017"/>
    <x v="3"/>
    <s v="2025-05-05"/>
    <x v="1"/>
    <s v="Check out our latest text on facebook!"/>
    <n v="4441"/>
    <n v="511"/>
    <n v="70"/>
    <n v="53292"/>
    <n v="53082"/>
    <x v="16"/>
    <x v="2"/>
    <x v="2"/>
    <x v="0"/>
    <x v="3"/>
    <n v="9.4235532537716729E-2"/>
  </r>
  <r>
    <s v="P018"/>
    <x v="2"/>
    <s v="2024-08-19"/>
    <x v="0"/>
    <s v="Check out our latest reel on instagram!"/>
    <n v="3000"/>
    <n v="382"/>
    <n v="325"/>
    <n v="36000"/>
    <n v="35819"/>
    <x v="17"/>
    <x v="0"/>
    <x v="2"/>
    <x v="0"/>
    <x v="0"/>
    <n v="0.10297222222222223"/>
  </r>
  <r>
    <s v="P019"/>
    <x v="2"/>
    <s v="2024-06-23"/>
    <x v="5"/>
    <s v="Check out our latest video on instagram!"/>
    <n v="1071"/>
    <n v="519"/>
    <n v="22"/>
    <n v="16065"/>
    <n v="15865"/>
    <x v="18"/>
    <x v="1"/>
    <x v="2"/>
    <x v="0"/>
    <x v="3"/>
    <n v="0.10034235916588857"/>
  </r>
  <r>
    <s v="P020"/>
    <x v="2"/>
    <s v="2024-09-09"/>
    <x v="3"/>
    <s v="Check out our latest carousel on instagram!"/>
    <n v="4054"/>
    <n v="488"/>
    <n v="373"/>
    <n v="77026"/>
    <n v="76881"/>
    <x v="19"/>
    <x v="1"/>
    <x v="2"/>
    <x v="0"/>
    <x v="0"/>
    <n v="6.3809622724794221E-2"/>
  </r>
  <r>
    <s v="P021"/>
    <x v="2"/>
    <s v="2025-01-04"/>
    <x v="0"/>
    <s v="Check out our latest reel on instagram!"/>
    <n v="4838"/>
    <n v="640"/>
    <n v="128"/>
    <n v="72570"/>
    <n v="72396"/>
    <x v="20"/>
    <x v="0"/>
    <x v="2"/>
    <x v="0"/>
    <x v="3"/>
    <n v="7.7249552156538517E-2"/>
  </r>
  <r>
    <s v="P022"/>
    <x v="3"/>
    <s v="2025-02-27"/>
    <x v="1"/>
    <s v="Check out our latest text on facebook!"/>
    <n v="1570"/>
    <n v="187"/>
    <n v="260"/>
    <n v="25120"/>
    <n v="24613"/>
    <x v="21"/>
    <x v="1"/>
    <x v="2"/>
    <x v="0"/>
    <x v="3"/>
    <n v="8.0294585987261149E-2"/>
  </r>
  <r>
    <s v="P023"/>
    <x v="3"/>
    <s v="2024-11-06"/>
    <x v="5"/>
    <s v="Check out our latest video on facebook!"/>
    <n v="1606"/>
    <n v="547"/>
    <n v="316"/>
    <n v="32120"/>
    <n v="31736"/>
    <x v="22"/>
    <x v="1"/>
    <x v="0"/>
    <x v="0"/>
    <x v="1"/>
    <n v="7.6867995018679955E-2"/>
  </r>
  <r>
    <s v="P024"/>
    <x v="3"/>
    <s v="2025-01-23"/>
    <x v="5"/>
    <s v="Check out our latest video on facebook!"/>
    <n v="3961"/>
    <n v="761"/>
    <n v="131"/>
    <n v="67337"/>
    <n v="66615"/>
    <x v="23"/>
    <x v="0"/>
    <x v="2"/>
    <x v="0"/>
    <x v="2"/>
    <n v="7.2070332803659209E-2"/>
  </r>
  <r>
    <s v="P025"/>
    <x v="0"/>
    <s v="2025-04-10"/>
    <x v="3"/>
    <s v="Check out our latest carousel on X!"/>
    <n v="3128"/>
    <n v="211"/>
    <n v="197"/>
    <n v="59432"/>
    <n v="59182"/>
    <x v="24"/>
    <x v="2"/>
    <x v="2"/>
    <x v="0"/>
    <x v="4"/>
    <n v="5.9496567505720827E-2"/>
  </r>
  <r>
    <s v="P026"/>
    <x v="1"/>
    <s v="2025-04-05"/>
    <x v="0"/>
    <s v="Check out our latest reel on youtube!"/>
    <n v="3009"/>
    <n v="413"/>
    <n v="358"/>
    <n v="42126"/>
    <n v="41309"/>
    <x v="25"/>
    <x v="0"/>
    <x v="2"/>
    <x v="0"/>
    <x v="1"/>
    <n v="8.9730807577268201E-2"/>
  </r>
  <r>
    <s v="P027"/>
    <x v="1"/>
    <s v="2024-09-17"/>
    <x v="1"/>
    <s v="Check out our latest text on youtube!"/>
    <n v="2076"/>
    <n v="195"/>
    <n v="104"/>
    <n v="33216"/>
    <n v="32244"/>
    <x v="26"/>
    <x v="0"/>
    <x v="2"/>
    <x v="0"/>
    <x v="3"/>
    <n v="7.1501685934489398E-2"/>
  </r>
  <r>
    <s v="P028"/>
    <x v="2"/>
    <s v="2025-03-04"/>
    <x v="5"/>
    <s v="Check out our latest video on instagram!"/>
    <n v="432"/>
    <n v="624"/>
    <n v="123"/>
    <n v="6912"/>
    <n v="6259"/>
    <x v="27"/>
    <x v="0"/>
    <x v="2"/>
    <x v="0"/>
    <x v="3"/>
    <n v="0.17057291666666666"/>
  </r>
  <r>
    <s v="P029"/>
    <x v="2"/>
    <s v="2025-01-31"/>
    <x v="3"/>
    <s v="Check out our latest carousel on instagram!"/>
    <n v="2566"/>
    <n v="118"/>
    <n v="37"/>
    <n v="12830"/>
    <n v="12264"/>
    <x v="28"/>
    <x v="0"/>
    <x v="2"/>
    <x v="0"/>
    <x v="2"/>
    <n v="0.21208106001558846"/>
  </r>
  <r>
    <s v="P030"/>
    <x v="2"/>
    <s v="2025-02-25"/>
    <x v="5"/>
    <s v="Check out our latest video on instagram!"/>
    <n v="3095"/>
    <n v="39"/>
    <n v="78"/>
    <n v="55710"/>
    <n v="54808"/>
    <x v="29"/>
    <x v="2"/>
    <x v="2"/>
    <x v="0"/>
    <x v="4"/>
    <n v="5.7655717106444085E-2"/>
  </r>
  <r>
    <s v="P031"/>
    <x v="2"/>
    <s v="2024-12-16"/>
    <x v="1"/>
    <s v="Check out our latest text on instagram!"/>
    <n v="438"/>
    <n v="153"/>
    <n v="275"/>
    <n v="3066"/>
    <n v="2701"/>
    <x v="30"/>
    <x v="1"/>
    <x v="2"/>
    <x v="0"/>
    <x v="1"/>
    <n v="0.28245270711024134"/>
  </r>
  <r>
    <s v="P032"/>
    <x v="0"/>
    <s v="2024-07-31"/>
    <x v="3"/>
    <s v="Check out our latest carousel on X!"/>
    <n v="2278"/>
    <n v="10"/>
    <n v="321"/>
    <n v="13668"/>
    <n v="12676"/>
    <x v="31"/>
    <x v="2"/>
    <x v="2"/>
    <x v="0"/>
    <x v="0"/>
    <n v="0.19088381621305239"/>
  </r>
  <r>
    <s v="P033"/>
    <x v="3"/>
    <s v="2024-08-21"/>
    <x v="4"/>
    <s v="Check out our latest image on facebook!"/>
    <n v="1407"/>
    <n v="400"/>
    <n v="351"/>
    <n v="16884"/>
    <n v="15954"/>
    <x v="32"/>
    <x v="1"/>
    <x v="2"/>
    <x v="0"/>
    <x v="0"/>
    <n v="0.12781331438047855"/>
  </r>
  <r>
    <s v="P034"/>
    <x v="3"/>
    <s v="2025-03-26"/>
    <x v="1"/>
    <s v="Check out our latest text on facebook!"/>
    <n v="1652"/>
    <n v="89"/>
    <n v="357"/>
    <n v="29736"/>
    <n v="28771"/>
    <x v="33"/>
    <x v="1"/>
    <x v="2"/>
    <x v="0"/>
    <x v="2"/>
    <n v="7.055421038471886E-2"/>
  </r>
  <r>
    <s v="P035"/>
    <x v="2"/>
    <s v="2024-11-30"/>
    <x v="5"/>
    <s v="Check out our latest video on instagram!"/>
    <n v="3775"/>
    <n v="16"/>
    <n v="239"/>
    <n v="33975"/>
    <n v="33310"/>
    <x v="34"/>
    <x v="0"/>
    <x v="2"/>
    <x v="0"/>
    <x v="1"/>
    <n v="0.11861662987490802"/>
  </r>
  <r>
    <s v="P036"/>
    <x v="2"/>
    <s v="2025-04-19"/>
    <x v="2"/>
    <s v="Check out our latest story on instagram!"/>
    <n v="4518"/>
    <n v="285"/>
    <n v="383"/>
    <n v="67770"/>
    <n v="67621"/>
    <x v="35"/>
    <x v="2"/>
    <x v="2"/>
    <x v="0"/>
    <x v="1"/>
    <n v="7.6523535487678915E-2"/>
  </r>
  <r>
    <s v="P037"/>
    <x v="3"/>
    <s v="2025-01-06"/>
    <x v="3"/>
    <s v="Check out our latest carousel on facebook!"/>
    <n v="3024"/>
    <n v="925"/>
    <n v="350"/>
    <n v="24192"/>
    <n v="23518"/>
    <x v="36"/>
    <x v="2"/>
    <x v="2"/>
    <x v="0"/>
    <x v="1"/>
    <n v="0.17770337301587302"/>
  </r>
  <r>
    <s v="P038"/>
    <x v="1"/>
    <s v="2025-02-17"/>
    <x v="0"/>
    <s v="Check out our latest reel on youtube!"/>
    <n v="3138"/>
    <n v="123"/>
    <n v="291"/>
    <n v="28242"/>
    <n v="27550"/>
    <x v="15"/>
    <x v="1"/>
    <x v="2"/>
    <x v="0"/>
    <x v="3"/>
    <n v="0.12577012959422137"/>
  </r>
  <r>
    <s v="P039"/>
    <x v="3"/>
    <s v="2024-11-25"/>
    <x v="4"/>
    <s v="Check out our latest image on facebook!"/>
    <n v="3564"/>
    <n v="629"/>
    <n v="177"/>
    <n v="60588"/>
    <n v="59627"/>
    <x v="37"/>
    <x v="1"/>
    <x v="2"/>
    <x v="0"/>
    <x v="4"/>
    <n v="7.2126493695121141E-2"/>
  </r>
  <r>
    <s v="P040"/>
    <x v="0"/>
    <s v="2025-03-07"/>
    <x v="4"/>
    <s v="Check out our latest image on X!"/>
    <n v="4750"/>
    <n v="151"/>
    <n v="415"/>
    <n v="38000"/>
    <n v="37792"/>
    <x v="38"/>
    <x v="2"/>
    <x v="2"/>
    <x v="0"/>
    <x v="3"/>
    <n v="0.13989473684210527"/>
  </r>
  <r>
    <s v="P041"/>
    <x v="2"/>
    <s v="2025-03-08"/>
    <x v="0"/>
    <s v="Check out our latest reel on instagram!"/>
    <n v="456"/>
    <n v="629"/>
    <n v="428"/>
    <n v="8208"/>
    <n v="7377"/>
    <x v="39"/>
    <x v="0"/>
    <x v="2"/>
    <x v="0"/>
    <x v="3"/>
    <n v="0.18433235867446393"/>
  </r>
  <r>
    <s v="P042"/>
    <x v="1"/>
    <s v="2025-03-05"/>
    <x v="0"/>
    <s v="Check out our latest reel on youtube!"/>
    <n v="1543"/>
    <n v="820"/>
    <n v="333"/>
    <n v="12344"/>
    <n v="11496"/>
    <x v="40"/>
    <x v="2"/>
    <x v="2"/>
    <x v="0"/>
    <x v="4"/>
    <n v="0.21840570317563188"/>
  </r>
  <r>
    <s v="P043"/>
    <x v="2"/>
    <s v="2024-12-14"/>
    <x v="3"/>
    <s v="Check out our latest carousel on instagram!"/>
    <n v="2174"/>
    <n v="658"/>
    <n v="15"/>
    <n v="13044"/>
    <n v="12206"/>
    <x v="41"/>
    <x v="1"/>
    <x v="2"/>
    <x v="0"/>
    <x v="2"/>
    <n v="0.21826126954921804"/>
  </r>
  <r>
    <s v="P044"/>
    <x v="0"/>
    <s v="2025-03-02"/>
    <x v="4"/>
    <s v="Check out our latest image on X!"/>
    <n v="2358"/>
    <n v="784"/>
    <n v="344"/>
    <n v="35370"/>
    <n v="34475"/>
    <x v="42"/>
    <x v="1"/>
    <x v="2"/>
    <x v="0"/>
    <x v="4"/>
    <n v="9.8558100084817649E-2"/>
  </r>
  <r>
    <s v="P045"/>
    <x v="3"/>
    <s v="2024-11-01"/>
    <x v="5"/>
    <s v="Check out our latest video on facebook!"/>
    <n v="3371"/>
    <n v="106"/>
    <n v="327"/>
    <n v="50565"/>
    <n v="49816"/>
    <x v="43"/>
    <x v="0"/>
    <x v="2"/>
    <x v="0"/>
    <x v="0"/>
    <n v="7.5229902106199939E-2"/>
  </r>
  <r>
    <s v="P046"/>
    <x v="0"/>
    <s v="2025-05-02"/>
    <x v="5"/>
    <s v="Check out our latest video on X!"/>
    <n v="1108"/>
    <n v="177"/>
    <n v="212"/>
    <n v="8864"/>
    <n v="8710"/>
    <x v="44"/>
    <x v="1"/>
    <x v="2"/>
    <x v="0"/>
    <x v="3"/>
    <n v="0.16888537906137185"/>
  </r>
  <r>
    <s v="P047"/>
    <x v="0"/>
    <s v="2025-02-24"/>
    <x v="3"/>
    <s v="Check out our latest carousel on X!"/>
    <n v="2704"/>
    <n v="752"/>
    <n v="153"/>
    <n v="21632"/>
    <n v="20792"/>
    <x v="45"/>
    <x v="0"/>
    <x v="2"/>
    <x v="0"/>
    <x v="4"/>
    <n v="0.16683616863905326"/>
  </r>
  <r>
    <s v="P048"/>
    <x v="0"/>
    <s v="2025-03-11"/>
    <x v="2"/>
    <s v="Check out our latest story on X!"/>
    <n v="1950"/>
    <n v="295"/>
    <n v="478"/>
    <n v="37050"/>
    <n v="36272"/>
    <x v="46"/>
    <x v="1"/>
    <x v="2"/>
    <x v="0"/>
    <x v="4"/>
    <n v="7.349527665317139E-2"/>
  </r>
  <r>
    <s v="P049"/>
    <x v="0"/>
    <s v="2024-06-10"/>
    <x v="2"/>
    <s v="Check out our latest story on X!"/>
    <n v="2164"/>
    <n v="549"/>
    <n v="274"/>
    <n v="28132"/>
    <n v="27361"/>
    <x v="47"/>
    <x v="1"/>
    <x v="2"/>
    <x v="0"/>
    <x v="3"/>
    <n v="0.10617801791554102"/>
  </r>
  <r>
    <s v="P050"/>
    <x v="1"/>
    <s v="2024-07-03"/>
    <x v="2"/>
    <s v="Check out our latest story on youtube!"/>
    <n v="2754"/>
    <n v="130"/>
    <n v="90"/>
    <n v="22032"/>
    <n v="21288"/>
    <x v="48"/>
    <x v="1"/>
    <x v="2"/>
    <x v="0"/>
    <x v="2"/>
    <n v="0.13498547567175018"/>
  </r>
  <r>
    <s v="P051"/>
    <x v="3"/>
    <s v="2024-06-13"/>
    <x v="3"/>
    <s v="Check out our latest carousel on facebook!"/>
    <n v="2200"/>
    <n v="504"/>
    <n v="239"/>
    <n v="37400"/>
    <n v="36938"/>
    <x v="22"/>
    <x v="0"/>
    <x v="2"/>
    <x v="0"/>
    <x v="1"/>
    <n v="7.8689839572192513E-2"/>
  </r>
  <r>
    <s v="P052"/>
    <x v="3"/>
    <s v="2025-01-03"/>
    <x v="4"/>
    <s v="Check out our latest image on facebook!"/>
    <n v="947"/>
    <n v="338"/>
    <n v="350"/>
    <n v="10417"/>
    <n v="9730"/>
    <x v="49"/>
    <x v="1"/>
    <x v="2"/>
    <x v="0"/>
    <x v="3"/>
    <n v="0.1569549774407219"/>
  </r>
  <r>
    <s v="P053"/>
    <x v="1"/>
    <s v="2025-02-24"/>
    <x v="3"/>
    <s v="Check out our latest carousel on youtube!"/>
    <n v="804"/>
    <n v="639"/>
    <n v="43"/>
    <n v="4020"/>
    <n v="3144"/>
    <x v="50"/>
    <x v="2"/>
    <x v="1"/>
    <x v="0"/>
    <x v="4"/>
    <n v="0.36965174129353234"/>
  </r>
  <r>
    <s v="P054"/>
    <x v="1"/>
    <s v="2025-03-13"/>
    <x v="3"/>
    <s v="Check out our latest carousel on youtube!"/>
    <n v="1686"/>
    <n v="904"/>
    <n v="472"/>
    <n v="18546"/>
    <n v="18171"/>
    <x v="51"/>
    <x v="0"/>
    <x v="2"/>
    <x v="0"/>
    <x v="1"/>
    <n v="0.16510298716704411"/>
  </r>
  <r>
    <s v="P055"/>
    <x v="3"/>
    <s v="2024-06-17"/>
    <x v="4"/>
    <s v="Check out our latest image on facebook!"/>
    <n v="1226"/>
    <n v="119"/>
    <n v="7"/>
    <n v="14712"/>
    <n v="14049"/>
    <x v="52"/>
    <x v="2"/>
    <x v="2"/>
    <x v="0"/>
    <x v="3"/>
    <n v="9.1897770527460579E-2"/>
  </r>
  <r>
    <s v="P056"/>
    <x v="3"/>
    <s v="2024-12-18"/>
    <x v="3"/>
    <s v="Check out our latest carousel on facebook!"/>
    <n v="2946"/>
    <n v="498"/>
    <n v="367"/>
    <n v="29460"/>
    <n v="28527"/>
    <x v="53"/>
    <x v="0"/>
    <x v="2"/>
    <x v="0"/>
    <x v="2"/>
    <n v="0.12936184657162253"/>
  </r>
  <r>
    <s v="P057"/>
    <x v="0"/>
    <s v="2024-10-21"/>
    <x v="5"/>
    <s v="Check out our latest video on X!"/>
    <n v="2825"/>
    <n v="535"/>
    <n v="295"/>
    <n v="45200"/>
    <n v="44739"/>
    <x v="54"/>
    <x v="1"/>
    <x v="2"/>
    <x v="0"/>
    <x v="0"/>
    <n v="8.0862831858407078E-2"/>
  </r>
  <r>
    <s v="P058"/>
    <x v="2"/>
    <s v="2025-04-15"/>
    <x v="0"/>
    <s v="Check out our latest reel on instagram!"/>
    <n v="103"/>
    <n v="770"/>
    <n v="19"/>
    <n v="1030"/>
    <n v="410"/>
    <x v="55"/>
    <x v="1"/>
    <x v="2"/>
    <x v="0"/>
    <x v="3"/>
    <n v="0.86601941747572819"/>
  </r>
  <r>
    <s v="P059"/>
    <x v="2"/>
    <s v="2024-06-22"/>
    <x v="1"/>
    <s v="Check out our latest text on instagram!"/>
    <n v="2180"/>
    <n v="263"/>
    <n v="387"/>
    <n v="30520"/>
    <n v="30059"/>
    <x v="56"/>
    <x v="2"/>
    <x v="2"/>
    <x v="0"/>
    <x v="4"/>
    <n v="9.2726081258191345E-2"/>
  </r>
  <r>
    <s v="P060"/>
    <x v="2"/>
    <s v="2025-01-28"/>
    <x v="5"/>
    <s v="Check out our latest video on instagram!"/>
    <n v="904"/>
    <n v="973"/>
    <n v="63"/>
    <n v="11752"/>
    <n v="11580"/>
    <x v="57"/>
    <x v="2"/>
    <x v="3"/>
    <x v="1"/>
    <x v="2"/>
    <n v="0.1650782845473111"/>
  </r>
  <r>
    <s v="P061"/>
    <x v="0"/>
    <s v="2024-09-05"/>
    <x v="5"/>
    <s v="Check out our latest video on X!"/>
    <n v="4886"/>
    <n v="983"/>
    <n v="409"/>
    <n v="43974"/>
    <n v="43239"/>
    <x v="10"/>
    <x v="1"/>
    <x v="2"/>
    <x v="0"/>
    <x v="0"/>
    <n v="0.14276618001546368"/>
  </r>
  <r>
    <s v="P062"/>
    <x v="0"/>
    <s v="2024-11-22"/>
    <x v="3"/>
    <s v="Check out our latest carousel on X!"/>
    <n v="53"/>
    <n v="81"/>
    <n v="379"/>
    <n v="954"/>
    <n v="7"/>
    <x v="58"/>
    <x v="1"/>
    <x v="2"/>
    <x v="0"/>
    <x v="2"/>
    <n v="0.53773584905660377"/>
  </r>
  <r>
    <s v="P063"/>
    <x v="0"/>
    <s v="2024-07-31"/>
    <x v="3"/>
    <s v="Check out our latest carousel on X!"/>
    <n v="4507"/>
    <n v="217"/>
    <n v="13"/>
    <n v="90140"/>
    <n v="89591"/>
    <x v="59"/>
    <x v="0"/>
    <x v="2"/>
    <x v="0"/>
    <x v="2"/>
    <n v="5.2551586421122697E-2"/>
  </r>
  <r>
    <s v="P064"/>
    <x v="3"/>
    <s v="2024-08-17"/>
    <x v="4"/>
    <s v="Check out our latest image on facebook!"/>
    <n v="2878"/>
    <n v="248"/>
    <n v="416"/>
    <n v="43170"/>
    <n v="42667"/>
    <x v="60"/>
    <x v="0"/>
    <x v="2"/>
    <x v="0"/>
    <x v="2"/>
    <n v="8.2047718322909427E-2"/>
  </r>
  <r>
    <s v="P065"/>
    <x v="2"/>
    <s v="2025-03-28"/>
    <x v="2"/>
    <s v="Check out our latest story on instagram!"/>
    <n v="1881"/>
    <n v="501"/>
    <n v="99"/>
    <n v="20691"/>
    <n v="19987"/>
    <x v="61"/>
    <x v="2"/>
    <x v="2"/>
    <x v="0"/>
    <x v="4"/>
    <n v="0.11990720603160794"/>
  </r>
  <r>
    <s v="P066"/>
    <x v="0"/>
    <s v="2024-07-26"/>
    <x v="3"/>
    <s v="Check out our latest carousel on X!"/>
    <n v="432"/>
    <n v="171"/>
    <n v="280"/>
    <n v="3024"/>
    <n v="2285"/>
    <x v="62"/>
    <x v="2"/>
    <x v="2"/>
    <x v="0"/>
    <x v="0"/>
    <n v="0.29199735449735448"/>
  </r>
  <r>
    <s v="P067"/>
    <x v="3"/>
    <s v="2025-03-29"/>
    <x v="3"/>
    <s v="Check out our latest carousel on facebook!"/>
    <n v="4712"/>
    <n v="568"/>
    <n v="127"/>
    <n v="84816"/>
    <n v="84691"/>
    <x v="63"/>
    <x v="2"/>
    <x v="2"/>
    <x v="0"/>
    <x v="2"/>
    <n v="6.3749764195434822E-2"/>
  </r>
  <r>
    <s v="P068"/>
    <x v="2"/>
    <s v="2024-12-08"/>
    <x v="2"/>
    <s v="Check out our latest story on instagram!"/>
    <n v="2610"/>
    <n v="126"/>
    <n v="288"/>
    <n v="15660"/>
    <n v="15145"/>
    <x v="64"/>
    <x v="2"/>
    <x v="2"/>
    <x v="0"/>
    <x v="4"/>
    <n v="0.19310344827586207"/>
  </r>
  <r>
    <s v="P069"/>
    <x v="0"/>
    <s v="2025-03-08"/>
    <x v="1"/>
    <s v="Check out our latest text on X!"/>
    <n v="1292"/>
    <n v="626"/>
    <n v="496"/>
    <n v="25840"/>
    <n v="24916"/>
    <x v="65"/>
    <x v="0"/>
    <x v="2"/>
    <x v="0"/>
    <x v="2"/>
    <n v="9.3421052631578946E-2"/>
  </r>
  <r>
    <s v="P070"/>
    <x v="3"/>
    <s v="2025-04-02"/>
    <x v="5"/>
    <s v="Check out our latest video on facebook!"/>
    <n v="199"/>
    <n v="772"/>
    <n v="400"/>
    <n v="3582"/>
    <n v="2988"/>
    <x v="66"/>
    <x v="1"/>
    <x v="2"/>
    <x v="0"/>
    <x v="4"/>
    <n v="0.38274706867671693"/>
  </r>
  <r>
    <s v="P071"/>
    <x v="1"/>
    <s v="2024-09-02"/>
    <x v="3"/>
    <s v="Check out our latest carousel on youtube!"/>
    <n v="2551"/>
    <n v="915"/>
    <n v="205"/>
    <n v="30612"/>
    <n v="30360"/>
    <x v="67"/>
    <x v="1"/>
    <x v="2"/>
    <x v="0"/>
    <x v="1"/>
    <n v="0.1199202926956749"/>
  </r>
  <r>
    <s v="P072"/>
    <x v="1"/>
    <s v="2025-03-03"/>
    <x v="0"/>
    <s v="Check out our latest reel on youtube!"/>
    <n v="296"/>
    <n v="60"/>
    <n v="141"/>
    <n v="5624"/>
    <n v="5239"/>
    <x v="68"/>
    <x v="2"/>
    <x v="2"/>
    <x v="0"/>
    <x v="1"/>
    <n v="8.837126600284495E-2"/>
  </r>
  <r>
    <s v="P073"/>
    <x v="3"/>
    <s v="2024-10-18"/>
    <x v="2"/>
    <s v="Check out our latest story on facebook!"/>
    <n v="4126"/>
    <n v="426"/>
    <n v="486"/>
    <n v="78394"/>
    <n v="77798"/>
    <x v="68"/>
    <x v="0"/>
    <x v="2"/>
    <x v="0"/>
    <x v="3"/>
    <n v="6.4265122330790625E-2"/>
  </r>
  <r>
    <s v="P074"/>
    <x v="1"/>
    <s v="2024-10-28"/>
    <x v="0"/>
    <s v="Check out our latest reel on youtube!"/>
    <n v="1855"/>
    <n v="200"/>
    <n v="174"/>
    <n v="16695"/>
    <n v="16330"/>
    <x v="52"/>
    <x v="1"/>
    <x v="2"/>
    <x v="0"/>
    <x v="2"/>
    <n v="0.13351302785265048"/>
  </r>
  <r>
    <s v="P075"/>
    <x v="2"/>
    <s v="2024-08-01"/>
    <x v="0"/>
    <s v="Check out our latest reel on instagram!"/>
    <n v="1674"/>
    <n v="929"/>
    <n v="37"/>
    <n v="21762"/>
    <n v="20998"/>
    <x v="69"/>
    <x v="1"/>
    <x v="2"/>
    <x v="0"/>
    <x v="3"/>
    <n v="0.12131237937689551"/>
  </r>
  <r>
    <s v="P076"/>
    <x v="0"/>
    <s v="2024-11-07"/>
    <x v="2"/>
    <s v="Check out our latest story on X!"/>
    <n v="1121"/>
    <n v="135"/>
    <n v="18"/>
    <n v="15694"/>
    <n v="14957"/>
    <x v="70"/>
    <x v="1"/>
    <x v="2"/>
    <x v="0"/>
    <x v="3"/>
    <n v="8.1177520071364848E-2"/>
  </r>
  <r>
    <s v="P077"/>
    <x v="3"/>
    <s v="2025-03-04"/>
    <x v="2"/>
    <s v="Check out our latest story on facebook!"/>
    <n v="1249"/>
    <n v="116"/>
    <n v="420"/>
    <n v="8743"/>
    <n v="8538"/>
    <x v="71"/>
    <x v="1"/>
    <x v="2"/>
    <x v="0"/>
    <x v="4"/>
    <n v="0.20416333066453163"/>
  </r>
  <r>
    <s v="P078"/>
    <x v="0"/>
    <s v="2024-06-17"/>
    <x v="4"/>
    <s v="Check out our latest image on X!"/>
    <n v="954"/>
    <n v="324"/>
    <n v="288"/>
    <n v="19080"/>
    <n v="18859"/>
    <x v="72"/>
    <x v="0"/>
    <x v="2"/>
    <x v="0"/>
    <x v="3"/>
    <n v="8.2075471698113203E-2"/>
  </r>
  <r>
    <s v="P079"/>
    <x v="2"/>
    <s v="2024-10-09"/>
    <x v="3"/>
    <s v="Check out our latest carousel on instagram!"/>
    <n v="3068"/>
    <n v="137"/>
    <n v="329"/>
    <n v="39884"/>
    <n v="39404"/>
    <x v="73"/>
    <x v="2"/>
    <x v="2"/>
    <x v="0"/>
    <x v="1"/>
    <n v="8.860696018453515E-2"/>
  </r>
  <r>
    <s v="P080"/>
    <x v="2"/>
    <s v="2024-06-13"/>
    <x v="2"/>
    <s v="Check out our latest story on instagram!"/>
    <n v="2103"/>
    <n v="892"/>
    <n v="103"/>
    <n v="39957"/>
    <n v="39466"/>
    <x v="74"/>
    <x v="0"/>
    <x v="2"/>
    <x v="0"/>
    <x v="4"/>
    <n v="7.7533348349475686E-2"/>
  </r>
  <r>
    <s v="P081"/>
    <x v="2"/>
    <s v="2024-10-19"/>
    <x v="2"/>
    <s v="Check out our latest story on instagram!"/>
    <n v="1816"/>
    <n v="29"/>
    <n v="41"/>
    <n v="19976"/>
    <n v="19262"/>
    <x v="75"/>
    <x v="1"/>
    <x v="2"/>
    <x v="0"/>
    <x v="2"/>
    <n v="9.4413295955146179E-2"/>
  </r>
  <r>
    <s v="P082"/>
    <x v="2"/>
    <s v="2024-07-24"/>
    <x v="4"/>
    <s v="Check out our latest image on instagram!"/>
    <n v="725"/>
    <n v="88"/>
    <n v="428"/>
    <n v="14500"/>
    <n v="13637"/>
    <x v="76"/>
    <x v="0"/>
    <x v="3"/>
    <x v="1"/>
    <x v="2"/>
    <n v="8.558620689655172E-2"/>
  </r>
  <r>
    <s v="P083"/>
    <x v="1"/>
    <s v="2024-10-15"/>
    <x v="5"/>
    <s v="Check out our latest video on youtube!"/>
    <n v="1094"/>
    <n v="472"/>
    <n v="21"/>
    <n v="9846"/>
    <n v="9609"/>
    <x v="48"/>
    <x v="2"/>
    <x v="2"/>
    <x v="0"/>
    <x v="4"/>
    <n v="0.16118220597196831"/>
  </r>
  <r>
    <s v="P084"/>
    <x v="3"/>
    <s v="2024-12-09"/>
    <x v="4"/>
    <s v="Check out our latest image on facebook!"/>
    <n v="1841"/>
    <n v="851"/>
    <n v="342"/>
    <n v="34979"/>
    <n v="34154"/>
    <x v="69"/>
    <x v="0"/>
    <x v="2"/>
    <x v="0"/>
    <x v="3"/>
    <n v="8.6737756939878216E-2"/>
  </r>
  <r>
    <s v="P085"/>
    <x v="2"/>
    <s v="2025-04-19"/>
    <x v="4"/>
    <s v="Check out our latest image on instagram!"/>
    <n v="4177"/>
    <n v="569"/>
    <n v="55"/>
    <n v="25062"/>
    <n v="24847"/>
    <x v="77"/>
    <x v="0"/>
    <x v="2"/>
    <x v="0"/>
    <x v="0"/>
    <n v="0.19156491900087783"/>
  </r>
  <r>
    <s v="P086"/>
    <x v="1"/>
    <s v="2025-01-27"/>
    <x v="1"/>
    <s v="Check out our latest text on youtube!"/>
    <n v="3428"/>
    <n v="305"/>
    <n v="85"/>
    <n v="58276"/>
    <n v="58052"/>
    <x v="78"/>
    <x v="2"/>
    <x v="1"/>
    <x v="0"/>
    <x v="3"/>
    <n v="6.5515821264328367E-2"/>
  </r>
  <r>
    <s v="P087"/>
    <x v="0"/>
    <s v="2024-06-06"/>
    <x v="5"/>
    <s v="Check out our latest video on X!"/>
    <n v="1436"/>
    <n v="765"/>
    <n v="496"/>
    <n v="12924"/>
    <n v="12701"/>
    <x v="79"/>
    <x v="0"/>
    <x v="2"/>
    <x v="0"/>
    <x v="2"/>
    <n v="0.20868152274837512"/>
  </r>
  <r>
    <s v="P088"/>
    <x v="3"/>
    <s v="2024-07-07"/>
    <x v="2"/>
    <s v="Check out our latest story on facebook!"/>
    <n v="302"/>
    <n v="47"/>
    <n v="430"/>
    <n v="5738"/>
    <n v="4890"/>
    <x v="19"/>
    <x v="1"/>
    <x v="2"/>
    <x v="0"/>
    <x v="3"/>
    <n v="0.13576158940397351"/>
  </r>
  <r>
    <s v="P089"/>
    <x v="0"/>
    <s v="2025-01-10"/>
    <x v="4"/>
    <s v="Check out our latest image on X!"/>
    <n v="2214"/>
    <n v="249"/>
    <n v="152"/>
    <n v="15498"/>
    <n v="14800"/>
    <x v="80"/>
    <x v="2"/>
    <x v="2"/>
    <x v="0"/>
    <x v="4"/>
    <n v="0.16873144921925409"/>
  </r>
  <r>
    <s v="P090"/>
    <x v="2"/>
    <s v="2024-06-03"/>
    <x v="4"/>
    <s v="Check out our latest image on instagram!"/>
    <n v="3861"/>
    <n v="960"/>
    <n v="101"/>
    <n v="69498"/>
    <n v="68817"/>
    <x v="81"/>
    <x v="1"/>
    <x v="2"/>
    <x v="0"/>
    <x v="3"/>
    <n v="7.0822181933293038E-2"/>
  </r>
  <r>
    <s v="P091"/>
    <x v="3"/>
    <s v="2025-03-24"/>
    <x v="4"/>
    <s v="Check out our latest image on facebook!"/>
    <n v="1263"/>
    <n v="397"/>
    <n v="357"/>
    <n v="25260"/>
    <n v="24615"/>
    <x v="41"/>
    <x v="2"/>
    <x v="2"/>
    <x v="0"/>
    <x v="3"/>
    <n v="7.984956452889945E-2"/>
  </r>
  <r>
    <s v="P092"/>
    <x v="0"/>
    <s v="2024-10-21"/>
    <x v="2"/>
    <s v="Check out our latest story on X!"/>
    <n v="3801"/>
    <n v="967"/>
    <n v="401"/>
    <n v="38010"/>
    <n v="37625"/>
    <x v="82"/>
    <x v="0"/>
    <x v="2"/>
    <x v="0"/>
    <x v="2"/>
    <n v="0.13599052880820836"/>
  </r>
  <r>
    <s v="P093"/>
    <x v="2"/>
    <s v="2024-12-11"/>
    <x v="5"/>
    <s v="Check out our latest video on instagram!"/>
    <n v="1431"/>
    <n v="951"/>
    <n v="26"/>
    <n v="8586"/>
    <n v="8396"/>
    <x v="83"/>
    <x v="2"/>
    <x v="2"/>
    <x v="0"/>
    <x v="2"/>
    <n v="0.28045655718611695"/>
  </r>
  <r>
    <s v="P094"/>
    <x v="2"/>
    <s v="2024-11-07"/>
    <x v="4"/>
    <s v="Check out our latest image on instagram!"/>
    <n v="2647"/>
    <n v="304"/>
    <n v="170"/>
    <n v="18529"/>
    <n v="17841"/>
    <x v="84"/>
    <x v="0"/>
    <x v="2"/>
    <x v="0"/>
    <x v="2"/>
    <n v="0.16843866371633656"/>
  </r>
  <r>
    <s v="P095"/>
    <x v="2"/>
    <s v="2024-11-08"/>
    <x v="1"/>
    <s v="Check out our latest text on instagram!"/>
    <n v="3182"/>
    <n v="559"/>
    <n v="160"/>
    <n v="57276"/>
    <n v="56890"/>
    <x v="85"/>
    <x v="0"/>
    <x v="2"/>
    <x v="0"/>
    <x v="3"/>
    <n v="6.8108806480899509E-2"/>
  </r>
  <r>
    <s v="P096"/>
    <x v="0"/>
    <s v="2024-09-10"/>
    <x v="4"/>
    <s v="Check out our latest image on X!"/>
    <n v="1238"/>
    <n v="366"/>
    <n v="444"/>
    <n v="19808"/>
    <n v="19334"/>
    <x v="52"/>
    <x v="0"/>
    <x v="2"/>
    <x v="0"/>
    <x v="4"/>
    <n v="0.10339256865912763"/>
  </r>
  <r>
    <s v="P097"/>
    <x v="2"/>
    <s v="2024-08-13"/>
    <x v="4"/>
    <s v="Check out our latest image on instagram!"/>
    <n v="4739"/>
    <n v="527"/>
    <n v="135"/>
    <n v="61607"/>
    <n v="61333"/>
    <x v="36"/>
    <x v="1"/>
    <x v="0"/>
    <x v="0"/>
    <x v="1"/>
    <n v="8.7668609086629767E-2"/>
  </r>
  <r>
    <s v="P098"/>
    <x v="0"/>
    <s v="2024-06-10"/>
    <x v="2"/>
    <s v="Check out our latest story on X!"/>
    <n v="1575"/>
    <n v="771"/>
    <n v="486"/>
    <n v="25200"/>
    <n v="24826"/>
    <x v="86"/>
    <x v="0"/>
    <x v="2"/>
    <x v="0"/>
    <x v="3"/>
    <n v="0.11238095238095239"/>
  </r>
  <r>
    <s v="P099"/>
    <x v="1"/>
    <s v="2024-07-02"/>
    <x v="3"/>
    <s v="Check out our latest carousel on youtube!"/>
    <n v="4171"/>
    <n v="548"/>
    <n v="86"/>
    <n v="66736"/>
    <n v="66634"/>
    <x v="87"/>
    <x v="0"/>
    <x v="2"/>
    <x v="0"/>
    <x v="2"/>
    <n v="7.2000119875329657E-2"/>
  </r>
  <r>
    <s v="P100"/>
    <x v="1"/>
    <s v="2025-02-10"/>
    <x v="5"/>
    <s v="Check out our latest video on youtube!"/>
    <n v="1766"/>
    <n v="92"/>
    <n v="424"/>
    <n v="24724"/>
    <n v="24333"/>
    <x v="51"/>
    <x v="2"/>
    <x v="2"/>
    <x v="0"/>
    <x v="4"/>
    <n v="9.2298980747451867E-2"/>
  </r>
  <r>
    <s v="P101"/>
    <x v="1"/>
    <s v="2024-10-18"/>
    <x v="5"/>
    <s v="Check out our latest video on youtube!"/>
    <n v="4450"/>
    <n v="983"/>
    <n v="143"/>
    <n v="75650"/>
    <n v="75008"/>
    <x v="88"/>
    <x v="0"/>
    <x v="2"/>
    <x v="0"/>
    <x v="2"/>
    <n v="7.3707865168539333E-2"/>
  </r>
  <r>
    <s v="P102"/>
    <x v="0"/>
    <s v="2024-09-18"/>
    <x v="0"/>
    <s v="Check out our latest reel on X!"/>
    <n v="1000"/>
    <n v="978"/>
    <n v="162"/>
    <n v="6000"/>
    <n v="5221"/>
    <x v="89"/>
    <x v="2"/>
    <x v="2"/>
    <x v="0"/>
    <x v="1"/>
    <n v="0.35666666666666669"/>
  </r>
  <r>
    <s v="P103"/>
    <x v="3"/>
    <s v="2024-06-11"/>
    <x v="4"/>
    <s v="Check out our latest image on facebook!"/>
    <n v="3689"/>
    <n v="48"/>
    <n v="306"/>
    <n v="40579"/>
    <n v="39588"/>
    <x v="90"/>
    <x v="2"/>
    <x v="2"/>
    <x v="0"/>
    <x v="1"/>
    <n v="9.9632815002833983E-2"/>
  </r>
  <r>
    <s v="P104"/>
    <x v="1"/>
    <s v="2025-03-23"/>
    <x v="2"/>
    <s v="Check out our latest story on youtube!"/>
    <n v="3655"/>
    <n v="568"/>
    <n v="286"/>
    <n v="32895"/>
    <n v="32015"/>
    <x v="91"/>
    <x v="1"/>
    <x v="2"/>
    <x v="0"/>
    <x v="2"/>
    <n v="0.13707250341997265"/>
  </r>
  <r>
    <s v="P105"/>
    <x v="2"/>
    <s v="2024-06-14"/>
    <x v="3"/>
    <s v="Check out our latest carousel on instagram!"/>
    <n v="498"/>
    <n v="38"/>
    <n v="42"/>
    <n v="4482"/>
    <n v="3647"/>
    <x v="92"/>
    <x v="0"/>
    <x v="2"/>
    <x v="0"/>
    <x v="0"/>
    <n v="0.12896028558679162"/>
  </r>
  <r>
    <s v="P106"/>
    <x v="2"/>
    <s v="2025-02-04"/>
    <x v="4"/>
    <s v="Check out our latest image on instagram!"/>
    <n v="4619"/>
    <n v="821"/>
    <n v="499"/>
    <n v="69285"/>
    <n v="69141"/>
    <x v="93"/>
    <x v="1"/>
    <x v="2"/>
    <x v="0"/>
    <x v="3"/>
    <n v="8.5718409468138843E-2"/>
  </r>
  <r>
    <s v="P107"/>
    <x v="1"/>
    <s v="2024-06-21"/>
    <x v="4"/>
    <s v="Check out our latest image on youtube!"/>
    <n v="4832"/>
    <n v="893"/>
    <n v="10"/>
    <n v="91808"/>
    <n v="91296"/>
    <x v="94"/>
    <x v="1"/>
    <x v="2"/>
    <x v="0"/>
    <x v="4"/>
    <n v="6.2467323109097243E-2"/>
  </r>
  <r>
    <s v="P108"/>
    <x v="0"/>
    <s v="2025-03-25"/>
    <x v="5"/>
    <s v="Check out our latest video on X!"/>
    <n v="4050"/>
    <n v="871"/>
    <n v="347"/>
    <n v="52650"/>
    <n v="51755"/>
    <x v="95"/>
    <x v="1"/>
    <x v="2"/>
    <x v="0"/>
    <x v="1"/>
    <n v="0.10005698005698006"/>
  </r>
  <r>
    <s v="P109"/>
    <x v="0"/>
    <s v="2024-08-08"/>
    <x v="2"/>
    <s v="Check out our latest story on X!"/>
    <n v="3649"/>
    <n v="215"/>
    <n v="413"/>
    <n v="25543"/>
    <n v="24963"/>
    <x v="9"/>
    <x v="0"/>
    <x v="2"/>
    <x v="0"/>
    <x v="2"/>
    <n v="0.16744313510550835"/>
  </r>
  <r>
    <s v="P110"/>
    <x v="2"/>
    <s v="2024-07-29"/>
    <x v="0"/>
    <s v="Check out our latest reel on instagram!"/>
    <n v="3523"/>
    <n v="753"/>
    <n v="482"/>
    <n v="38753"/>
    <n v="38579"/>
    <x v="96"/>
    <x v="2"/>
    <x v="2"/>
    <x v="0"/>
    <x v="1"/>
    <n v="0.12277759141227776"/>
  </r>
  <r>
    <s v="P111"/>
    <x v="1"/>
    <s v="2024-11-23"/>
    <x v="4"/>
    <s v="Check out our latest image on youtube!"/>
    <n v="2719"/>
    <n v="17"/>
    <n v="285"/>
    <n v="40785"/>
    <n v="40281"/>
    <x v="97"/>
    <x v="1"/>
    <x v="2"/>
    <x v="0"/>
    <x v="1"/>
    <n v="7.4071349760941527E-2"/>
  </r>
  <r>
    <s v="P112"/>
    <x v="0"/>
    <s v="2024-10-05"/>
    <x v="2"/>
    <s v="Check out our latest story on X!"/>
    <n v="1957"/>
    <n v="877"/>
    <n v="238"/>
    <n v="17613"/>
    <n v="16865"/>
    <x v="81"/>
    <x v="0"/>
    <x v="2"/>
    <x v="0"/>
    <x v="2"/>
    <n v="0.17441662408448305"/>
  </r>
  <r>
    <s v="P113"/>
    <x v="0"/>
    <s v="2024-10-02"/>
    <x v="3"/>
    <s v="Check out our latest carousel on X!"/>
    <n v="4419"/>
    <n v="236"/>
    <n v="369"/>
    <n v="44190"/>
    <n v="43582"/>
    <x v="98"/>
    <x v="2"/>
    <x v="2"/>
    <x v="0"/>
    <x v="0"/>
    <n v="0.11369088028965829"/>
  </r>
  <r>
    <s v="P114"/>
    <x v="0"/>
    <s v="2024-11-14"/>
    <x v="2"/>
    <s v="Check out our latest story on X!"/>
    <n v="4000"/>
    <n v="689"/>
    <n v="488"/>
    <n v="40000"/>
    <n v="39569"/>
    <x v="99"/>
    <x v="0"/>
    <x v="2"/>
    <x v="0"/>
    <x v="0"/>
    <n v="0.12942500000000001"/>
  </r>
  <r>
    <s v="P115"/>
    <x v="0"/>
    <s v="2025-05-11"/>
    <x v="4"/>
    <s v="Check out our latest image on X!"/>
    <n v="2493"/>
    <n v="97"/>
    <n v="44"/>
    <n v="42381"/>
    <n v="41991"/>
    <x v="78"/>
    <x v="1"/>
    <x v="0"/>
    <x v="0"/>
    <x v="3"/>
    <n v="6.2150491965739366E-2"/>
  </r>
  <r>
    <s v="P116"/>
    <x v="1"/>
    <s v="2025-03-18"/>
    <x v="0"/>
    <s v="Check out our latest reel on youtube!"/>
    <n v="3704"/>
    <n v="186"/>
    <n v="458"/>
    <n v="25928"/>
    <n v="25081"/>
    <x v="8"/>
    <x v="1"/>
    <x v="2"/>
    <x v="0"/>
    <x v="4"/>
    <n v="0.16769515581610614"/>
  </r>
  <r>
    <s v="P117"/>
    <x v="0"/>
    <s v="2024-11-04"/>
    <x v="4"/>
    <s v="Check out our latest image on X!"/>
    <n v="1606"/>
    <n v="451"/>
    <n v="405"/>
    <n v="20878"/>
    <n v="20190"/>
    <x v="100"/>
    <x v="2"/>
    <x v="2"/>
    <x v="0"/>
    <x v="3"/>
    <n v="0.11792317271769326"/>
  </r>
  <r>
    <s v="P118"/>
    <x v="3"/>
    <s v="2024-11-04"/>
    <x v="4"/>
    <s v="Check out our latest image on facebook!"/>
    <n v="4551"/>
    <n v="714"/>
    <n v="207"/>
    <n v="68265"/>
    <n v="67754"/>
    <x v="101"/>
    <x v="0"/>
    <x v="2"/>
    <x v="0"/>
    <x v="2"/>
    <n v="8.0158206987475278E-2"/>
  </r>
  <r>
    <s v="P119"/>
    <x v="2"/>
    <s v="2025-02-07"/>
    <x v="0"/>
    <s v="Check out our latest reel on instagram!"/>
    <n v="1970"/>
    <n v="675"/>
    <n v="478"/>
    <n v="9850"/>
    <n v="8924"/>
    <x v="1"/>
    <x v="0"/>
    <x v="2"/>
    <x v="0"/>
    <x v="4"/>
    <n v="0.31705583756345179"/>
  </r>
  <r>
    <s v="P120"/>
    <x v="3"/>
    <s v="2024-10-21"/>
    <x v="2"/>
    <s v="Check out our latest story on facebook!"/>
    <n v="780"/>
    <n v="928"/>
    <n v="301"/>
    <n v="8580"/>
    <n v="8081"/>
    <x v="102"/>
    <x v="2"/>
    <x v="2"/>
    <x v="0"/>
    <x v="2"/>
    <n v="0.23414918414918415"/>
  </r>
  <r>
    <s v="P121"/>
    <x v="2"/>
    <s v="2024-07-29"/>
    <x v="2"/>
    <s v="Check out our latest story on instagram!"/>
    <n v="498"/>
    <n v="701"/>
    <n v="412"/>
    <n v="4980"/>
    <n v="4185"/>
    <x v="103"/>
    <x v="0"/>
    <x v="2"/>
    <x v="0"/>
    <x v="4"/>
    <n v="0.32349397590361445"/>
  </r>
  <r>
    <s v="P122"/>
    <x v="2"/>
    <s v="2024-10-02"/>
    <x v="1"/>
    <s v="Check out our latest text on instagram!"/>
    <n v="3432"/>
    <n v="869"/>
    <n v="123"/>
    <n v="54912"/>
    <n v="53916"/>
    <x v="104"/>
    <x v="2"/>
    <x v="2"/>
    <x v="0"/>
    <x v="1"/>
    <n v="8.0565268065268064E-2"/>
  </r>
  <r>
    <s v="P123"/>
    <x v="2"/>
    <s v="2024-06-14"/>
    <x v="2"/>
    <s v="Check out our latest story on instagram!"/>
    <n v="4363"/>
    <n v="649"/>
    <n v="140"/>
    <n v="21815"/>
    <n v="21481"/>
    <x v="105"/>
    <x v="2"/>
    <x v="2"/>
    <x v="0"/>
    <x v="0"/>
    <n v="0.23616777446710979"/>
  </r>
  <r>
    <s v="P124"/>
    <x v="1"/>
    <s v="2025-04-06"/>
    <x v="3"/>
    <s v="Check out our latest carousel on youtube!"/>
    <n v="736"/>
    <n v="771"/>
    <n v="225"/>
    <n v="5152"/>
    <n v="4706"/>
    <x v="17"/>
    <x v="2"/>
    <x v="2"/>
    <x v="0"/>
    <x v="0"/>
    <n v="0.33618012422360249"/>
  </r>
  <r>
    <s v="P125"/>
    <x v="0"/>
    <s v="2024-09-08"/>
    <x v="3"/>
    <s v="Check out our latest carousel on X!"/>
    <n v="3811"/>
    <n v="866"/>
    <n v="216"/>
    <n v="34299"/>
    <n v="34088"/>
    <x v="106"/>
    <x v="1"/>
    <x v="2"/>
    <x v="0"/>
    <x v="3"/>
    <n v="0.14265722032712325"/>
  </r>
  <r>
    <s v="P126"/>
    <x v="2"/>
    <s v="2025-03-28"/>
    <x v="3"/>
    <s v="Check out our latest carousel on instagram!"/>
    <n v="4158"/>
    <n v="167"/>
    <n v="241"/>
    <n v="45738"/>
    <n v="45183"/>
    <x v="107"/>
    <x v="0"/>
    <x v="2"/>
    <x v="0"/>
    <x v="4"/>
    <n v="9.9829463465827106E-2"/>
  </r>
  <r>
    <s v="P127"/>
    <x v="3"/>
    <s v="2025-01-27"/>
    <x v="0"/>
    <s v="Check out our latest reel on facebook!"/>
    <n v="3452"/>
    <n v="652"/>
    <n v="442"/>
    <n v="65588"/>
    <n v="65049"/>
    <x v="108"/>
    <x v="0"/>
    <x v="2"/>
    <x v="0"/>
    <x v="2"/>
    <n v="6.9311459413307311E-2"/>
  </r>
  <r>
    <s v="P128"/>
    <x v="0"/>
    <s v="2025-01-10"/>
    <x v="4"/>
    <s v="Check out our latest image on X!"/>
    <n v="3092"/>
    <n v="106"/>
    <n v="291"/>
    <n v="27828"/>
    <n v="27217"/>
    <x v="109"/>
    <x v="0"/>
    <x v="2"/>
    <x v="0"/>
    <x v="4"/>
    <n v="0.12537731780940059"/>
  </r>
  <r>
    <s v="P129"/>
    <x v="0"/>
    <s v="2024-07-21"/>
    <x v="1"/>
    <s v="Check out our latest text on X!"/>
    <n v="2147"/>
    <n v="430"/>
    <n v="393"/>
    <n v="17176"/>
    <n v="16483"/>
    <x v="110"/>
    <x v="1"/>
    <x v="2"/>
    <x v="0"/>
    <x v="4"/>
    <n v="0.17291569632044715"/>
  </r>
  <r>
    <s v="P130"/>
    <x v="1"/>
    <s v="2024-09-29"/>
    <x v="0"/>
    <s v="Check out our latest reel on youtube!"/>
    <n v="2936"/>
    <n v="439"/>
    <n v="44"/>
    <n v="38168"/>
    <n v="37571"/>
    <x v="111"/>
    <x v="2"/>
    <x v="2"/>
    <x v="0"/>
    <x v="3"/>
    <n v="8.9577656675749323E-2"/>
  </r>
  <r>
    <s v="P131"/>
    <x v="2"/>
    <s v="2024-10-21"/>
    <x v="0"/>
    <s v="Check out our latest reel on instagram!"/>
    <n v="4840"/>
    <n v="658"/>
    <n v="211"/>
    <n v="43560"/>
    <n v="43225"/>
    <x v="101"/>
    <x v="0"/>
    <x v="2"/>
    <x v="0"/>
    <x v="2"/>
    <n v="0.13106060606060607"/>
  </r>
  <r>
    <s v="P132"/>
    <x v="2"/>
    <s v="2025-03-04"/>
    <x v="2"/>
    <s v="Check out our latest story on instagram!"/>
    <n v="1947"/>
    <n v="842"/>
    <n v="101"/>
    <n v="21417"/>
    <n v="20967"/>
    <x v="112"/>
    <x v="0"/>
    <x v="2"/>
    <x v="0"/>
    <x v="1"/>
    <n v="0.13493953401503478"/>
  </r>
  <r>
    <s v="P133"/>
    <x v="3"/>
    <s v="2025-02-06"/>
    <x v="4"/>
    <s v="Check out our latest image on facebook!"/>
    <n v="2072"/>
    <n v="532"/>
    <n v="71"/>
    <n v="37296"/>
    <n v="36467"/>
    <x v="19"/>
    <x v="1"/>
    <x v="2"/>
    <x v="0"/>
    <x v="3"/>
    <n v="7.172350922350923E-2"/>
  </r>
  <r>
    <s v="P134"/>
    <x v="0"/>
    <s v="2025-04-24"/>
    <x v="0"/>
    <s v="Check out our latest reel on X!"/>
    <n v="3731"/>
    <n v="115"/>
    <n v="135"/>
    <n v="55965"/>
    <n v="55436"/>
    <x v="18"/>
    <x v="1"/>
    <x v="2"/>
    <x v="0"/>
    <x v="0"/>
    <n v="7.1133744304476013E-2"/>
  </r>
  <r>
    <s v="P135"/>
    <x v="3"/>
    <s v="2024-11-28"/>
    <x v="1"/>
    <s v="Check out our latest text on facebook!"/>
    <n v="4213"/>
    <n v="253"/>
    <n v="434"/>
    <n v="75834"/>
    <n v="75437"/>
    <x v="113"/>
    <x v="0"/>
    <x v="2"/>
    <x v="0"/>
    <x v="3"/>
    <n v="6.461481657304112E-2"/>
  </r>
  <r>
    <s v="P136"/>
    <x v="2"/>
    <s v="2024-07-11"/>
    <x v="1"/>
    <s v="Check out our latest text on instagram!"/>
    <n v="3134"/>
    <n v="888"/>
    <n v="444"/>
    <n v="21938"/>
    <n v="21337"/>
    <x v="114"/>
    <x v="2"/>
    <x v="2"/>
    <x v="0"/>
    <x v="3"/>
    <n v="0.20357370772176134"/>
  </r>
  <r>
    <s v="P137"/>
    <x v="3"/>
    <s v="2024-07-31"/>
    <x v="5"/>
    <s v="Check out our latest video on facebook!"/>
    <n v="3008"/>
    <n v="94"/>
    <n v="37"/>
    <n v="15040"/>
    <n v="14639"/>
    <x v="115"/>
    <x v="0"/>
    <x v="2"/>
    <x v="0"/>
    <x v="4"/>
    <n v="0.20871010638297871"/>
  </r>
  <r>
    <s v="P138"/>
    <x v="0"/>
    <s v="2025-03-29"/>
    <x v="4"/>
    <s v="Check out our latest image on X!"/>
    <n v="305"/>
    <n v="187"/>
    <n v="243"/>
    <n v="4575"/>
    <n v="3704"/>
    <x v="116"/>
    <x v="0"/>
    <x v="2"/>
    <x v="0"/>
    <x v="2"/>
    <n v="0.16065573770491803"/>
  </r>
  <r>
    <s v="P139"/>
    <x v="1"/>
    <s v="2024-10-29"/>
    <x v="1"/>
    <s v="Check out our latest text on youtube!"/>
    <n v="2746"/>
    <n v="156"/>
    <n v="203"/>
    <n v="32952"/>
    <n v="32147"/>
    <x v="117"/>
    <x v="2"/>
    <x v="2"/>
    <x v="0"/>
    <x v="0"/>
    <n v="9.422796795338674E-2"/>
  </r>
  <r>
    <s v="P140"/>
    <x v="3"/>
    <s v="2024-07-15"/>
    <x v="4"/>
    <s v="Check out our latest image on facebook!"/>
    <n v="2291"/>
    <n v="78"/>
    <n v="485"/>
    <n v="18328"/>
    <n v="18101"/>
    <x v="98"/>
    <x v="2"/>
    <x v="4"/>
    <x v="0"/>
    <x v="1"/>
    <n v="0.15571802706241816"/>
  </r>
  <r>
    <s v="P141"/>
    <x v="0"/>
    <s v="2024-08-31"/>
    <x v="4"/>
    <s v="Check out our latest image on X!"/>
    <n v="3170"/>
    <n v="857"/>
    <n v="379"/>
    <n v="19020"/>
    <n v="18559"/>
    <x v="118"/>
    <x v="0"/>
    <x v="2"/>
    <x v="0"/>
    <x v="4"/>
    <n v="0.2316508937960042"/>
  </r>
  <r>
    <s v="P142"/>
    <x v="1"/>
    <s v="2025-03-25"/>
    <x v="2"/>
    <s v="Check out our latest story on youtube!"/>
    <n v="2070"/>
    <n v="275"/>
    <n v="386"/>
    <n v="39330"/>
    <n v="38627"/>
    <x v="12"/>
    <x v="0"/>
    <x v="2"/>
    <x v="0"/>
    <x v="3"/>
    <n v="6.9438087973557078E-2"/>
  </r>
  <r>
    <s v="P143"/>
    <x v="1"/>
    <s v="2024-10-02"/>
    <x v="3"/>
    <s v="Check out our latest carousel on youtube!"/>
    <n v="80"/>
    <n v="362"/>
    <n v="80"/>
    <n v="1040"/>
    <n v="349"/>
    <x v="1"/>
    <x v="1"/>
    <x v="2"/>
    <x v="0"/>
    <x v="2"/>
    <n v="0.50192307692307692"/>
  </r>
  <r>
    <s v="P144"/>
    <x v="1"/>
    <s v="2024-10-28"/>
    <x v="2"/>
    <s v="Check out our latest story on youtube!"/>
    <n v="4929"/>
    <n v="749"/>
    <n v="452"/>
    <n v="93651"/>
    <n v="92810"/>
    <x v="119"/>
    <x v="2"/>
    <x v="2"/>
    <x v="0"/>
    <x v="3"/>
    <n v="6.5455787978772245E-2"/>
  </r>
  <r>
    <s v="P145"/>
    <x v="2"/>
    <s v="2024-08-12"/>
    <x v="3"/>
    <s v="Check out our latest carousel on instagram!"/>
    <n v="1878"/>
    <n v="62"/>
    <n v="179"/>
    <n v="37560"/>
    <n v="36874"/>
    <x v="107"/>
    <x v="1"/>
    <x v="2"/>
    <x v="0"/>
    <x v="3"/>
    <n v="5.6416400425985093E-2"/>
  </r>
  <r>
    <s v="P146"/>
    <x v="1"/>
    <s v="2024-06-05"/>
    <x v="0"/>
    <s v="Check out our latest reel on youtube!"/>
    <n v="3065"/>
    <n v="772"/>
    <n v="142"/>
    <n v="18390"/>
    <n v="17875"/>
    <x v="76"/>
    <x v="2"/>
    <x v="0"/>
    <x v="0"/>
    <x v="4"/>
    <n v="0.21636759108210984"/>
  </r>
  <r>
    <s v="P147"/>
    <x v="2"/>
    <s v="2024-10-21"/>
    <x v="0"/>
    <s v="Check out our latest reel on instagram!"/>
    <n v="3256"/>
    <n v="459"/>
    <n v="266"/>
    <n v="26048"/>
    <n v="25529"/>
    <x v="120"/>
    <x v="1"/>
    <x v="2"/>
    <x v="0"/>
    <x v="1"/>
    <n v="0.15283323095823095"/>
  </r>
  <r>
    <s v="P148"/>
    <x v="2"/>
    <s v="2025-04-15"/>
    <x v="5"/>
    <s v="Check out our latest video on instagram!"/>
    <n v="4133"/>
    <n v="466"/>
    <n v="327"/>
    <n v="24798"/>
    <n v="24620"/>
    <x v="43"/>
    <x v="2"/>
    <x v="2"/>
    <x v="0"/>
    <x v="3"/>
    <n v="0.19864505202032423"/>
  </r>
  <r>
    <s v="P149"/>
    <x v="0"/>
    <s v="2024-06-16"/>
    <x v="5"/>
    <s v="Check out our latest video on X!"/>
    <n v="1702"/>
    <n v="750"/>
    <n v="179"/>
    <n v="34040"/>
    <n v="33174"/>
    <x v="121"/>
    <x v="2"/>
    <x v="2"/>
    <x v="0"/>
    <x v="0"/>
    <n v="7.7291421856639245E-2"/>
  </r>
  <r>
    <s v="P150"/>
    <x v="1"/>
    <s v="2024-08-22"/>
    <x v="3"/>
    <s v="Check out our latest carousel on youtube!"/>
    <n v="4295"/>
    <n v="853"/>
    <n v="325"/>
    <n v="85900"/>
    <n v="85788"/>
    <x v="122"/>
    <x v="1"/>
    <x v="2"/>
    <x v="0"/>
    <x v="3"/>
    <n v="6.3713620488940623E-2"/>
  </r>
  <r>
    <s v="P151"/>
    <x v="2"/>
    <s v="2024-07-26"/>
    <x v="4"/>
    <s v="Check out our latest image on instagram!"/>
    <n v="3559"/>
    <n v="59"/>
    <n v="289"/>
    <n v="35590"/>
    <n v="35105"/>
    <x v="123"/>
    <x v="2"/>
    <x v="2"/>
    <x v="0"/>
    <x v="0"/>
    <n v="0.10977802753582468"/>
  </r>
  <r>
    <s v="P152"/>
    <x v="3"/>
    <s v="2025-04-22"/>
    <x v="4"/>
    <s v="Check out our latest image on facebook!"/>
    <n v="4804"/>
    <n v="550"/>
    <n v="270"/>
    <n v="28824"/>
    <n v="28370"/>
    <x v="124"/>
    <x v="2"/>
    <x v="2"/>
    <x v="0"/>
    <x v="3"/>
    <n v="0.19511518179295032"/>
  </r>
  <r>
    <s v="P153"/>
    <x v="0"/>
    <s v="2025-01-01"/>
    <x v="5"/>
    <s v="Check out our latest video on X!"/>
    <n v="754"/>
    <n v="197"/>
    <n v="257"/>
    <n v="6786"/>
    <n v="6221"/>
    <x v="90"/>
    <x v="1"/>
    <x v="2"/>
    <x v="0"/>
    <x v="2"/>
    <n v="0.17801355732390214"/>
  </r>
  <r>
    <s v="P154"/>
    <x v="2"/>
    <s v="2024-10-09"/>
    <x v="3"/>
    <s v="Check out our latest carousel on instagram!"/>
    <n v="985"/>
    <n v="932"/>
    <n v="287"/>
    <n v="6895"/>
    <n v="6757"/>
    <x v="125"/>
    <x v="0"/>
    <x v="2"/>
    <x v="0"/>
    <x v="3"/>
    <n v="0.31965192168237855"/>
  </r>
  <r>
    <s v="P155"/>
    <x v="1"/>
    <s v="2024-12-21"/>
    <x v="4"/>
    <s v="Check out our latest image on youtube!"/>
    <n v="2283"/>
    <n v="210"/>
    <n v="130"/>
    <n v="22830"/>
    <n v="22617"/>
    <x v="120"/>
    <x v="0"/>
    <x v="2"/>
    <x v="0"/>
    <x v="1"/>
    <n v="0.11489268506351293"/>
  </r>
  <r>
    <s v="P156"/>
    <x v="3"/>
    <s v="2024-10-22"/>
    <x v="3"/>
    <s v="Check out our latest carousel on facebook!"/>
    <n v="3352"/>
    <n v="941"/>
    <n v="482"/>
    <n v="43576"/>
    <n v="43338"/>
    <x v="118"/>
    <x v="0"/>
    <x v="2"/>
    <x v="0"/>
    <x v="1"/>
    <n v="0.1095786671562328"/>
  </r>
  <r>
    <s v="P157"/>
    <x v="1"/>
    <s v="2024-07-23"/>
    <x v="2"/>
    <s v="Check out our latest story on youtube!"/>
    <n v="4775"/>
    <n v="173"/>
    <n v="206"/>
    <n v="47750"/>
    <n v="47544"/>
    <x v="126"/>
    <x v="0"/>
    <x v="2"/>
    <x v="0"/>
    <x v="1"/>
    <n v="0.10793717277486911"/>
  </r>
  <r>
    <s v="P158"/>
    <x v="2"/>
    <s v="2024-08-11"/>
    <x v="2"/>
    <s v="Check out our latest story on instagram!"/>
    <n v="1762"/>
    <n v="405"/>
    <n v="423"/>
    <n v="22906"/>
    <n v="21925"/>
    <x v="19"/>
    <x v="1"/>
    <x v="2"/>
    <x v="0"/>
    <x v="0"/>
    <n v="0.11307081114118571"/>
  </r>
  <r>
    <s v="P159"/>
    <x v="3"/>
    <s v="2024-11-25"/>
    <x v="2"/>
    <s v="Check out our latest story on facebook!"/>
    <n v="2120"/>
    <n v="158"/>
    <n v="488"/>
    <n v="12720"/>
    <n v="12085"/>
    <x v="86"/>
    <x v="0"/>
    <x v="2"/>
    <x v="0"/>
    <x v="1"/>
    <n v="0.21745283018867925"/>
  </r>
  <r>
    <s v="P160"/>
    <x v="0"/>
    <s v="2024-08-24"/>
    <x v="5"/>
    <s v="Check out our latest video on X!"/>
    <n v="1082"/>
    <n v="209"/>
    <n v="484"/>
    <n v="19476"/>
    <n v="18654"/>
    <x v="14"/>
    <x v="1"/>
    <x v="2"/>
    <x v="0"/>
    <x v="4"/>
    <n v="9.1137810638734856E-2"/>
  </r>
  <r>
    <s v="P161"/>
    <x v="0"/>
    <s v="2025-02-19"/>
    <x v="1"/>
    <s v="Check out our latest text on X!"/>
    <n v="4671"/>
    <n v="876"/>
    <n v="366"/>
    <n v="51381"/>
    <n v="50565"/>
    <x v="127"/>
    <x v="1"/>
    <x v="2"/>
    <x v="0"/>
    <x v="3"/>
    <n v="0.11508145034156594"/>
  </r>
  <r>
    <s v="P162"/>
    <x v="3"/>
    <s v="2025-04-01"/>
    <x v="2"/>
    <s v="Check out our latest story on facebook!"/>
    <n v="3430"/>
    <n v="566"/>
    <n v="164"/>
    <n v="48020"/>
    <n v="47305"/>
    <x v="128"/>
    <x v="0"/>
    <x v="2"/>
    <x v="0"/>
    <x v="4"/>
    <n v="8.6630570595585168E-2"/>
  </r>
  <r>
    <s v="P163"/>
    <x v="2"/>
    <s v="2025-04-08"/>
    <x v="4"/>
    <s v="Check out our latest image on instagram!"/>
    <n v="4501"/>
    <n v="375"/>
    <n v="323"/>
    <n v="22505"/>
    <n v="21836"/>
    <x v="129"/>
    <x v="1"/>
    <x v="2"/>
    <x v="0"/>
    <x v="1"/>
    <n v="0.23101532992668297"/>
  </r>
  <r>
    <s v="P164"/>
    <x v="1"/>
    <s v="2025-02-27"/>
    <x v="1"/>
    <s v="Check out our latest text on youtube!"/>
    <n v="4934"/>
    <n v="971"/>
    <n v="156"/>
    <n v="39472"/>
    <n v="39025"/>
    <x v="54"/>
    <x v="1"/>
    <x v="0"/>
    <x v="0"/>
    <x v="3"/>
    <n v="0.15355188488042157"/>
  </r>
  <r>
    <s v="P165"/>
    <x v="0"/>
    <s v="2024-12-11"/>
    <x v="1"/>
    <s v="Check out our latest text on X!"/>
    <n v="3239"/>
    <n v="43"/>
    <n v="211"/>
    <n v="22673"/>
    <n v="22171"/>
    <x v="77"/>
    <x v="1"/>
    <x v="2"/>
    <x v="0"/>
    <x v="1"/>
    <n v="0.15405989502933004"/>
  </r>
  <r>
    <s v="P166"/>
    <x v="0"/>
    <s v="2025-02-16"/>
    <x v="0"/>
    <s v="Check out our latest reel on X!"/>
    <n v="1076"/>
    <n v="313"/>
    <n v="306"/>
    <n v="11836"/>
    <n v="11596"/>
    <x v="130"/>
    <x v="0"/>
    <x v="2"/>
    <x v="0"/>
    <x v="0"/>
    <n v="0.14320716458262928"/>
  </r>
  <r>
    <s v="P167"/>
    <x v="2"/>
    <s v="2024-11-28"/>
    <x v="1"/>
    <s v="Check out our latest text on instagram!"/>
    <n v="4771"/>
    <n v="818"/>
    <n v="56"/>
    <n v="57252"/>
    <n v="56378"/>
    <x v="83"/>
    <x v="0"/>
    <x v="2"/>
    <x v="0"/>
    <x v="4"/>
    <n v="9.859917557465242E-2"/>
  </r>
  <r>
    <s v="P168"/>
    <x v="3"/>
    <s v="2024-11-12"/>
    <x v="1"/>
    <s v="Check out our latest text on facebook!"/>
    <n v="2418"/>
    <n v="754"/>
    <n v="54"/>
    <n v="43524"/>
    <n v="42743"/>
    <x v="94"/>
    <x v="2"/>
    <x v="2"/>
    <x v="0"/>
    <x v="0"/>
    <n v="7.412002573292896E-2"/>
  </r>
  <r>
    <s v="P169"/>
    <x v="1"/>
    <s v="2024-12-03"/>
    <x v="5"/>
    <s v="Check out our latest video on youtube!"/>
    <n v="3809"/>
    <n v="273"/>
    <n v="200"/>
    <n v="34281"/>
    <n v="33534"/>
    <x v="20"/>
    <x v="2"/>
    <x v="2"/>
    <x v="0"/>
    <x v="0"/>
    <n v="0.12490884163239112"/>
  </r>
  <r>
    <s v="P170"/>
    <x v="0"/>
    <s v="2025-04-28"/>
    <x v="1"/>
    <s v="Check out our latest text on X!"/>
    <n v="3577"/>
    <n v="596"/>
    <n v="493"/>
    <n v="67963"/>
    <n v="67839"/>
    <x v="131"/>
    <x v="1"/>
    <x v="2"/>
    <x v="0"/>
    <x v="2"/>
    <n v="6.8655003457763777E-2"/>
  </r>
  <r>
    <s v="P171"/>
    <x v="1"/>
    <s v="2024-12-31"/>
    <x v="5"/>
    <s v="Check out our latest video on youtube!"/>
    <n v="1018"/>
    <n v="447"/>
    <n v="332"/>
    <n v="18324"/>
    <n v="18164"/>
    <x v="132"/>
    <x v="0"/>
    <x v="2"/>
    <x v="0"/>
    <x v="1"/>
    <n v="9.8068107400130972E-2"/>
  </r>
  <r>
    <s v="P172"/>
    <x v="3"/>
    <s v="2024-08-14"/>
    <x v="3"/>
    <s v="Check out our latest carousel on facebook!"/>
    <n v="3073"/>
    <n v="553"/>
    <n v="174"/>
    <n v="52241"/>
    <n v="51605"/>
    <x v="133"/>
    <x v="2"/>
    <x v="2"/>
    <x v="0"/>
    <x v="2"/>
    <n v="7.2739802071170159E-2"/>
  </r>
  <r>
    <s v="P173"/>
    <x v="0"/>
    <s v="2024-12-05"/>
    <x v="5"/>
    <s v="Check out our latest video on X!"/>
    <n v="1330"/>
    <n v="925"/>
    <n v="35"/>
    <n v="15960"/>
    <n v="15379"/>
    <x v="134"/>
    <x v="0"/>
    <x v="2"/>
    <x v="0"/>
    <x v="2"/>
    <n v="0.14348370927318296"/>
  </r>
  <r>
    <s v="P174"/>
    <x v="3"/>
    <s v="2024-06-22"/>
    <x v="1"/>
    <s v="Check out our latest text on facebook!"/>
    <n v="3828"/>
    <n v="148"/>
    <n v="253"/>
    <n v="30624"/>
    <n v="30229"/>
    <x v="6"/>
    <x v="2"/>
    <x v="2"/>
    <x v="0"/>
    <x v="4"/>
    <n v="0.13809430512016718"/>
  </r>
  <r>
    <s v="P175"/>
    <x v="2"/>
    <s v="2025-01-17"/>
    <x v="0"/>
    <s v="Check out our latest reel on instagram!"/>
    <n v="142"/>
    <n v="784"/>
    <n v="183"/>
    <n v="1704"/>
    <n v="995"/>
    <x v="135"/>
    <x v="0"/>
    <x v="2"/>
    <x v="0"/>
    <x v="3"/>
    <n v="0.6508215962441315"/>
  </r>
  <r>
    <s v="P176"/>
    <x v="3"/>
    <s v="2024-06-20"/>
    <x v="5"/>
    <s v="Check out our latest video on facebook!"/>
    <n v="3798"/>
    <n v="31"/>
    <n v="279"/>
    <n v="75960"/>
    <n v="75813"/>
    <x v="73"/>
    <x v="1"/>
    <x v="2"/>
    <x v="0"/>
    <x v="0"/>
    <n v="5.4081095313322801E-2"/>
  </r>
  <r>
    <s v="P177"/>
    <x v="2"/>
    <s v="2024-07-10"/>
    <x v="3"/>
    <s v="Check out our latest carousel on instagram!"/>
    <n v="3099"/>
    <n v="694"/>
    <n v="171"/>
    <n v="43386"/>
    <n v="42921"/>
    <x v="51"/>
    <x v="1"/>
    <x v="2"/>
    <x v="0"/>
    <x v="2"/>
    <n v="9.1365878393951966E-2"/>
  </r>
  <r>
    <s v="P178"/>
    <x v="2"/>
    <s v="2024-11-07"/>
    <x v="5"/>
    <s v="Check out our latest video on instagram!"/>
    <n v="129"/>
    <n v="643"/>
    <n v="136"/>
    <n v="1290"/>
    <n v="839"/>
    <x v="24"/>
    <x v="1"/>
    <x v="2"/>
    <x v="0"/>
    <x v="3"/>
    <n v="0.70387596899224802"/>
  </r>
  <r>
    <s v="P179"/>
    <x v="3"/>
    <s v="2024-07-15"/>
    <x v="3"/>
    <s v="Check out our latest carousel on facebook!"/>
    <n v="3796"/>
    <n v="667"/>
    <n v="395"/>
    <n v="64532"/>
    <n v="63550"/>
    <x v="136"/>
    <x v="1"/>
    <x v="2"/>
    <x v="0"/>
    <x v="4"/>
    <n v="7.5280481001673588E-2"/>
  </r>
  <r>
    <s v="P180"/>
    <x v="1"/>
    <s v="2024-12-03"/>
    <x v="1"/>
    <s v="Check out our latest text on youtube!"/>
    <n v="3711"/>
    <n v="352"/>
    <n v="290"/>
    <n v="48243"/>
    <n v="47579"/>
    <x v="50"/>
    <x v="1"/>
    <x v="2"/>
    <x v="0"/>
    <x v="0"/>
    <n v="9.023070704558174E-2"/>
  </r>
  <r>
    <s v="P181"/>
    <x v="1"/>
    <s v="2025-03-21"/>
    <x v="4"/>
    <s v="Check out our latest image on youtube!"/>
    <n v="606"/>
    <n v="789"/>
    <n v="470"/>
    <n v="7878"/>
    <n v="7389"/>
    <x v="137"/>
    <x v="2"/>
    <x v="2"/>
    <x v="0"/>
    <x v="2"/>
    <n v="0.23673521198273673"/>
  </r>
  <r>
    <s v="P182"/>
    <x v="3"/>
    <s v="2024-07-31"/>
    <x v="4"/>
    <s v="Check out our latest image on facebook!"/>
    <n v="4689"/>
    <n v="134"/>
    <n v="403"/>
    <n v="51579"/>
    <n v="50924"/>
    <x v="87"/>
    <x v="1"/>
    <x v="2"/>
    <x v="0"/>
    <x v="3"/>
    <n v="0.10132030477519921"/>
  </r>
  <r>
    <s v="P183"/>
    <x v="2"/>
    <s v="2024-12-17"/>
    <x v="2"/>
    <s v="Check out our latest story on instagram!"/>
    <n v="360"/>
    <n v="590"/>
    <n v="393"/>
    <n v="4680"/>
    <n v="4322"/>
    <x v="138"/>
    <x v="0"/>
    <x v="2"/>
    <x v="0"/>
    <x v="1"/>
    <n v="0.28696581196581195"/>
  </r>
  <r>
    <s v="P184"/>
    <x v="0"/>
    <s v="2024-07-28"/>
    <x v="4"/>
    <s v="Check out our latest image on X!"/>
    <n v="3215"/>
    <n v="960"/>
    <n v="202"/>
    <n v="32150"/>
    <n v="31404"/>
    <x v="139"/>
    <x v="2"/>
    <x v="2"/>
    <x v="0"/>
    <x v="0"/>
    <n v="0.13614307931570763"/>
  </r>
  <r>
    <s v="P185"/>
    <x v="2"/>
    <s v="2025-01-11"/>
    <x v="3"/>
    <s v="Check out our latest carousel on instagram!"/>
    <n v="4523"/>
    <n v="61"/>
    <n v="157"/>
    <n v="49753"/>
    <n v="49329"/>
    <x v="140"/>
    <x v="2"/>
    <x v="2"/>
    <x v="0"/>
    <x v="4"/>
    <n v="9.5290736237010829E-2"/>
  </r>
  <r>
    <s v="P186"/>
    <x v="3"/>
    <s v="2024-08-24"/>
    <x v="3"/>
    <s v="Check out our latest carousel on facebook!"/>
    <n v="4292"/>
    <n v="51"/>
    <n v="392"/>
    <n v="55796"/>
    <n v="54826"/>
    <x v="104"/>
    <x v="2"/>
    <x v="2"/>
    <x v="0"/>
    <x v="2"/>
    <n v="8.4862714173059003E-2"/>
  </r>
  <r>
    <s v="P187"/>
    <x v="0"/>
    <s v="2024-12-22"/>
    <x v="0"/>
    <s v="Check out our latest reel on X!"/>
    <n v="1644"/>
    <n v="546"/>
    <n v="150"/>
    <n v="27948"/>
    <n v="27184"/>
    <x v="141"/>
    <x v="2"/>
    <x v="2"/>
    <x v="0"/>
    <x v="2"/>
    <n v="8.3726921425504502E-2"/>
  </r>
  <r>
    <s v="P188"/>
    <x v="1"/>
    <s v="2024-06-06"/>
    <x v="0"/>
    <s v="Check out our latest reel on youtube!"/>
    <n v="2728"/>
    <n v="533"/>
    <n v="215"/>
    <n v="40920"/>
    <n v="40816"/>
    <x v="41"/>
    <x v="0"/>
    <x v="2"/>
    <x v="0"/>
    <x v="1"/>
    <n v="8.4946236559139784E-2"/>
  </r>
  <r>
    <s v="P189"/>
    <x v="3"/>
    <s v="2025-03-24"/>
    <x v="0"/>
    <s v="Check out our latest reel on facebook!"/>
    <n v="3360"/>
    <n v="525"/>
    <n v="500"/>
    <n v="60480"/>
    <n v="59610"/>
    <x v="142"/>
    <x v="1"/>
    <x v="2"/>
    <x v="0"/>
    <x v="0"/>
    <n v="7.2503306878306875E-2"/>
  </r>
  <r>
    <s v="P190"/>
    <x v="1"/>
    <s v="2024-10-04"/>
    <x v="1"/>
    <s v="Check out our latest text on youtube!"/>
    <n v="1963"/>
    <n v="213"/>
    <n v="19"/>
    <n v="39260"/>
    <n v="38771"/>
    <x v="143"/>
    <x v="0"/>
    <x v="2"/>
    <x v="0"/>
    <x v="4"/>
    <n v="5.5909322465613857E-2"/>
  </r>
  <r>
    <s v="P191"/>
    <x v="1"/>
    <s v="2024-12-03"/>
    <x v="2"/>
    <s v="Check out our latest story on youtube!"/>
    <n v="4285"/>
    <n v="886"/>
    <n v="376"/>
    <n v="55705"/>
    <n v="55556"/>
    <x v="26"/>
    <x v="0"/>
    <x v="2"/>
    <x v="0"/>
    <x v="2"/>
    <n v="9.9578134817341346E-2"/>
  </r>
  <r>
    <s v="P192"/>
    <x v="2"/>
    <s v="2024-11-29"/>
    <x v="5"/>
    <s v="Check out our latest video on instagram!"/>
    <n v="1176"/>
    <n v="464"/>
    <n v="394"/>
    <n v="14112"/>
    <n v="13588"/>
    <x v="113"/>
    <x v="2"/>
    <x v="2"/>
    <x v="0"/>
    <x v="4"/>
    <n v="0.1441326530612245"/>
  </r>
  <r>
    <s v="P193"/>
    <x v="0"/>
    <s v="2024-09-11"/>
    <x v="4"/>
    <s v="Check out our latest image on X!"/>
    <n v="4858"/>
    <n v="317"/>
    <n v="129"/>
    <n v="53438"/>
    <n v="52687"/>
    <x v="89"/>
    <x v="2"/>
    <x v="2"/>
    <x v="0"/>
    <x v="2"/>
    <n v="9.9255211647142488E-2"/>
  </r>
  <r>
    <s v="P194"/>
    <x v="1"/>
    <s v="2024-10-02"/>
    <x v="2"/>
    <s v="Check out our latest story on youtube!"/>
    <n v="4350"/>
    <n v="771"/>
    <n v="7"/>
    <n v="60900"/>
    <n v="60592"/>
    <x v="144"/>
    <x v="2"/>
    <x v="2"/>
    <x v="0"/>
    <x v="0"/>
    <n v="8.4203612479474554E-2"/>
  </r>
  <r>
    <s v="P195"/>
    <x v="2"/>
    <s v="2024-08-15"/>
    <x v="3"/>
    <s v="Check out our latest carousel on instagram!"/>
    <n v="914"/>
    <n v="464"/>
    <n v="246"/>
    <n v="11882"/>
    <n v="11500"/>
    <x v="30"/>
    <x v="0"/>
    <x v="3"/>
    <x v="1"/>
    <x v="3"/>
    <n v="0.13667732704931829"/>
  </r>
  <r>
    <s v="P196"/>
    <x v="2"/>
    <s v="2024-12-19"/>
    <x v="1"/>
    <s v="Check out our latest text on instagram!"/>
    <n v="1813"/>
    <n v="623"/>
    <n v="72"/>
    <n v="19943"/>
    <n v="18959"/>
    <x v="145"/>
    <x v="2"/>
    <x v="2"/>
    <x v="0"/>
    <x v="2"/>
    <n v="0.12575841147269717"/>
  </r>
  <r>
    <s v="P197"/>
    <x v="0"/>
    <s v="2024-10-22"/>
    <x v="0"/>
    <s v="Check out our latest reel on X!"/>
    <n v="4782"/>
    <n v="721"/>
    <n v="82"/>
    <n v="86076"/>
    <n v="85339"/>
    <x v="17"/>
    <x v="2"/>
    <x v="2"/>
    <x v="0"/>
    <x v="0"/>
    <n v="6.4884520656164318E-2"/>
  </r>
  <r>
    <s v="P198"/>
    <x v="0"/>
    <s v="2024-09-14"/>
    <x v="4"/>
    <s v="Check out our latest image on X!"/>
    <n v="1048"/>
    <n v="374"/>
    <n v="450"/>
    <n v="9432"/>
    <n v="8882"/>
    <x v="108"/>
    <x v="1"/>
    <x v="2"/>
    <x v="0"/>
    <x v="2"/>
    <n v="0.19847328244274809"/>
  </r>
  <r>
    <s v="P199"/>
    <x v="1"/>
    <s v="2024-11-30"/>
    <x v="3"/>
    <s v="Check out our latest carousel on youtube!"/>
    <n v="2509"/>
    <n v="324"/>
    <n v="171"/>
    <n v="35126"/>
    <n v="34685"/>
    <x v="115"/>
    <x v="1"/>
    <x v="2"/>
    <x v="0"/>
    <x v="1"/>
    <n v="8.5520696919660646E-2"/>
  </r>
  <r>
    <s v="P200"/>
    <x v="3"/>
    <s v="2025-04-07"/>
    <x v="0"/>
    <s v="Check out our latest reel on facebook!"/>
    <n v="3718"/>
    <n v="385"/>
    <n v="310"/>
    <n v="70642"/>
    <n v="69749"/>
    <x v="106"/>
    <x v="1"/>
    <x v="2"/>
    <x v="0"/>
    <x v="1"/>
    <n v="6.246991874522239E-2"/>
  </r>
  <r>
    <s v="P201"/>
    <x v="0"/>
    <s v="2025-01-15"/>
    <x v="0"/>
    <s v="Check out our latest reel on X!"/>
    <n v="802"/>
    <n v="262"/>
    <n v="244"/>
    <n v="14436"/>
    <n v="14280"/>
    <x v="146"/>
    <x v="2"/>
    <x v="2"/>
    <x v="0"/>
    <x v="0"/>
    <n v="9.0606816292601824E-2"/>
  </r>
  <r>
    <s v="P202"/>
    <x v="3"/>
    <s v="2024-06-02"/>
    <x v="4"/>
    <s v="Check out our latest image on facebook!"/>
    <n v="1871"/>
    <n v="252"/>
    <n v="335"/>
    <n v="29936"/>
    <n v="29576"/>
    <x v="147"/>
    <x v="2"/>
    <x v="2"/>
    <x v="0"/>
    <x v="2"/>
    <n v="8.2108498129342594E-2"/>
  </r>
  <r>
    <s v="P203"/>
    <x v="2"/>
    <s v="2024-11-21"/>
    <x v="3"/>
    <s v="Check out our latest carousel on instagram!"/>
    <n v="3773"/>
    <n v="299"/>
    <n v="38"/>
    <n v="71687"/>
    <n v="71447"/>
    <x v="148"/>
    <x v="0"/>
    <x v="2"/>
    <x v="0"/>
    <x v="0"/>
    <n v="5.7332570758993957E-2"/>
  </r>
  <r>
    <s v="P204"/>
    <x v="2"/>
    <s v="2025-01-01"/>
    <x v="3"/>
    <s v="Check out our latest carousel on instagram!"/>
    <n v="2234"/>
    <n v="653"/>
    <n v="432"/>
    <n v="11170"/>
    <n v="10569"/>
    <x v="149"/>
    <x v="0"/>
    <x v="2"/>
    <x v="0"/>
    <x v="2"/>
    <n v="0.29713518352730528"/>
  </r>
  <r>
    <s v="P205"/>
    <x v="0"/>
    <s v="2025-04-24"/>
    <x v="5"/>
    <s v="Check out our latest video on X!"/>
    <n v="3820"/>
    <n v="697"/>
    <n v="268"/>
    <n v="45840"/>
    <n v="45631"/>
    <x v="150"/>
    <x v="1"/>
    <x v="4"/>
    <x v="0"/>
    <x v="3"/>
    <n v="0.1043848167539267"/>
  </r>
  <r>
    <s v="P206"/>
    <x v="0"/>
    <s v="2024-06-24"/>
    <x v="1"/>
    <s v="Check out our latest text on X!"/>
    <n v="941"/>
    <n v="121"/>
    <n v="458"/>
    <n v="14115"/>
    <n v="13838"/>
    <x v="15"/>
    <x v="2"/>
    <x v="2"/>
    <x v="0"/>
    <x v="0"/>
    <n v="0.10768685795253277"/>
  </r>
  <r>
    <s v="P207"/>
    <x v="0"/>
    <s v="2024-12-29"/>
    <x v="3"/>
    <s v="Check out our latest carousel on X!"/>
    <n v="4274"/>
    <n v="340"/>
    <n v="281"/>
    <n v="34192"/>
    <n v="33446"/>
    <x v="151"/>
    <x v="1"/>
    <x v="4"/>
    <x v="0"/>
    <x v="2"/>
    <n v="0.14316214319138981"/>
  </r>
  <r>
    <s v="P208"/>
    <x v="1"/>
    <s v="2024-06-24"/>
    <x v="5"/>
    <s v="Check out our latest video on youtube!"/>
    <n v="2949"/>
    <n v="476"/>
    <n v="403"/>
    <n v="44235"/>
    <n v="43705"/>
    <x v="152"/>
    <x v="1"/>
    <x v="2"/>
    <x v="0"/>
    <x v="1"/>
    <n v="8.6537809426924378E-2"/>
  </r>
  <r>
    <s v="P209"/>
    <x v="0"/>
    <s v="2025-03-19"/>
    <x v="5"/>
    <s v="Check out our latest video on X!"/>
    <n v="3160"/>
    <n v="204"/>
    <n v="297"/>
    <n v="44240"/>
    <n v="43666"/>
    <x v="146"/>
    <x v="0"/>
    <x v="0"/>
    <x v="0"/>
    <x v="3"/>
    <n v="8.2753164556962022E-2"/>
  </r>
  <r>
    <s v="P210"/>
    <x v="1"/>
    <s v="2025-02-19"/>
    <x v="4"/>
    <s v="Check out our latest image on youtube!"/>
    <n v="257"/>
    <n v="966"/>
    <n v="398"/>
    <n v="3341"/>
    <n v="2753"/>
    <x v="153"/>
    <x v="0"/>
    <x v="2"/>
    <x v="0"/>
    <x v="0"/>
    <n v="0.48518407662376534"/>
  </r>
  <r>
    <s v="P211"/>
    <x v="0"/>
    <s v="2024-07-18"/>
    <x v="3"/>
    <s v="Check out our latest carousel on X!"/>
    <n v="2120"/>
    <n v="38"/>
    <n v="212"/>
    <n v="12720"/>
    <n v="12564"/>
    <x v="72"/>
    <x v="0"/>
    <x v="2"/>
    <x v="0"/>
    <x v="3"/>
    <n v="0.18632075471698112"/>
  </r>
  <r>
    <s v="P212"/>
    <x v="1"/>
    <s v="2025-03-03"/>
    <x v="5"/>
    <s v="Check out our latest video on youtube!"/>
    <n v="3874"/>
    <n v="884"/>
    <n v="19"/>
    <n v="38740"/>
    <n v="38552"/>
    <x v="100"/>
    <x v="1"/>
    <x v="2"/>
    <x v="0"/>
    <x v="1"/>
    <n v="0.123309241094476"/>
  </r>
  <r>
    <s v="P213"/>
    <x v="3"/>
    <s v="2025-05-01"/>
    <x v="3"/>
    <s v="Check out our latest carousel on facebook!"/>
    <n v="2696"/>
    <n v="628"/>
    <n v="443"/>
    <n v="45832"/>
    <n v="45632"/>
    <x v="154"/>
    <x v="2"/>
    <x v="2"/>
    <x v="0"/>
    <x v="3"/>
    <n v="8.21914819340199E-2"/>
  </r>
  <r>
    <s v="P214"/>
    <x v="2"/>
    <s v="2024-12-23"/>
    <x v="4"/>
    <s v="Check out our latest image on instagram!"/>
    <n v="521"/>
    <n v="746"/>
    <n v="315"/>
    <n v="4168"/>
    <n v="3399"/>
    <x v="30"/>
    <x v="0"/>
    <x v="2"/>
    <x v="0"/>
    <x v="1"/>
    <n v="0.37955854126679461"/>
  </r>
  <r>
    <s v="P215"/>
    <x v="3"/>
    <s v="2025-05-06"/>
    <x v="4"/>
    <s v="Check out our latest image on facebook!"/>
    <n v="4872"/>
    <n v="925"/>
    <n v="176"/>
    <n v="82824"/>
    <n v="82543"/>
    <x v="155"/>
    <x v="2"/>
    <x v="2"/>
    <x v="0"/>
    <x v="1"/>
    <n v="7.2116777745580993E-2"/>
  </r>
  <r>
    <s v="P216"/>
    <x v="1"/>
    <s v="2024-07-29"/>
    <x v="2"/>
    <s v="Check out our latest story on youtube!"/>
    <n v="1509"/>
    <n v="88"/>
    <n v="163"/>
    <n v="30180"/>
    <n v="29689"/>
    <x v="46"/>
    <x v="2"/>
    <x v="2"/>
    <x v="0"/>
    <x v="1"/>
    <n v="5.8316766070245198E-2"/>
  </r>
  <r>
    <s v="P217"/>
    <x v="3"/>
    <s v="2024-12-03"/>
    <x v="4"/>
    <s v="Check out our latest image on facebook!"/>
    <n v="4606"/>
    <n v="931"/>
    <n v="230"/>
    <n v="92120"/>
    <n v="91440"/>
    <x v="156"/>
    <x v="1"/>
    <x v="2"/>
    <x v="0"/>
    <x v="4"/>
    <n v="6.2603126356925748E-2"/>
  </r>
  <r>
    <s v="P218"/>
    <x v="3"/>
    <s v="2024-06-11"/>
    <x v="3"/>
    <s v="Check out our latest carousel on facebook!"/>
    <n v="1869"/>
    <n v="453"/>
    <n v="490"/>
    <n v="14952"/>
    <n v="14309"/>
    <x v="31"/>
    <x v="1"/>
    <x v="2"/>
    <x v="0"/>
    <x v="3"/>
    <n v="0.18806848582129482"/>
  </r>
  <r>
    <s v="P219"/>
    <x v="0"/>
    <s v="2025-01-28"/>
    <x v="0"/>
    <s v="Check out our latest reel on X!"/>
    <n v="1188"/>
    <n v="470"/>
    <n v="174"/>
    <n v="7128"/>
    <n v="6145"/>
    <x v="96"/>
    <x v="1"/>
    <x v="2"/>
    <x v="0"/>
    <x v="3"/>
    <n v="0.25701459034792368"/>
  </r>
  <r>
    <s v="P220"/>
    <x v="2"/>
    <s v="2024-06-02"/>
    <x v="2"/>
    <s v="Check out our latest story on instagram!"/>
    <n v="84"/>
    <n v="897"/>
    <n v="85"/>
    <n v="588"/>
    <n v="8"/>
    <x v="88"/>
    <x v="2"/>
    <x v="2"/>
    <x v="0"/>
    <x v="4"/>
    <n v="1.8129251700680271"/>
  </r>
  <r>
    <s v="P221"/>
    <x v="3"/>
    <s v="2025-03-23"/>
    <x v="5"/>
    <s v="Check out our latest video on facebook!"/>
    <n v="4453"/>
    <n v="111"/>
    <n v="420"/>
    <n v="31171"/>
    <n v="30565"/>
    <x v="157"/>
    <x v="1"/>
    <x v="2"/>
    <x v="0"/>
    <x v="4"/>
    <n v="0.15989220750056141"/>
  </r>
  <r>
    <s v="P222"/>
    <x v="3"/>
    <s v="2024-10-08"/>
    <x v="0"/>
    <s v="Check out our latest reel on facebook!"/>
    <n v="1814"/>
    <n v="653"/>
    <n v="363"/>
    <n v="25396"/>
    <n v="25286"/>
    <x v="7"/>
    <x v="0"/>
    <x v="4"/>
    <x v="0"/>
    <x v="0"/>
    <n v="0.11143487163332809"/>
  </r>
  <r>
    <s v="P223"/>
    <x v="0"/>
    <s v="2024-11-12"/>
    <x v="4"/>
    <s v="Check out our latest image on X!"/>
    <n v="3338"/>
    <n v="277"/>
    <n v="118"/>
    <n v="60084"/>
    <n v="59842"/>
    <x v="158"/>
    <x v="1"/>
    <x v="2"/>
    <x v="0"/>
    <x v="4"/>
    <n v="6.2129685107516146E-2"/>
  </r>
  <r>
    <s v="P224"/>
    <x v="3"/>
    <s v="2025-05-13"/>
    <x v="4"/>
    <s v="Check out our latest image on facebook!"/>
    <n v="602"/>
    <n v="594"/>
    <n v="156"/>
    <n v="4214"/>
    <n v="3363"/>
    <x v="159"/>
    <x v="1"/>
    <x v="2"/>
    <x v="0"/>
    <x v="2"/>
    <n v="0.32083531086853345"/>
  </r>
  <r>
    <s v="P225"/>
    <x v="0"/>
    <s v="2024-06-20"/>
    <x v="3"/>
    <s v="Check out our latest carousel on X!"/>
    <n v="4672"/>
    <n v="325"/>
    <n v="32"/>
    <n v="88768"/>
    <n v="87833"/>
    <x v="160"/>
    <x v="2"/>
    <x v="2"/>
    <x v="0"/>
    <x v="4"/>
    <n v="5.6653298485940883E-2"/>
  </r>
  <r>
    <s v="P226"/>
    <x v="2"/>
    <s v="2024-08-07"/>
    <x v="3"/>
    <s v="Check out our latest carousel on instagram!"/>
    <n v="1741"/>
    <n v="164"/>
    <n v="318"/>
    <n v="8705"/>
    <n v="8272"/>
    <x v="161"/>
    <x v="1"/>
    <x v="2"/>
    <x v="0"/>
    <x v="4"/>
    <n v="0.25537047673750718"/>
  </r>
  <r>
    <s v="P227"/>
    <x v="2"/>
    <s v="2024-06-12"/>
    <x v="1"/>
    <s v="Check out our latest text on instagram!"/>
    <n v="246"/>
    <n v="149"/>
    <n v="130"/>
    <n v="4674"/>
    <n v="4390"/>
    <x v="162"/>
    <x v="0"/>
    <x v="2"/>
    <x v="0"/>
    <x v="2"/>
    <n v="0.11232349165596919"/>
  </r>
  <r>
    <s v="P228"/>
    <x v="2"/>
    <s v="2024-07-01"/>
    <x v="2"/>
    <s v="Check out our latest story on instagram!"/>
    <n v="4808"/>
    <n v="772"/>
    <n v="320"/>
    <n v="72120"/>
    <n v="71696"/>
    <x v="144"/>
    <x v="2"/>
    <x v="2"/>
    <x v="0"/>
    <x v="0"/>
    <n v="8.1808097615085965E-2"/>
  </r>
  <r>
    <s v="P229"/>
    <x v="2"/>
    <s v="2024-07-03"/>
    <x v="3"/>
    <s v="Check out our latest carousel on instagram!"/>
    <n v="4799"/>
    <n v="694"/>
    <n v="289"/>
    <n v="43191"/>
    <n v="42228"/>
    <x v="160"/>
    <x v="1"/>
    <x v="2"/>
    <x v="0"/>
    <x v="4"/>
    <n v="0.13387048227640017"/>
  </r>
  <r>
    <s v="P230"/>
    <x v="3"/>
    <s v="2024-07-15"/>
    <x v="0"/>
    <s v="Check out our latest reel on facebook!"/>
    <n v="3663"/>
    <n v="17"/>
    <n v="295"/>
    <n v="51282"/>
    <n v="50567"/>
    <x v="57"/>
    <x v="2"/>
    <x v="2"/>
    <x v="0"/>
    <x v="2"/>
    <n v="7.7512577512577507E-2"/>
  </r>
  <r>
    <s v="P231"/>
    <x v="2"/>
    <s v="2025-05-01"/>
    <x v="1"/>
    <s v="Check out our latest text on instagram!"/>
    <n v="1430"/>
    <n v="376"/>
    <n v="33"/>
    <n v="21450"/>
    <n v="20509"/>
    <x v="139"/>
    <x v="0"/>
    <x v="2"/>
    <x v="0"/>
    <x v="0"/>
    <n v="8.5734265734265735E-2"/>
  </r>
  <r>
    <s v="P232"/>
    <x v="0"/>
    <s v="2025-04-29"/>
    <x v="2"/>
    <s v="Check out our latest story on X!"/>
    <n v="249"/>
    <n v="592"/>
    <n v="230"/>
    <n v="1494"/>
    <n v="1044"/>
    <x v="163"/>
    <x v="2"/>
    <x v="2"/>
    <x v="0"/>
    <x v="3"/>
    <n v="0.7168674698795181"/>
  </r>
  <r>
    <s v="P233"/>
    <x v="3"/>
    <s v="2025-03-08"/>
    <x v="4"/>
    <s v="Check out our latest image on facebook!"/>
    <n v="2382"/>
    <n v="265"/>
    <n v="134"/>
    <n v="38112"/>
    <n v="37437"/>
    <x v="164"/>
    <x v="0"/>
    <x v="2"/>
    <x v="0"/>
    <x v="3"/>
    <n v="7.2969143576826198E-2"/>
  </r>
  <r>
    <s v="P234"/>
    <x v="3"/>
    <s v="2024-06-01"/>
    <x v="1"/>
    <s v="Check out our latest text on facebook!"/>
    <n v="1272"/>
    <n v="465"/>
    <n v="99"/>
    <n v="24168"/>
    <n v="23719"/>
    <x v="165"/>
    <x v="1"/>
    <x v="2"/>
    <x v="0"/>
    <x v="4"/>
    <n v="7.5968222442899705E-2"/>
  </r>
  <r>
    <s v="P235"/>
    <x v="3"/>
    <s v="2024-12-22"/>
    <x v="4"/>
    <s v="Check out our latest image on facebook!"/>
    <n v="3196"/>
    <n v="941"/>
    <n v="376"/>
    <n v="35156"/>
    <n v="34444"/>
    <x v="40"/>
    <x v="1"/>
    <x v="2"/>
    <x v="0"/>
    <x v="2"/>
    <n v="0.1283706906360223"/>
  </r>
  <r>
    <s v="P236"/>
    <x v="3"/>
    <s v="2024-08-19"/>
    <x v="1"/>
    <s v="Check out our latest text on facebook!"/>
    <n v="1257"/>
    <n v="19"/>
    <n v="351"/>
    <n v="12570"/>
    <n v="11660"/>
    <x v="166"/>
    <x v="0"/>
    <x v="0"/>
    <x v="2"/>
    <x v="1"/>
    <n v="0.12943516308671441"/>
  </r>
  <r>
    <s v="P237"/>
    <x v="2"/>
    <s v="2024-10-22"/>
    <x v="2"/>
    <s v="Check out our latest story on instagram!"/>
    <n v="3770"/>
    <n v="917"/>
    <n v="129"/>
    <n v="71630"/>
    <n v="71322"/>
    <x v="121"/>
    <x v="0"/>
    <x v="2"/>
    <x v="0"/>
    <x v="0"/>
    <n v="6.7234398994834563E-2"/>
  </r>
  <r>
    <s v="P238"/>
    <x v="0"/>
    <s v="2024-07-16"/>
    <x v="1"/>
    <s v="Check out our latest text on X!"/>
    <n v="4725"/>
    <n v="400"/>
    <n v="362"/>
    <n v="75600"/>
    <n v="74927"/>
    <x v="66"/>
    <x v="0"/>
    <x v="2"/>
    <x v="0"/>
    <x v="3"/>
    <n v="7.2579365079365077E-2"/>
  </r>
  <r>
    <s v="P239"/>
    <x v="1"/>
    <s v="2025-02-24"/>
    <x v="1"/>
    <s v="Check out our latest text on youtube!"/>
    <n v="4188"/>
    <n v="942"/>
    <n v="118"/>
    <n v="20940"/>
    <n v="20471"/>
    <x v="109"/>
    <x v="0"/>
    <x v="2"/>
    <x v="0"/>
    <x v="4"/>
    <n v="0.25062082139446035"/>
  </r>
  <r>
    <s v="P240"/>
    <x v="0"/>
    <s v="2024-08-26"/>
    <x v="3"/>
    <s v="Check out our latest carousel on X!"/>
    <n v="929"/>
    <n v="192"/>
    <n v="322"/>
    <n v="16722"/>
    <n v="15996"/>
    <x v="143"/>
    <x v="2"/>
    <x v="3"/>
    <x v="1"/>
    <x v="2"/>
    <n v="8.6293505561535699E-2"/>
  </r>
  <r>
    <s v="P241"/>
    <x v="3"/>
    <s v="2025-01-18"/>
    <x v="2"/>
    <s v="Check out our latest story on facebook!"/>
    <n v="4321"/>
    <n v="874"/>
    <n v="172"/>
    <n v="30247"/>
    <n v="29254"/>
    <x v="123"/>
    <x v="1"/>
    <x v="2"/>
    <x v="0"/>
    <x v="3"/>
    <n v="0.17743908486792079"/>
  </r>
  <r>
    <s v="P242"/>
    <x v="3"/>
    <s v="2024-07-07"/>
    <x v="0"/>
    <s v="Check out our latest reel on facebook!"/>
    <n v="4767"/>
    <n v="190"/>
    <n v="340"/>
    <n v="28602"/>
    <n v="28044"/>
    <x v="167"/>
    <x v="2"/>
    <x v="2"/>
    <x v="0"/>
    <x v="2"/>
    <n v="0.18519683938186141"/>
  </r>
  <r>
    <s v="P243"/>
    <x v="0"/>
    <s v="2025-03-06"/>
    <x v="4"/>
    <s v="Check out our latest image on X!"/>
    <n v="3592"/>
    <n v="911"/>
    <n v="375"/>
    <n v="50288"/>
    <n v="49490"/>
    <x v="92"/>
    <x v="0"/>
    <x v="2"/>
    <x v="0"/>
    <x v="3"/>
    <n v="9.7001272669424113E-2"/>
  </r>
  <r>
    <s v="P244"/>
    <x v="1"/>
    <s v="2024-10-25"/>
    <x v="5"/>
    <s v="Check out our latest video on youtube!"/>
    <n v="4661"/>
    <n v="935"/>
    <n v="433"/>
    <n v="23305"/>
    <n v="22583"/>
    <x v="71"/>
    <x v="0"/>
    <x v="2"/>
    <x v="0"/>
    <x v="2"/>
    <n v="0.25869984981763572"/>
  </r>
  <r>
    <s v="P245"/>
    <x v="3"/>
    <s v="2025-01-12"/>
    <x v="0"/>
    <s v="Check out our latest reel on facebook!"/>
    <n v="4134"/>
    <n v="824"/>
    <n v="99"/>
    <n v="41340"/>
    <n v="41050"/>
    <x v="47"/>
    <x v="2"/>
    <x v="2"/>
    <x v="0"/>
    <x v="0"/>
    <n v="0.12232704402515723"/>
  </r>
  <r>
    <s v="P246"/>
    <x v="3"/>
    <s v="2024-10-11"/>
    <x v="4"/>
    <s v="Check out our latest image on facebook!"/>
    <n v="400"/>
    <n v="680"/>
    <n v="434"/>
    <n v="6400"/>
    <n v="5472"/>
    <x v="168"/>
    <x v="0"/>
    <x v="2"/>
    <x v="0"/>
    <x v="1"/>
    <n v="0.23656250000000001"/>
  </r>
  <r>
    <s v="P247"/>
    <x v="3"/>
    <s v="2024-08-27"/>
    <x v="0"/>
    <s v="Check out our latest reel on facebook!"/>
    <n v="3960"/>
    <n v="266"/>
    <n v="8"/>
    <n v="35640"/>
    <n v="34850"/>
    <x v="138"/>
    <x v="0"/>
    <x v="5"/>
    <x v="3"/>
    <x v="4"/>
    <n v="0.11879910213243547"/>
  </r>
  <r>
    <s v="P248"/>
    <x v="3"/>
    <s v="2025-02-02"/>
    <x v="2"/>
    <s v="Check out our latest story on facebook!"/>
    <n v="886"/>
    <n v="126"/>
    <n v="153"/>
    <n v="4430"/>
    <n v="4037"/>
    <x v="90"/>
    <x v="2"/>
    <x v="2"/>
    <x v="0"/>
    <x v="4"/>
    <n v="0.26297968397291194"/>
  </r>
  <r>
    <s v="P249"/>
    <x v="0"/>
    <s v="2024-07-18"/>
    <x v="4"/>
    <s v="Check out our latest image on X!"/>
    <n v="827"/>
    <n v="77"/>
    <n v="402"/>
    <n v="14886"/>
    <n v="14129"/>
    <x v="169"/>
    <x v="2"/>
    <x v="2"/>
    <x v="0"/>
    <x v="1"/>
    <n v="8.7733440816874911E-2"/>
  </r>
  <r>
    <s v="P250"/>
    <x v="3"/>
    <s v="2024-06-22"/>
    <x v="0"/>
    <s v="Check out our latest reel on facebook!"/>
    <n v="3813"/>
    <n v="935"/>
    <n v="274"/>
    <n v="68634"/>
    <n v="68488"/>
    <x v="139"/>
    <x v="0"/>
    <x v="2"/>
    <x v="0"/>
    <x v="4"/>
    <n v="7.3170731707317069E-2"/>
  </r>
  <r>
    <s v="P251"/>
    <x v="2"/>
    <s v="2025-03-27"/>
    <x v="3"/>
    <s v="Check out our latest carousel on instagram!"/>
    <n v="1377"/>
    <n v="796"/>
    <n v="387"/>
    <n v="22032"/>
    <n v="21869"/>
    <x v="170"/>
    <x v="0"/>
    <x v="2"/>
    <x v="0"/>
    <x v="4"/>
    <n v="0.11619462599854757"/>
  </r>
  <r>
    <s v="P252"/>
    <x v="3"/>
    <s v="2025-04-28"/>
    <x v="3"/>
    <s v="Check out our latest carousel on facebook!"/>
    <n v="2089"/>
    <n v="476"/>
    <n v="69"/>
    <n v="16712"/>
    <n v="16309"/>
    <x v="125"/>
    <x v="0"/>
    <x v="2"/>
    <x v="0"/>
    <x v="2"/>
    <n v="0.15761129727142173"/>
  </r>
  <r>
    <s v="P253"/>
    <x v="0"/>
    <s v="2024-08-03"/>
    <x v="0"/>
    <s v="Check out our latest reel on X!"/>
    <n v="3791"/>
    <n v="593"/>
    <n v="228"/>
    <n v="53074"/>
    <n v="52613"/>
    <x v="39"/>
    <x v="2"/>
    <x v="2"/>
    <x v="0"/>
    <x v="4"/>
    <n v="8.6897539284772202E-2"/>
  </r>
  <r>
    <s v="P254"/>
    <x v="0"/>
    <s v="2025-01-14"/>
    <x v="4"/>
    <s v="Check out our latest image on X!"/>
    <n v="2692"/>
    <n v="115"/>
    <n v="64"/>
    <n v="21536"/>
    <n v="21120"/>
    <x v="4"/>
    <x v="0"/>
    <x v="2"/>
    <x v="0"/>
    <x v="1"/>
    <n v="0.13331166419019316"/>
  </r>
  <r>
    <s v="P255"/>
    <x v="3"/>
    <s v="2025-04-03"/>
    <x v="2"/>
    <s v="Check out our latest story on facebook!"/>
    <n v="3767"/>
    <n v="514"/>
    <n v="238"/>
    <n v="37670"/>
    <n v="36807"/>
    <x v="171"/>
    <x v="0"/>
    <x v="2"/>
    <x v="0"/>
    <x v="3"/>
    <n v="0.11996283514733209"/>
  </r>
  <r>
    <s v="P256"/>
    <x v="1"/>
    <s v="2024-09-18"/>
    <x v="3"/>
    <s v="Check out our latest carousel on youtube!"/>
    <n v="2143"/>
    <n v="12"/>
    <n v="204"/>
    <n v="40717"/>
    <n v="40125"/>
    <x v="154"/>
    <x v="2"/>
    <x v="2"/>
    <x v="0"/>
    <x v="1"/>
    <n v="5.7936488444630008E-2"/>
  </r>
  <r>
    <s v="P257"/>
    <x v="3"/>
    <s v="2025-04-06"/>
    <x v="4"/>
    <s v="Check out our latest image on facebook!"/>
    <n v="3090"/>
    <n v="697"/>
    <n v="164"/>
    <n v="49440"/>
    <n v="48524"/>
    <x v="19"/>
    <x v="2"/>
    <x v="5"/>
    <x v="3"/>
    <x v="1"/>
    <n v="7.9915048543689318E-2"/>
  </r>
  <r>
    <s v="P258"/>
    <x v="2"/>
    <s v="2024-08-05"/>
    <x v="2"/>
    <s v="Check out our latest story on instagram!"/>
    <n v="3601"/>
    <n v="695"/>
    <n v="75"/>
    <n v="21606"/>
    <n v="21454"/>
    <x v="172"/>
    <x v="2"/>
    <x v="2"/>
    <x v="0"/>
    <x v="1"/>
    <n v="0.2023049153013052"/>
  </r>
  <r>
    <s v="P259"/>
    <x v="3"/>
    <s v="2025-02-10"/>
    <x v="1"/>
    <s v="Check out our latest text on facebook!"/>
    <n v="562"/>
    <n v="158"/>
    <n v="149"/>
    <n v="3372"/>
    <n v="2940"/>
    <x v="29"/>
    <x v="1"/>
    <x v="2"/>
    <x v="0"/>
    <x v="0"/>
    <n v="0.25771055753262156"/>
  </r>
  <r>
    <s v="P260"/>
    <x v="2"/>
    <s v="2025-02-12"/>
    <x v="2"/>
    <s v="Check out our latest story on instagram!"/>
    <n v="4332"/>
    <n v="771"/>
    <n v="219"/>
    <n v="60648"/>
    <n v="60397"/>
    <x v="98"/>
    <x v="1"/>
    <x v="5"/>
    <x v="3"/>
    <x v="2"/>
    <n v="8.7752275425405618E-2"/>
  </r>
  <r>
    <s v="P261"/>
    <x v="2"/>
    <s v="2024-10-27"/>
    <x v="4"/>
    <s v="Check out our latest image on instagram!"/>
    <n v="4853"/>
    <n v="837"/>
    <n v="340"/>
    <n v="72795"/>
    <n v="72237"/>
    <x v="110"/>
    <x v="2"/>
    <x v="2"/>
    <x v="0"/>
    <x v="0"/>
    <n v="8.2835359571399134E-2"/>
  </r>
  <r>
    <s v="P262"/>
    <x v="1"/>
    <s v="2025-01-18"/>
    <x v="4"/>
    <s v="Check out our latest image on youtube!"/>
    <n v="1206"/>
    <n v="238"/>
    <n v="36"/>
    <n v="9648"/>
    <n v="9417"/>
    <x v="173"/>
    <x v="1"/>
    <x v="2"/>
    <x v="0"/>
    <x v="4"/>
    <n v="0.15339966832504145"/>
  </r>
  <r>
    <s v="P263"/>
    <x v="2"/>
    <s v="2024-08-20"/>
    <x v="0"/>
    <s v="Check out our latest reel on instagram!"/>
    <n v="2603"/>
    <n v="690"/>
    <n v="205"/>
    <n v="13015"/>
    <n v="12130"/>
    <x v="14"/>
    <x v="0"/>
    <x v="2"/>
    <x v="0"/>
    <x v="1"/>
    <n v="0.26876680752977333"/>
  </r>
  <r>
    <s v="P264"/>
    <x v="0"/>
    <s v="2025-01-30"/>
    <x v="4"/>
    <s v="Check out our latest image on X!"/>
    <n v="59"/>
    <n v="163"/>
    <n v="93"/>
    <n v="590"/>
    <n v="475"/>
    <x v="174"/>
    <x v="1"/>
    <x v="2"/>
    <x v="0"/>
    <x v="1"/>
    <n v="0.53389830508474578"/>
  </r>
  <r>
    <s v="P265"/>
    <x v="0"/>
    <s v="2025-02-20"/>
    <x v="3"/>
    <s v="Check out our latest carousel on X!"/>
    <n v="1877"/>
    <n v="745"/>
    <n v="225"/>
    <n v="11262"/>
    <n v="10967"/>
    <x v="175"/>
    <x v="2"/>
    <x v="2"/>
    <x v="0"/>
    <x v="3"/>
    <n v="0.25279701651571657"/>
  </r>
  <r>
    <s v="P266"/>
    <x v="3"/>
    <s v="2024-11-25"/>
    <x v="2"/>
    <s v="Check out our latest story on facebook!"/>
    <n v="4182"/>
    <n v="640"/>
    <n v="240"/>
    <n v="50184"/>
    <n v="49351"/>
    <x v="98"/>
    <x v="1"/>
    <x v="2"/>
    <x v="0"/>
    <x v="2"/>
    <n v="0.10086880280567512"/>
  </r>
  <r>
    <s v="P267"/>
    <x v="0"/>
    <s v="2024-10-04"/>
    <x v="0"/>
    <s v="Check out our latest reel on X!"/>
    <n v="4187"/>
    <n v="66"/>
    <n v="31"/>
    <n v="66992"/>
    <n v="66614"/>
    <x v="176"/>
    <x v="0"/>
    <x v="2"/>
    <x v="0"/>
    <x v="4"/>
    <n v="6.3947934081681396E-2"/>
  </r>
  <r>
    <s v="P268"/>
    <x v="2"/>
    <s v="2025-04-13"/>
    <x v="0"/>
    <s v="Check out our latest reel on instagram!"/>
    <n v="4579"/>
    <n v="125"/>
    <n v="300"/>
    <n v="59527"/>
    <n v="59400"/>
    <x v="177"/>
    <x v="2"/>
    <x v="2"/>
    <x v="0"/>
    <x v="0"/>
    <n v="8.4062694239588759E-2"/>
  </r>
  <r>
    <s v="P269"/>
    <x v="2"/>
    <s v="2024-11-05"/>
    <x v="5"/>
    <s v="Check out our latest video on instagram!"/>
    <n v="4561"/>
    <n v="51"/>
    <n v="441"/>
    <n v="22805"/>
    <n v="21890"/>
    <x v="178"/>
    <x v="1"/>
    <x v="2"/>
    <x v="0"/>
    <x v="1"/>
    <n v="0.22157421618066214"/>
  </r>
  <r>
    <s v="P270"/>
    <x v="1"/>
    <s v="2025-01-15"/>
    <x v="0"/>
    <s v="Check out our latest reel on youtube!"/>
    <n v="3774"/>
    <n v="239"/>
    <n v="39"/>
    <n v="60384"/>
    <n v="59490"/>
    <x v="40"/>
    <x v="1"/>
    <x v="2"/>
    <x v="0"/>
    <x v="2"/>
    <n v="6.7103868574456813E-2"/>
  </r>
  <r>
    <s v="P271"/>
    <x v="2"/>
    <s v="2024-10-17"/>
    <x v="5"/>
    <s v="Check out our latest video on instagram!"/>
    <n v="3575"/>
    <n v="749"/>
    <n v="111"/>
    <n v="21450"/>
    <n v="20785"/>
    <x v="144"/>
    <x v="2"/>
    <x v="2"/>
    <x v="0"/>
    <x v="1"/>
    <n v="0.20675990675990677"/>
  </r>
  <r>
    <s v="P272"/>
    <x v="2"/>
    <s v="2025-03-27"/>
    <x v="1"/>
    <s v="Check out our latest text on instagram!"/>
    <n v="4941"/>
    <n v="414"/>
    <n v="266"/>
    <n v="39528"/>
    <n v="39154"/>
    <x v="162"/>
    <x v="1"/>
    <x v="2"/>
    <x v="0"/>
    <x v="2"/>
    <n v="0.14220299534507186"/>
  </r>
  <r>
    <s v="P273"/>
    <x v="1"/>
    <s v="2024-10-12"/>
    <x v="2"/>
    <s v="Check out our latest story on youtube!"/>
    <n v="3641"/>
    <n v="226"/>
    <n v="46"/>
    <n v="40051"/>
    <n v="39319"/>
    <x v="179"/>
    <x v="2"/>
    <x v="2"/>
    <x v="0"/>
    <x v="3"/>
    <n v="9.7700431949264685E-2"/>
  </r>
  <r>
    <s v="P274"/>
    <x v="0"/>
    <s v="2025-01-01"/>
    <x v="3"/>
    <s v="Check out our latest carousel on X!"/>
    <n v="3535"/>
    <n v="494"/>
    <n v="152"/>
    <n v="53025"/>
    <n v="52791"/>
    <x v="99"/>
    <x v="1"/>
    <x v="2"/>
    <x v="0"/>
    <x v="3"/>
    <n v="7.8849599245638849E-2"/>
  </r>
  <r>
    <s v="P275"/>
    <x v="3"/>
    <s v="2024-08-05"/>
    <x v="0"/>
    <s v="Check out our latest reel on facebook!"/>
    <n v="1741"/>
    <n v="831"/>
    <n v="345"/>
    <n v="17410"/>
    <n v="16844"/>
    <x v="180"/>
    <x v="2"/>
    <x v="2"/>
    <x v="0"/>
    <x v="2"/>
    <n v="0.16754738655944859"/>
  </r>
  <r>
    <s v="P276"/>
    <x v="0"/>
    <s v="2024-06-07"/>
    <x v="3"/>
    <s v="Check out our latest carousel on X!"/>
    <n v="1556"/>
    <n v="195"/>
    <n v="131"/>
    <n v="9336"/>
    <n v="8875"/>
    <x v="41"/>
    <x v="1"/>
    <x v="2"/>
    <x v="0"/>
    <x v="1"/>
    <n v="0.2015852613538989"/>
  </r>
  <r>
    <s v="P277"/>
    <x v="3"/>
    <s v="2025-04-06"/>
    <x v="4"/>
    <s v="Check out our latest image on facebook!"/>
    <n v="4236"/>
    <n v="711"/>
    <n v="298"/>
    <n v="21180"/>
    <n v="20516"/>
    <x v="24"/>
    <x v="0"/>
    <x v="2"/>
    <x v="0"/>
    <x v="0"/>
    <n v="0.24763928234183191"/>
  </r>
  <r>
    <s v="P278"/>
    <x v="0"/>
    <s v="2024-11-26"/>
    <x v="1"/>
    <s v="Check out our latest text on X!"/>
    <n v="4516"/>
    <n v="836"/>
    <n v="169"/>
    <n v="49676"/>
    <n v="49257"/>
    <x v="30"/>
    <x v="2"/>
    <x v="2"/>
    <x v="0"/>
    <x v="3"/>
    <n v="0.11114018842096787"/>
  </r>
  <r>
    <s v="P279"/>
    <x v="1"/>
    <s v="2024-09-02"/>
    <x v="4"/>
    <s v="Check out our latest image on youtube!"/>
    <n v="4905"/>
    <n v="845"/>
    <n v="129"/>
    <n v="98100"/>
    <n v="97772"/>
    <x v="181"/>
    <x v="1"/>
    <x v="2"/>
    <x v="0"/>
    <x v="1"/>
    <n v="5.9928644240570844E-2"/>
  </r>
  <r>
    <s v="P280"/>
    <x v="1"/>
    <s v="2024-10-21"/>
    <x v="5"/>
    <s v="Check out our latest video on youtube!"/>
    <n v="4275"/>
    <n v="680"/>
    <n v="385"/>
    <n v="64125"/>
    <n v="63650"/>
    <x v="130"/>
    <x v="2"/>
    <x v="3"/>
    <x v="1"/>
    <x v="3"/>
    <n v="8.3274853801169585E-2"/>
  </r>
  <r>
    <s v="P281"/>
    <x v="1"/>
    <s v="2025-03-22"/>
    <x v="4"/>
    <s v="Check out our latest image on youtube!"/>
    <n v="3166"/>
    <n v="90"/>
    <n v="341"/>
    <n v="56988"/>
    <n v="56125"/>
    <x v="152"/>
    <x v="2"/>
    <x v="2"/>
    <x v="0"/>
    <x v="1"/>
    <n v="6.3118551273952411E-2"/>
  </r>
  <r>
    <s v="P282"/>
    <x v="2"/>
    <s v="2024-10-03"/>
    <x v="5"/>
    <s v="Check out our latest video on instagram!"/>
    <n v="1488"/>
    <n v="417"/>
    <n v="168"/>
    <n v="19344"/>
    <n v="18395"/>
    <x v="182"/>
    <x v="0"/>
    <x v="2"/>
    <x v="0"/>
    <x v="2"/>
    <n v="0.1071650124069479"/>
  </r>
  <r>
    <s v="P283"/>
    <x v="0"/>
    <s v="2025-05-09"/>
    <x v="0"/>
    <s v="Check out our latest reel on X!"/>
    <n v="3367"/>
    <n v="302"/>
    <n v="57"/>
    <n v="63973"/>
    <n v="63789"/>
    <x v="105"/>
    <x v="0"/>
    <x v="2"/>
    <x v="0"/>
    <x v="1"/>
    <n v="5.8243321401216137E-2"/>
  </r>
  <r>
    <s v="P284"/>
    <x v="0"/>
    <s v="2024-09-17"/>
    <x v="1"/>
    <s v="Check out our latest text on X!"/>
    <n v="571"/>
    <n v="190"/>
    <n v="352"/>
    <n v="9707"/>
    <n v="9418"/>
    <x v="183"/>
    <x v="1"/>
    <x v="2"/>
    <x v="0"/>
    <x v="3"/>
    <n v="0.11465952405480581"/>
  </r>
  <r>
    <s v="P285"/>
    <x v="1"/>
    <s v="2024-07-18"/>
    <x v="1"/>
    <s v="Check out our latest text on youtube!"/>
    <n v="4021"/>
    <n v="794"/>
    <n v="77"/>
    <n v="36189"/>
    <n v="35505"/>
    <x v="56"/>
    <x v="2"/>
    <x v="2"/>
    <x v="0"/>
    <x v="4"/>
    <n v="0.13517919809886983"/>
  </r>
  <r>
    <s v="P286"/>
    <x v="1"/>
    <s v="2024-09-25"/>
    <x v="5"/>
    <s v="Check out our latest video on youtube!"/>
    <n v="3389"/>
    <n v="344"/>
    <n v="229"/>
    <n v="20334"/>
    <n v="19443"/>
    <x v="184"/>
    <x v="0"/>
    <x v="2"/>
    <x v="0"/>
    <x v="2"/>
    <n v="0.19484607062063539"/>
  </r>
  <r>
    <s v="P287"/>
    <x v="2"/>
    <s v="2024-08-15"/>
    <x v="0"/>
    <s v="Check out our latest reel on instagram!"/>
    <n v="1164"/>
    <n v="616"/>
    <n v="324"/>
    <n v="6984"/>
    <n v="6636"/>
    <x v="185"/>
    <x v="2"/>
    <x v="2"/>
    <x v="0"/>
    <x v="0"/>
    <n v="0.30126002290950743"/>
  </r>
  <r>
    <s v="P288"/>
    <x v="1"/>
    <s v="2025-04-17"/>
    <x v="3"/>
    <s v="Check out our latest carousel on youtube!"/>
    <n v="4780"/>
    <n v="691"/>
    <n v="380"/>
    <n v="86040"/>
    <n v="85743"/>
    <x v="55"/>
    <x v="0"/>
    <x v="2"/>
    <x v="0"/>
    <x v="2"/>
    <n v="6.800325430032543E-2"/>
  </r>
  <r>
    <s v="P289"/>
    <x v="3"/>
    <s v="2024-11-28"/>
    <x v="3"/>
    <s v="Check out our latest carousel on facebook!"/>
    <n v="2751"/>
    <n v="33"/>
    <n v="430"/>
    <n v="44016"/>
    <n v="43415"/>
    <x v="151"/>
    <x v="0"/>
    <x v="2"/>
    <x v="0"/>
    <x v="4"/>
    <n v="7.3018902217375503E-2"/>
  </r>
  <r>
    <s v="P290"/>
    <x v="2"/>
    <s v="2024-12-20"/>
    <x v="3"/>
    <s v="Check out our latest carousel on instagram!"/>
    <n v="2107"/>
    <n v="550"/>
    <n v="349"/>
    <n v="35819"/>
    <n v="35340"/>
    <x v="186"/>
    <x v="2"/>
    <x v="2"/>
    <x v="0"/>
    <x v="3"/>
    <n v="8.3921940869371006E-2"/>
  </r>
  <r>
    <s v="P291"/>
    <x v="3"/>
    <s v="2024-11-06"/>
    <x v="5"/>
    <s v="Check out our latest video on facebook!"/>
    <n v="4663"/>
    <n v="145"/>
    <n v="225"/>
    <n v="69945"/>
    <n v="69596"/>
    <x v="187"/>
    <x v="2"/>
    <x v="2"/>
    <x v="0"/>
    <x v="3"/>
    <n v="7.1956537279290869E-2"/>
  </r>
  <r>
    <s v="P292"/>
    <x v="3"/>
    <s v="2024-11-17"/>
    <x v="1"/>
    <s v="Check out our latest text on facebook!"/>
    <n v="880"/>
    <n v="297"/>
    <n v="345"/>
    <n v="12320"/>
    <n v="11978"/>
    <x v="24"/>
    <x v="1"/>
    <x v="0"/>
    <x v="0"/>
    <x v="4"/>
    <n v="0.12353896103896105"/>
  </r>
  <r>
    <s v="P293"/>
    <x v="3"/>
    <s v="2025-05-14"/>
    <x v="1"/>
    <s v="Check out our latest text on facebook!"/>
    <n v="2634"/>
    <n v="726"/>
    <n v="241"/>
    <n v="28974"/>
    <n v="28102"/>
    <x v="115"/>
    <x v="2"/>
    <x v="2"/>
    <x v="0"/>
    <x v="0"/>
    <n v="0.12428384068475185"/>
  </r>
  <r>
    <s v="P294"/>
    <x v="3"/>
    <s v="2024-06-19"/>
    <x v="3"/>
    <s v="Check out our latest carousel on facebook!"/>
    <n v="4731"/>
    <n v="173"/>
    <n v="276"/>
    <n v="28386"/>
    <n v="28185"/>
    <x v="155"/>
    <x v="2"/>
    <x v="2"/>
    <x v="0"/>
    <x v="2"/>
    <n v="0.18248432325794406"/>
  </r>
  <r>
    <s v="P295"/>
    <x v="0"/>
    <s v="2025-05-06"/>
    <x v="4"/>
    <s v="Check out our latest image on X!"/>
    <n v="1952"/>
    <n v="344"/>
    <n v="287"/>
    <n v="15616"/>
    <n v="15403"/>
    <x v="6"/>
    <x v="0"/>
    <x v="3"/>
    <x v="1"/>
    <x v="1"/>
    <n v="0.16540727459016394"/>
  </r>
  <r>
    <s v="P296"/>
    <x v="0"/>
    <s v="2025-02-11"/>
    <x v="5"/>
    <s v="Check out our latest video on X!"/>
    <n v="3440"/>
    <n v="13"/>
    <n v="20"/>
    <n v="58480"/>
    <n v="58146"/>
    <x v="167"/>
    <x v="1"/>
    <x v="4"/>
    <x v="0"/>
    <x v="3"/>
    <n v="5.9387824897400819E-2"/>
  </r>
  <r>
    <s v="P297"/>
    <x v="0"/>
    <s v="2024-12-24"/>
    <x v="1"/>
    <s v="Check out our latest text on X!"/>
    <n v="2166"/>
    <n v="354"/>
    <n v="117"/>
    <n v="10830"/>
    <n v="10245"/>
    <x v="188"/>
    <x v="2"/>
    <x v="2"/>
    <x v="0"/>
    <x v="3"/>
    <n v="0.24349030470914126"/>
  </r>
  <r>
    <s v="P298"/>
    <x v="3"/>
    <s v="2024-10-24"/>
    <x v="4"/>
    <s v="Check out our latest image on facebook!"/>
    <n v="4303"/>
    <n v="451"/>
    <n v="286"/>
    <n v="86060"/>
    <n v="85823"/>
    <x v="189"/>
    <x v="1"/>
    <x v="2"/>
    <x v="0"/>
    <x v="2"/>
    <n v="5.8563792702765516E-2"/>
  </r>
  <r>
    <s v="P299"/>
    <x v="3"/>
    <s v="2024-08-26"/>
    <x v="4"/>
    <s v="Check out our latest image on facebook!"/>
    <n v="2581"/>
    <n v="517"/>
    <n v="117"/>
    <n v="23229"/>
    <n v="22331"/>
    <x v="190"/>
    <x v="0"/>
    <x v="2"/>
    <x v="0"/>
    <x v="2"/>
    <n v="0.13840458048129492"/>
  </r>
  <r>
    <s v="P300"/>
    <x v="0"/>
    <s v="2024-08-31"/>
    <x v="3"/>
    <s v="Check out our latest carousel on X!"/>
    <n v="4494"/>
    <n v="717"/>
    <n v="45"/>
    <n v="62916"/>
    <n v="62688"/>
    <x v="186"/>
    <x v="1"/>
    <x v="5"/>
    <x v="3"/>
    <x v="0"/>
    <n v="8.3539958039290485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x v="0"/>
    <n v="15"/>
  </r>
  <r>
    <x v="1"/>
    <n v="117"/>
  </r>
  <r>
    <x v="1"/>
    <n v="204"/>
  </r>
  <r>
    <x v="2"/>
    <n v="128"/>
  </r>
  <r>
    <x v="2"/>
    <n v="224"/>
  </r>
  <r>
    <x v="1"/>
    <n v="256"/>
  </r>
  <r>
    <x v="1"/>
    <n v="235"/>
  </r>
  <r>
    <x v="2"/>
    <n v="39"/>
  </r>
  <r>
    <x v="1"/>
    <n v="131"/>
  </r>
  <r>
    <x v="1"/>
    <n v="167"/>
  </r>
  <r>
    <x v="0"/>
    <n v="65"/>
  </r>
  <r>
    <x v="0"/>
    <n v="213"/>
  </r>
  <r>
    <x v="2"/>
    <n v="114"/>
  </r>
  <r>
    <x v="0"/>
    <n v="265"/>
  </r>
  <r>
    <x v="0"/>
    <n v="20"/>
  </r>
  <r>
    <x v="0"/>
    <n v="87"/>
  </r>
  <r>
    <x v="2"/>
    <n v="159"/>
  </r>
  <r>
    <x v="0"/>
    <n v="19"/>
  </r>
  <r>
    <x v="1"/>
    <n v="103"/>
  </r>
  <r>
    <x v="1"/>
    <n v="25"/>
  </r>
  <r>
    <x v="0"/>
    <n v="83"/>
  </r>
  <r>
    <x v="1"/>
    <n v="133"/>
  </r>
  <r>
    <x v="1"/>
    <n v="225"/>
  </r>
  <r>
    <x v="0"/>
    <n v="161"/>
  </r>
  <r>
    <x v="2"/>
    <n v="238"/>
  </r>
  <r>
    <x v="0"/>
    <n v="211"/>
  </r>
  <r>
    <x v="0"/>
    <n v="51"/>
  </r>
  <r>
    <x v="0"/>
    <n v="79"/>
  </r>
  <r>
    <x v="0"/>
    <n v="221"/>
  </r>
  <r>
    <x v="2"/>
    <n v="93"/>
  </r>
  <r>
    <x v="1"/>
    <n v="282"/>
  </r>
  <r>
    <x v="2"/>
    <n v="275"/>
  </r>
  <r>
    <x v="1"/>
    <n v="113"/>
  </r>
  <r>
    <x v="1"/>
    <n v="215"/>
  </r>
  <r>
    <x v="0"/>
    <n v="271"/>
  </r>
  <r>
    <x v="2"/>
    <n v="31"/>
  </r>
  <r>
    <x v="2"/>
    <n v="36"/>
  </r>
  <r>
    <x v="1"/>
    <n v="87"/>
  </r>
  <r>
    <x v="1"/>
    <n v="92"/>
  </r>
  <r>
    <x v="2"/>
    <n v="299"/>
  </r>
  <r>
    <x v="0"/>
    <n v="205"/>
  </r>
  <r>
    <x v="2"/>
    <n v="241"/>
  </r>
  <r>
    <x v="1"/>
    <n v="137"/>
  </r>
  <r>
    <x v="1"/>
    <n v="216"/>
  </r>
  <r>
    <x v="0"/>
    <n v="176"/>
  </r>
  <r>
    <x v="1"/>
    <n v="97"/>
  </r>
  <r>
    <x v="0"/>
    <n v="127"/>
  </r>
  <r>
    <x v="1"/>
    <n v="119"/>
  </r>
  <r>
    <x v="1"/>
    <n v="177"/>
  </r>
  <r>
    <x v="1"/>
    <n v="112"/>
  </r>
  <r>
    <x v="0"/>
    <n v="225"/>
  </r>
  <r>
    <x v="1"/>
    <n v="34"/>
  </r>
  <r>
    <x v="2"/>
    <n v="11"/>
  </r>
  <r>
    <x v="0"/>
    <n v="52"/>
  </r>
  <r>
    <x v="2"/>
    <n v="123"/>
  </r>
  <r>
    <x v="0"/>
    <n v="60"/>
  </r>
  <r>
    <x v="1"/>
    <n v="169"/>
  </r>
  <r>
    <x v="1"/>
    <n v="262"/>
  </r>
  <r>
    <x v="2"/>
    <n v="174"/>
  </r>
  <r>
    <x v="2"/>
    <n v="84"/>
  </r>
  <r>
    <x v="1"/>
    <n v="65"/>
  </r>
  <r>
    <x v="1"/>
    <n v="148"/>
  </r>
  <r>
    <x v="0"/>
    <n v="125"/>
  </r>
  <r>
    <x v="0"/>
    <n v="75"/>
  </r>
  <r>
    <x v="2"/>
    <n v="289"/>
  </r>
  <r>
    <x v="2"/>
    <n v="184"/>
  </r>
  <r>
    <x v="2"/>
    <n v="100"/>
  </r>
  <r>
    <x v="2"/>
    <n v="73"/>
  </r>
  <r>
    <x v="0"/>
    <n v="149"/>
  </r>
  <r>
    <x v="1"/>
    <n v="43"/>
  </r>
  <r>
    <x v="1"/>
    <n v="227"/>
  </r>
  <r>
    <x v="2"/>
    <n v="88"/>
  </r>
  <r>
    <x v="0"/>
    <n v="88"/>
  </r>
  <r>
    <x v="1"/>
    <n v="123"/>
  </r>
  <r>
    <x v="1"/>
    <n v="255"/>
  </r>
  <r>
    <x v="1"/>
    <n v="99"/>
  </r>
  <r>
    <x v="1"/>
    <n v="63"/>
  </r>
  <r>
    <x v="0"/>
    <n v="21"/>
  </r>
  <r>
    <x v="2"/>
    <n v="266"/>
  </r>
  <r>
    <x v="0"/>
    <n v="28"/>
  </r>
  <r>
    <x v="1"/>
    <n v="283"/>
  </r>
  <r>
    <x v="0"/>
    <n v="200"/>
  </r>
  <r>
    <x v="2"/>
    <n v="112"/>
  </r>
  <r>
    <x v="0"/>
    <n v="255"/>
  </r>
  <r>
    <x v="0"/>
    <n v="230"/>
  </r>
  <r>
    <x v="2"/>
    <n v="242"/>
  </r>
  <r>
    <x v="0"/>
    <n v="197"/>
  </r>
  <r>
    <x v="1"/>
    <n v="25"/>
  </r>
  <r>
    <x v="2"/>
    <n v="180"/>
  </r>
  <r>
    <x v="1"/>
    <n v="297"/>
  </r>
  <r>
    <x v="2"/>
    <n v="137"/>
  </r>
  <r>
    <x v="0"/>
    <n v="236"/>
  </r>
  <r>
    <x v="2"/>
    <n v="150"/>
  </r>
  <r>
    <x v="0"/>
    <n v="46"/>
  </r>
  <r>
    <x v="0"/>
    <n v="163"/>
  </r>
  <r>
    <x v="0"/>
    <n v="123"/>
  </r>
  <r>
    <x v="1"/>
    <n v="36"/>
  </r>
  <r>
    <x v="0"/>
    <n v="17"/>
  </r>
  <r>
    <x v="0"/>
    <n v="173"/>
  </r>
  <r>
    <x v="2"/>
    <n v="52"/>
  </r>
  <r>
    <x v="0"/>
    <n v="12"/>
  </r>
  <r>
    <x v="2"/>
    <n v="223"/>
  </r>
  <r>
    <x v="2"/>
    <n v="212"/>
  </r>
  <r>
    <x v="1"/>
    <n v="199"/>
  </r>
  <r>
    <x v="0"/>
    <n v="32"/>
  </r>
  <r>
    <x v="1"/>
    <n v="298"/>
  </r>
  <r>
    <x v="1"/>
    <n v="182"/>
  </r>
  <r>
    <x v="1"/>
    <n v="209"/>
  </r>
  <r>
    <x v="0"/>
    <n v="167"/>
  </r>
  <r>
    <x v="2"/>
    <n v="270"/>
  </r>
  <r>
    <x v="1"/>
    <n v="40"/>
  </r>
  <r>
    <x v="0"/>
    <n v="297"/>
  </r>
  <r>
    <x v="2"/>
    <n v="10"/>
  </r>
  <r>
    <x v="0"/>
    <n v="44"/>
  </r>
  <r>
    <x v="1"/>
    <n v="242"/>
  </r>
  <r>
    <x v="1"/>
    <n v="131"/>
  </r>
  <r>
    <x v="2"/>
    <n v="219"/>
  </r>
  <r>
    <x v="0"/>
    <n v="57"/>
  </r>
  <r>
    <x v="0"/>
    <n v="117"/>
  </r>
  <r>
    <x v="2"/>
    <n v="91"/>
  </r>
  <r>
    <x v="0"/>
    <n v="185"/>
  </r>
  <r>
    <x v="2"/>
    <n v="264"/>
  </r>
  <r>
    <x v="2"/>
    <n v="157"/>
  </r>
  <r>
    <x v="2"/>
    <n v="19"/>
  </r>
  <r>
    <x v="1"/>
    <n v="233"/>
  </r>
  <r>
    <x v="0"/>
    <n v="142"/>
  </r>
  <r>
    <x v="0"/>
    <n v="158"/>
  </r>
  <r>
    <x v="0"/>
    <n v="102"/>
  </r>
  <r>
    <x v="1"/>
    <n v="170"/>
  </r>
  <r>
    <x v="2"/>
    <n v="22"/>
  </r>
  <r>
    <x v="0"/>
    <n v="57"/>
  </r>
  <r>
    <x v="0"/>
    <n v="186"/>
  </r>
  <r>
    <x v="1"/>
    <n v="25"/>
  </r>
  <r>
    <x v="1"/>
    <n v="103"/>
  </r>
  <r>
    <x v="0"/>
    <n v="272"/>
  </r>
  <r>
    <x v="2"/>
    <n v="130"/>
  </r>
  <r>
    <x v="0"/>
    <n v="277"/>
  </r>
  <r>
    <x v="0"/>
    <n v="234"/>
  </r>
  <r>
    <x v="2"/>
    <n v="147"/>
  </r>
  <r>
    <x v="2"/>
    <n v="10"/>
  </r>
  <r>
    <x v="0"/>
    <n v="240"/>
  </r>
  <r>
    <x v="0"/>
    <n v="114"/>
  </r>
  <r>
    <x v="1"/>
    <n v="117"/>
  </r>
  <r>
    <x v="2"/>
    <n v="66"/>
  </r>
  <r>
    <x v="1"/>
    <n v="142"/>
  </r>
  <r>
    <x v="2"/>
    <n v="200"/>
  </r>
  <r>
    <x v="1"/>
    <n v="143"/>
  </r>
  <r>
    <x v="2"/>
    <n v="176"/>
  </r>
  <r>
    <x v="2"/>
    <n v="76"/>
  </r>
  <r>
    <x v="1"/>
    <n v="290"/>
  </r>
  <r>
    <x v="2"/>
    <n v="122"/>
  </r>
  <r>
    <x v="2"/>
    <n v="47"/>
  </r>
  <r>
    <x v="1"/>
    <n v="212"/>
  </r>
  <r>
    <x v="0"/>
    <n v="64"/>
  </r>
  <r>
    <x v="0"/>
    <n v="143"/>
  </r>
  <r>
    <x v="0"/>
    <n v="240"/>
  </r>
  <r>
    <x v="0"/>
    <n v="187"/>
  </r>
  <r>
    <x v="1"/>
    <n v="25"/>
  </r>
  <r>
    <x v="0"/>
    <n v="17"/>
  </r>
  <r>
    <x v="1"/>
    <n v="20"/>
  </r>
  <r>
    <x v="1"/>
    <n v="245"/>
  </r>
  <r>
    <x v="0"/>
    <n v="120"/>
  </r>
  <r>
    <x v="1"/>
    <n v="132"/>
  </r>
  <r>
    <x v="1"/>
    <n v="169"/>
  </r>
  <r>
    <x v="1"/>
    <n v="230"/>
  </r>
  <r>
    <x v="0"/>
    <n v="104"/>
  </r>
  <r>
    <x v="0"/>
    <n v="150"/>
  </r>
  <r>
    <x v="2"/>
    <n v="182"/>
  </r>
  <r>
    <x v="2"/>
    <n v="83"/>
  </r>
  <r>
    <x v="1"/>
    <n v="53"/>
  </r>
  <r>
    <x v="0"/>
    <n v="38"/>
  </r>
  <r>
    <x v="2"/>
    <n v="246"/>
  </r>
  <r>
    <x v="0"/>
    <n v="229"/>
  </r>
  <r>
    <x v="2"/>
    <n v="235"/>
  </r>
  <r>
    <x v="0"/>
    <n v="154"/>
  </r>
  <r>
    <x v="1"/>
    <n v="266"/>
  </r>
  <r>
    <x v="1"/>
    <n v="52"/>
  </r>
  <r>
    <x v="1"/>
    <n v="238"/>
  </r>
  <r>
    <x v="1"/>
    <n v="292"/>
  </r>
  <r>
    <x v="1"/>
    <n v="11"/>
  </r>
  <r>
    <x v="2"/>
    <n v="239"/>
  </r>
  <r>
    <x v="1"/>
    <n v="173"/>
  </r>
  <r>
    <x v="0"/>
    <n v="208"/>
  </r>
  <r>
    <x v="2"/>
    <n v="251"/>
  </r>
  <r>
    <x v="2"/>
    <n v="71"/>
  </r>
  <r>
    <x v="2"/>
    <n v="264"/>
  </r>
  <r>
    <x v="2"/>
    <n v="300"/>
  </r>
  <r>
    <x v="0"/>
    <n v="137"/>
  </r>
  <r>
    <x v="1"/>
    <n v="192"/>
  </r>
  <r>
    <x v="0"/>
    <n v="145"/>
  </r>
  <r>
    <x v="0"/>
    <n v="51"/>
  </r>
  <r>
    <x v="2"/>
    <n v="272"/>
  </r>
  <r>
    <x v="2"/>
    <n v="223"/>
  </r>
  <r>
    <x v="2"/>
    <n v="195"/>
  </r>
  <r>
    <x v="0"/>
    <n v="282"/>
  </r>
  <r>
    <x v="2"/>
    <n v="85"/>
  </r>
  <r>
    <x v="2"/>
    <n v="19"/>
  </r>
  <r>
    <x v="1"/>
    <n v="158"/>
  </r>
  <r>
    <x v="1"/>
    <n v="277"/>
  </r>
  <r>
    <x v="1"/>
    <n v="233"/>
  </r>
  <r>
    <x v="2"/>
    <n v="49"/>
  </r>
  <r>
    <x v="2"/>
    <n v="288"/>
  </r>
  <r>
    <x v="0"/>
    <n v="286"/>
  </r>
  <r>
    <x v="0"/>
    <n v="198"/>
  </r>
  <r>
    <x v="1"/>
    <n v="171"/>
  </r>
  <r>
    <x v="2"/>
    <n v="87"/>
  </r>
  <r>
    <x v="1"/>
    <n v="129"/>
  </r>
  <r>
    <x v="1"/>
    <n v="135"/>
  </r>
  <r>
    <x v="0"/>
    <n v="49"/>
  </r>
  <r>
    <x v="0"/>
    <n v="287"/>
  </r>
  <r>
    <x v="0"/>
    <n v="21"/>
  </r>
  <r>
    <x v="1"/>
    <n v="219"/>
  </r>
  <r>
    <x v="2"/>
    <n v="248"/>
  </r>
  <r>
    <x v="0"/>
    <n v="282"/>
  </r>
  <r>
    <x v="2"/>
    <n v="89"/>
  </r>
  <r>
    <x v="2"/>
    <n v="119"/>
  </r>
  <r>
    <x v="1"/>
    <n v="56"/>
  </r>
  <r>
    <x v="1"/>
    <n v="275"/>
  </r>
  <r>
    <x v="1"/>
    <n v="270"/>
  </r>
  <r>
    <x v="2"/>
    <n v="12"/>
  </r>
  <r>
    <x v="1"/>
    <n v="23"/>
  </r>
  <r>
    <x v="0"/>
    <n v="39"/>
  </r>
  <r>
    <x v="1"/>
    <n v="252"/>
  </r>
  <r>
    <x v="1"/>
    <n v="164"/>
  </r>
  <r>
    <x v="2"/>
    <n v="118"/>
  </r>
  <r>
    <x v="1"/>
    <n v="121"/>
  </r>
  <r>
    <x v="0"/>
    <n v="217"/>
  </r>
  <r>
    <x v="2"/>
    <n v="195"/>
  </r>
  <r>
    <x v="1"/>
    <n v="118"/>
  </r>
  <r>
    <x v="2"/>
    <n v="84"/>
  </r>
  <r>
    <x v="0"/>
    <n v="251"/>
  </r>
  <r>
    <x v="2"/>
    <n v="201"/>
  </r>
  <r>
    <x v="0"/>
    <n v="249"/>
  </r>
  <r>
    <x v="1"/>
    <n v="42"/>
  </r>
  <r>
    <x v="1"/>
    <n v="241"/>
  </r>
  <r>
    <x v="0"/>
    <n v="194"/>
  </r>
  <r>
    <x v="0"/>
    <n v="76"/>
  </r>
  <r>
    <x v="0"/>
    <n v="43"/>
  </r>
  <r>
    <x v="0"/>
    <n v="102"/>
  </r>
  <r>
    <x v="2"/>
    <n v="145"/>
  </r>
  <r>
    <x v="1"/>
    <n v="122"/>
  </r>
  <r>
    <x v="2"/>
    <n v="210"/>
  </r>
  <r>
    <x v="0"/>
    <n v="32"/>
  </r>
  <r>
    <x v="0"/>
    <n v="63"/>
  </r>
  <r>
    <x v="2"/>
    <n v="177"/>
  </r>
  <r>
    <x v="0"/>
    <n v="160"/>
  </r>
  <r>
    <x v="0"/>
    <n v="208"/>
  </r>
  <r>
    <x v="2"/>
    <n v="212"/>
  </r>
  <r>
    <x v="2"/>
    <n v="254"/>
  </r>
  <r>
    <x v="0"/>
    <n v="251"/>
  </r>
  <r>
    <x v="0"/>
    <n v="189"/>
  </r>
  <r>
    <x v="0"/>
    <n v="64"/>
  </r>
  <r>
    <x v="2"/>
    <n v="205"/>
  </r>
  <r>
    <x v="0"/>
    <n v="224"/>
  </r>
  <r>
    <x v="0"/>
    <n v="226"/>
  </r>
  <r>
    <x v="2"/>
    <n v="248"/>
  </r>
  <r>
    <x v="2"/>
    <n v="25"/>
  </r>
  <r>
    <x v="2"/>
    <n v="172"/>
  </r>
  <r>
    <x v="1"/>
    <n v="93"/>
  </r>
  <r>
    <x v="1"/>
    <n v="10"/>
  </r>
  <r>
    <x v="2"/>
    <n v="170"/>
  </r>
  <r>
    <x v="1"/>
    <n v="237"/>
  </r>
  <r>
    <x v="0"/>
    <n v="20"/>
  </r>
  <r>
    <x v="1"/>
    <n v="293"/>
  </r>
  <r>
    <x v="2"/>
    <n v="41"/>
  </r>
  <r>
    <x v="1"/>
    <n v="10"/>
  </r>
  <r>
    <x v="0"/>
    <n v="62"/>
  </r>
  <r>
    <x v="2"/>
    <n v="269"/>
  </r>
  <r>
    <x v="1"/>
    <n v="45"/>
  </r>
  <r>
    <x v="1"/>
    <n v="241"/>
  </r>
  <r>
    <x v="2"/>
    <n v="195"/>
  </r>
  <r>
    <x v="1"/>
    <n v="217"/>
  </r>
  <r>
    <x v="2"/>
    <n v="296"/>
  </r>
  <r>
    <x v="1"/>
    <n v="44"/>
  </r>
  <r>
    <x v="2"/>
    <n v="58"/>
  </r>
  <r>
    <x v="1"/>
    <n v="137"/>
  </r>
  <r>
    <x v="0"/>
    <n v="238"/>
  </r>
  <r>
    <x v="2"/>
    <n v="282"/>
  </r>
  <r>
    <x v="1"/>
    <n v="279"/>
  </r>
  <r>
    <x v="2"/>
    <n v="104"/>
  </r>
  <r>
    <x v="2"/>
    <n v="135"/>
  </r>
  <r>
    <x v="0"/>
    <n v="30"/>
  </r>
  <r>
    <x v="0"/>
    <n v="157"/>
  </r>
  <r>
    <x v="1"/>
    <n v="231"/>
  </r>
  <r>
    <x v="2"/>
    <n v="174"/>
  </r>
  <r>
    <x v="0"/>
    <n v="228"/>
  </r>
  <r>
    <x v="2"/>
    <n v="82"/>
  </r>
  <r>
    <x v="0"/>
    <n v="262"/>
  </r>
  <r>
    <x v="0"/>
    <n v="129"/>
  </r>
  <r>
    <x v="2"/>
    <n v="191"/>
  </r>
  <r>
    <x v="2"/>
    <n v="35"/>
  </r>
  <r>
    <x v="1"/>
    <n v="238"/>
  </r>
  <r>
    <x v="2"/>
    <n v="277"/>
  </r>
  <r>
    <x v="2"/>
    <n v="89"/>
  </r>
  <r>
    <x v="0"/>
    <n v="235"/>
  </r>
  <r>
    <x v="1"/>
    <n v="210"/>
  </r>
  <r>
    <x v="2"/>
    <n v="24"/>
  </r>
  <r>
    <x v="1"/>
    <n v="14"/>
  </r>
  <r>
    <x v="0"/>
    <n v="70"/>
  </r>
  <r>
    <x v="1"/>
    <n v="191"/>
  </r>
  <r>
    <x v="3"/>
    <n v="15"/>
  </r>
  <r>
    <x v="4"/>
    <n v="117"/>
  </r>
  <r>
    <x v="1"/>
    <n v="224"/>
  </r>
  <r>
    <x v="3"/>
    <n v="225"/>
  </r>
  <r>
    <x v="4"/>
    <n v="11"/>
  </r>
  <r>
    <x v="1"/>
    <n v="84"/>
  </r>
  <r>
    <x v="1"/>
    <n v="200"/>
  </r>
  <r>
    <x v="4"/>
    <n v="242"/>
  </r>
  <r>
    <x v="3"/>
    <n v="36"/>
  </r>
  <r>
    <x v="3"/>
    <n v="242"/>
  </r>
  <r>
    <x v="5"/>
    <n v="10"/>
  </r>
  <r>
    <x v="3"/>
    <n v="200"/>
  </r>
  <r>
    <x v="3"/>
    <n v="169"/>
  </r>
  <r>
    <x v="1"/>
    <n v="282"/>
  </r>
  <r>
    <x v="5"/>
    <n v="171"/>
  </r>
  <r>
    <x v="5"/>
    <n v="129"/>
  </r>
  <r>
    <x v="3"/>
    <n v="49"/>
  </r>
  <r>
    <x v="5"/>
    <n v="39"/>
  </r>
  <r>
    <x v="3"/>
    <n v="194"/>
  </r>
  <r>
    <x v="1"/>
    <n v="145"/>
  </r>
  <r>
    <x v="2"/>
    <n v="208"/>
  </r>
  <r>
    <x v="2"/>
    <n v="25"/>
  </r>
  <r>
    <x v="2"/>
    <n v="10"/>
  </r>
  <r>
    <x v="1"/>
    <n v="104"/>
  </r>
  <r>
    <x v="3"/>
    <n v="238"/>
  </r>
  <r>
    <x v="1"/>
    <n v="235"/>
  </r>
  <r>
    <x v="5"/>
    <n v="210"/>
  </r>
  <r>
    <x v="2"/>
    <n v="191"/>
  </r>
  <r>
    <x v="3"/>
    <n v="84"/>
  </r>
  <r>
    <x v="3"/>
    <n v="200"/>
  </r>
  <r>
    <x v="3"/>
    <n v="282"/>
  </r>
  <r>
    <x v="2"/>
    <n v="194"/>
  </r>
  <r>
    <x v="3"/>
    <n v="145"/>
  </r>
  <r>
    <x v="4"/>
    <n v="208"/>
  </r>
  <r>
    <x v="4"/>
    <n v="25"/>
  </r>
  <r>
    <x v="4"/>
    <n v="10"/>
  </r>
  <r>
    <x v="3"/>
    <n v="104"/>
  </r>
  <r>
    <x v="3"/>
    <n v="235"/>
  </r>
  <r>
    <x v="4"/>
    <n v="19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2024-06-03"/>
    <x v="0"/>
    <n v="1135"/>
    <n v="88"/>
    <n v="344084"/>
    <n v="8.06"/>
    <n v="5904"/>
  </r>
  <r>
    <s v="2024-06-03"/>
    <x v="1"/>
    <n v="1312"/>
    <n v="310"/>
    <n v="42654"/>
    <n v="4.9800000000000004"/>
    <n v="9566"/>
  </r>
  <r>
    <s v="2024-06-03"/>
    <x v="2"/>
    <n v="584"/>
    <n v="169"/>
    <n v="146834"/>
    <n v="8.31"/>
    <n v="26752"/>
  </r>
  <r>
    <s v="2024-06-03"/>
    <x v="3"/>
    <n v="1535"/>
    <n v="445"/>
    <n v="395536"/>
    <n v="4.1100000000000003"/>
    <n v="30671"/>
  </r>
  <r>
    <s v="2024-06-10"/>
    <x v="0"/>
    <n v="656"/>
    <n v="139"/>
    <n v="49157"/>
    <n v="9.0500000000000007"/>
    <n v="9920"/>
  </r>
  <r>
    <s v="2024-06-10"/>
    <x v="1"/>
    <n v="1697"/>
    <n v="414"/>
    <n v="316555"/>
    <n v="2.37"/>
    <n v="7924"/>
  </r>
  <r>
    <s v="2024-06-10"/>
    <x v="2"/>
    <n v="436"/>
    <n v="250"/>
    <n v="254347"/>
    <n v="4.01"/>
    <n v="8912"/>
  </r>
  <r>
    <s v="2024-06-10"/>
    <x v="3"/>
    <n v="1197"/>
    <n v="203"/>
    <n v="413878"/>
    <n v="3.16"/>
    <n v="21205"/>
  </r>
  <r>
    <s v="2024-06-17"/>
    <x v="0"/>
    <n v="1048"/>
    <n v="155"/>
    <n v="456946"/>
    <n v="2.46"/>
    <n v="11329"/>
  </r>
  <r>
    <s v="2024-06-17"/>
    <x v="1"/>
    <n v="1753"/>
    <n v="371"/>
    <n v="169496"/>
    <n v="8.11"/>
    <n v="46670"/>
  </r>
  <r>
    <s v="2024-06-17"/>
    <x v="2"/>
    <n v="1335"/>
    <n v="40"/>
    <n v="122732"/>
    <n v="8.19"/>
    <n v="22482"/>
  </r>
  <r>
    <s v="2024-06-17"/>
    <x v="3"/>
    <n v="403"/>
    <n v="66"/>
    <n v="382851"/>
    <n v="3.49"/>
    <n v="24313"/>
  </r>
  <r>
    <s v="2024-06-24"/>
    <x v="0"/>
    <n v="911"/>
    <n v="282"/>
    <n v="35664"/>
    <n v="6.92"/>
    <n v="18050"/>
  </r>
  <r>
    <s v="2024-06-24"/>
    <x v="1"/>
    <n v="1779"/>
    <n v="109"/>
    <n v="26295"/>
    <n v="9.1199999999999992"/>
    <n v="30635"/>
  </r>
  <r>
    <s v="2024-06-24"/>
    <x v="2"/>
    <n v="1238"/>
    <n v="403"/>
    <n v="298421"/>
    <n v="3.5"/>
    <n v="31280"/>
  </r>
  <r>
    <s v="2024-06-24"/>
    <x v="3"/>
    <n v="308"/>
    <n v="431"/>
    <n v="426184"/>
    <n v="2.62"/>
    <n v="1783"/>
  </r>
  <r>
    <s v="2024-07-01"/>
    <x v="0"/>
    <n v="226"/>
    <n v="445"/>
    <n v="419447"/>
    <n v="9.36"/>
    <n v="9566"/>
  </r>
  <r>
    <s v="2024-07-01"/>
    <x v="1"/>
    <n v="505"/>
    <n v="441"/>
    <n v="220020"/>
    <n v="4.4800000000000004"/>
    <n v="42307"/>
  </r>
  <r>
    <s v="2024-07-01"/>
    <x v="2"/>
    <n v="1420"/>
    <n v="63"/>
    <n v="315305"/>
    <n v="6.19"/>
    <n v="5914"/>
  </r>
  <r>
    <s v="2024-07-01"/>
    <x v="3"/>
    <n v="144"/>
    <n v="53"/>
    <n v="113678"/>
    <n v="8.7200000000000006"/>
    <n v="30060"/>
  </r>
  <r>
    <s v="2024-07-08"/>
    <x v="0"/>
    <n v="1757"/>
    <n v="85"/>
    <n v="58223"/>
    <n v="8.74"/>
    <n v="22728"/>
  </r>
  <r>
    <s v="2024-07-08"/>
    <x v="1"/>
    <n v="350"/>
    <n v="41"/>
    <n v="251694"/>
    <n v="1.91"/>
    <n v="38610"/>
  </r>
  <r>
    <s v="2024-07-08"/>
    <x v="2"/>
    <n v="987"/>
    <n v="440"/>
    <n v="389810"/>
    <n v="4.66"/>
    <n v="2932"/>
  </r>
  <r>
    <s v="2024-07-08"/>
    <x v="3"/>
    <n v="883"/>
    <n v="369"/>
    <n v="233694"/>
    <n v="2.88"/>
    <n v="15071"/>
  </r>
  <r>
    <s v="2024-07-15"/>
    <x v="0"/>
    <n v="1960"/>
    <n v="115"/>
    <n v="154169"/>
    <n v="3.74"/>
    <n v="10740"/>
  </r>
  <r>
    <s v="2024-07-15"/>
    <x v="1"/>
    <n v="170"/>
    <n v="334"/>
    <n v="334626"/>
    <n v="6.44"/>
    <n v="43420"/>
  </r>
  <r>
    <s v="2024-07-15"/>
    <x v="2"/>
    <n v="704"/>
    <n v="275"/>
    <n v="226002"/>
    <n v="8.56"/>
    <n v="32393"/>
  </r>
  <r>
    <s v="2024-07-15"/>
    <x v="3"/>
    <n v="224"/>
    <n v="64"/>
    <n v="156683"/>
    <n v="4.5599999999999996"/>
    <n v="28474"/>
  </r>
  <r>
    <s v="2024-07-22"/>
    <x v="0"/>
    <n v="508"/>
    <n v="349"/>
    <n v="473812"/>
    <n v="7.88"/>
    <n v="17328"/>
  </r>
  <r>
    <s v="2024-07-22"/>
    <x v="1"/>
    <n v="1391"/>
    <n v="430"/>
    <n v="295032"/>
    <n v="7.86"/>
    <n v="26067"/>
  </r>
  <r>
    <s v="2024-07-22"/>
    <x v="2"/>
    <n v="1701"/>
    <n v="385"/>
    <n v="198278"/>
    <n v="5.34"/>
    <n v="32763"/>
  </r>
  <r>
    <s v="2024-07-22"/>
    <x v="3"/>
    <n v="804"/>
    <n v="487"/>
    <n v="306564"/>
    <n v="5.52"/>
    <n v="26452"/>
  </r>
  <r>
    <s v="2024-07-29"/>
    <x v="0"/>
    <n v="653"/>
    <n v="112"/>
    <n v="23664"/>
    <n v="4.05"/>
    <n v="15353"/>
  </r>
  <r>
    <s v="2024-07-29"/>
    <x v="1"/>
    <n v="160"/>
    <n v="478"/>
    <n v="435034"/>
    <n v="7.73"/>
    <n v="4839"/>
  </r>
  <r>
    <s v="2024-07-29"/>
    <x v="2"/>
    <n v="1756"/>
    <n v="261"/>
    <n v="287574"/>
    <n v="4.3600000000000003"/>
    <n v="39272"/>
  </r>
  <r>
    <s v="2024-07-29"/>
    <x v="3"/>
    <n v="576"/>
    <n v="101"/>
    <n v="62499"/>
    <n v="3.48"/>
    <n v="16804"/>
  </r>
  <r>
    <s v="2024-08-05"/>
    <x v="0"/>
    <n v="645"/>
    <n v="293"/>
    <n v="437968"/>
    <n v="7.83"/>
    <n v="49303"/>
  </r>
  <r>
    <s v="2024-08-05"/>
    <x v="1"/>
    <n v="214"/>
    <n v="411"/>
    <n v="125034"/>
    <n v="6.11"/>
    <n v="26455"/>
  </r>
  <r>
    <s v="2024-08-05"/>
    <x v="2"/>
    <n v="826"/>
    <n v="498"/>
    <n v="449994"/>
    <n v="9.43"/>
    <n v="12384"/>
  </r>
  <r>
    <s v="2024-08-05"/>
    <x v="3"/>
    <n v="460"/>
    <n v="141"/>
    <n v="320650"/>
    <n v="4.04"/>
    <n v="49372"/>
  </r>
  <r>
    <s v="2024-08-12"/>
    <x v="0"/>
    <n v="1528"/>
    <n v="203"/>
    <n v="489188"/>
    <n v="6.23"/>
    <n v="47101"/>
  </r>
  <r>
    <s v="2024-08-12"/>
    <x v="1"/>
    <n v="1534"/>
    <n v="200"/>
    <n v="307612"/>
    <n v="6.01"/>
    <n v="37903"/>
  </r>
  <r>
    <s v="2024-08-12"/>
    <x v="2"/>
    <n v="485"/>
    <n v="448"/>
    <n v="434883"/>
    <n v="8.5500000000000007"/>
    <n v="33258"/>
  </r>
  <r>
    <s v="2024-08-12"/>
    <x v="3"/>
    <n v="1210"/>
    <n v="178"/>
    <n v="102042"/>
    <n v="5.42"/>
    <n v="6915"/>
  </r>
  <r>
    <s v="2024-08-19"/>
    <x v="0"/>
    <n v="215"/>
    <n v="139"/>
    <n v="325444"/>
    <n v="3.25"/>
    <n v="35501"/>
  </r>
  <r>
    <s v="2024-08-19"/>
    <x v="1"/>
    <n v="1078"/>
    <n v="20"/>
    <n v="183924"/>
    <n v="8.84"/>
    <n v="14203"/>
  </r>
  <r>
    <s v="2024-08-19"/>
    <x v="2"/>
    <n v="1751"/>
    <n v="86"/>
    <n v="188655"/>
    <n v="7.24"/>
    <n v="22206"/>
  </r>
  <r>
    <s v="2024-08-19"/>
    <x v="3"/>
    <n v="221"/>
    <n v="31"/>
    <n v="87443"/>
    <n v="6.19"/>
    <n v="10283"/>
  </r>
  <r>
    <s v="2024-08-26"/>
    <x v="0"/>
    <n v="1685"/>
    <n v="76"/>
    <n v="453799"/>
    <n v="5.71"/>
    <n v="24913"/>
  </r>
  <r>
    <s v="2024-08-26"/>
    <x v="1"/>
    <n v="248"/>
    <n v="211"/>
    <n v="379380"/>
    <n v="9.0399999999999991"/>
    <n v="26925"/>
  </r>
  <r>
    <s v="2024-08-26"/>
    <x v="2"/>
    <n v="1300"/>
    <n v="71"/>
    <n v="186454"/>
    <n v="3.91"/>
    <n v="9942"/>
  </r>
  <r>
    <s v="2024-08-26"/>
    <x v="3"/>
    <n v="422"/>
    <n v="394"/>
    <n v="239044"/>
    <n v="7.83"/>
    <n v="32929"/>
  </r>
  <r>
    <s v="2024-09-02"/>
    <x v="0"/>
    <n v="1429"/>
    <n v="182"/>
    <n v="101332"/>
    <n v="7.16"/>
    <n v="37829"/>
  </r>
  <r>
    <s v="2024-09-02"/>
    <x v="1"/>
    <n v="1520"/>
    <n v="475"/>
    <n v="496982"/>
    <n v="6.41"/>
    <n v="24384"/>
  </r>
  <r>
    <s v="2024-09-02"/>
    <x v="2"/>
    <n v="557"/>
    <n v="360"/>
    <n v="318779"/>
    <n v="8.02"/>
    <n v="25797"/>
  </r>
  <r>
    <s v="2024-09-02"/>
    <x v="3"/>
    <n v="728"/>
    <n v="395"/>
    <n v="370971"/>
    <n v="3.86"/>
    <n v="12646"/>
  </r>
  <r>
    <s v="2024-09-09"/>
    <x v="0"/>
    <n v="1592"/>
    <n v="20"/>
    <n v="378054"/>
    <n v="9.09"/>
    <n v="26663"/>
  </r>
  <r>
    <s v="2024-09-09"/>
    <x v="1"/>
    <n v="1842"/>
    <n v="414"/>
    <n v="307524"/>
    <n v="1.76"/>
    <n v="40478"/>
  </r>
  <r>
    <s v="2024-09-09"/>
    <x v="2"/>
    <n v="751"/>
    <n v="491"/>
    <n v="434047"/>
    <n v="9.24"/>
    <n v="15476"/>
  </r>
  <r>
    <s v="2024-09-09"/>
    <x v="3"/>
    <n v="1409"/>
    <n v="309"/>
    <n v="64583"/>
    <n v="8.99"/>
    <n v="10217"/>
  </r>
  <r>
    <s v="2024-09-16"/>
    <x v="0"/>
    <n v="778"/>
    <n v="401"/>
    <n v="50793"/>
    <n v="3.4"/>
    <n v="21939"/>
  </r>
  <r>
    <s v="2024-09-16"/>
    <x v="1"/>
    <n v="443"/>
    <n v="345"/>
    <n v="474162"/>
    <n v="9.1999999999999993"/>
    <n v="47462"/>
  </r>
  <r>
    <s v="2024-09-16"/>
    <x v="2"/>
    <n v="1472"/>
    <n v="347"/>
    <n v="392355"/>
    <n v="8.59"/>
    <n v="30270"/>
  </r>
  <r>
    <s v="2024-09-16"/>
    <x v="3"/>
    <n v="123"/>
    <n v="155"/>
    <n v="119934"/>
    <n v="3.5"/>
    <n v="5442"/>
  </r>
  <r>
    <s v="2024-09-23"/>
    <x v="0"/>
    <n v="817"/>
    <n v="151"/>
    <n v="422625"/>
    <n v="2.36"/>
    <n v="1083"/>
  </r>
  <r>
    <s v="2024-09-23"/>
    <x v="1"/>
    <n v="198"/>
    <n v="217"/>
    <n v="239753"/>
    <n v="7.36"/>
    <n v="11901"/>
  </r>
  <r>
    <s v="2024-09-23"/>
    <x v="2"/>
    <n v="1911"/>
    <n v="231"/>
    <n v="268516"/>
    <n v="8.5500000000000007"/>
    <n v="24018"/>
  </r>
  <r>
    <s v="2024-09-23"/>
    <x v="3"/>
    <n v="1218"/>
    <n v="212"/>
    <n v="63177"/>
    <n v="8.1300000000000008"/>
    <n v="38883"/>
  </r>
  <r>
    <s v="2024-09-30"/>
    <x v="0"/>
    <n v="1433"/>
    <n v="408"/>
    <n v="370269"/>
    <n v="3.3"/>
    <n v="30575"/>
  </r>
  <r>
    <s v="2024-09-30"/>
    <x v="1"/>
    <n v="250"/>
    <n v="429"/>
    <n v="453423"/>
    <n v="1.77"/>
    <n v="2315"/>
  </r>
  <r>
    <s v="2024-09-30"/>
    <x v="2"/>
    <n v="752"/>
    <n v="153"/>
    <n v="64906"/>
    <n v="2.09"/>
    <n v="12148"/>
  </r>
  <r>
    <s v="2024-09-30"/>
    <x v="3"/>
    <n v="1918"/>
    <n v="212"/>
    <n v="94360"/>
    <n v="7.36"/>
    <n v="36851"/>
  </r>
  <r>
    <s v="2024-10-07"/>
    <x v="0"/>
    <n v="1939"/>
    <n v="67"/>
    <n v="187183"/>
    <n v="6.25"/>
    <n v="41215"/>
  </r>
  <r>
    <s v="2024-10-07"/>
    <x v="1"/>
    <n v="1929"/>
    <n v="267"/>
    <n v="379363"/>
    <n v="1.75"/>
    <n v="43836"/>
  </r>
  <r>
    <s v="2024-10-07"/>
    <x v="2"/>
    <n v="437"/>
    <n v="330"/>
    <n v="476486"/>
    <n v="4.97"/>
    <n v="4509"/>
  </r>
  <r>
    <s v="2024-10-07"/>
    <x v="3"/>
    <n v="307"/>
    <n v="189"/>
    <n v="117767"/>
    <n v="9.3000000000000007"/>
    <n v="27822"/>
  </r>
  <r>
    <s v="2024-10-14"/>
    <x v="0"/>
    <n v="1527"/>
    <n v="303"/>
    <n v="388555"/>
    <n v="8.9"/>
    <n v="36397"/>
  </r>
  <r>
    <s v="2024-10-14"/>
    <x v="1"/>
    <n v="643"/>
    <n v="358"/>
    <n v="157599"/>
    <n v="3.88"/>
    <n v="7285"/>
  </r>
  <r>
    <s v="2024-10-14"/>
    <x v="2"/>
    <n v="201"/>
    <n v="221"/>
    <n v="309772"/>
    <n v="5.9"/>
    <n v="33174"/>
  </r>
  <r>
    <s v="2024-10-14"/>
    <x v="3"/>
    <n v="414"/>
    <n v="47"/>
    <n v="199178"/>
    <n v="1.53"/>
    <n v="6742"/>
  </r>
  <r>
    <s v="2024-10-21"/>
    <x v="0"/>
    <n v="703"/>
    <n v="441"/>
    <n v="357089"/>
    <n v="6.5"/>
    <n v="32478"/>
  </r>
  <r>
    <s v="2024-10-21"/>
    <x v="1"/>
    <n v="508"/>
    <n v="69"/>
    <n v="23492"/>
    <n v="3.16"/>
    <n v="42824"/>
  </r>
  <r>
    <s v="2024-10-21"/>
    <x v="2"/>
    <n v="697"/>
    <n v="61"/>
    <n v="258287"/>
    <n v="8.25"/>
    <n v="21208"/>
  </r>
  <r>
    <s v="2024-10-21"/>
    <x v="3"/>
    <n v="1707"/>
    <n v="223"/>
    <n v="256910"/>
    <n v="5.41"/>
    <n v="44321"/>
  </r>
  <r>
    <s v="2024-10-28"/>
    <x v="0"/>
    <n v="642"/>
    <n v="66"/>
    <n v="346522"/>
    <n v="5.85"/>
    <n v="13116"/>
  </r>
  <r>
    <s v="2024-10-28"/>
    <x v="1"/>
    <n v="859"/>
    <n v="473"/>
    <n v="209987"/>
    <n v="4.46"/>
    <n v="30214"/>
  </r>
  <r>
    <s v="2024-10-28"/>
    <x v="2"/>
    <n v="191"/>
    <n v="154"/>
    <n v="240550"/>
    <n v="5.22"/>
    <n v="15827"/>
  </r>
  <r>
    <s v="2024-10-28"/>
    <x v="3"/>
    <n v="1814"/>
    <n v="157"/>
    <n v="305827"/>
    <n v="1.99"/>
    <n v="46643"/>
  </r>
  <r>
    <s v="2024-11-04"/>
    <x v="0"/>
    <n v="1466"/>
    <n v="69"/>
    <n v="54935"/>
    <n v="6.85"/>
    <n v="36484"/>
  </r>
  <r>
    <s v="2024-11-04"/>
    <x v="1"/>
    <n v="947"/>
    <n v="407"/>
    <n v="319186"/>
    <n v="3.32"/>
    <n v="4996"/>
  </r>
  <r>
    <s v="2024-11-04"/>
    <x v="2"/>
    <n v="1821"/>
    <n v="218"/>
    <n v="439080"/>
    <n v="5.68"/>
    <n v="36095"/>
  </r>
  <r>
    <s v="2024-11-04"/>
    <x v="3"/>
    <n v="1507"/>
    <n v="463"/>
    <n v="258944"/>
    <n v="6.08"/>
    <n v="16443"/>
  </r>
  <r>
    <s v="2024-11-11"/>
    <x v="0"/>
    <n v="1075"/>
    <n v="173"/>
    <n v="51395"/>
    <n v="4.66"/>
    <n v="47812"/>
  </r>
  <r>
    <s v="2024-11-11"/>
    <x v="1"/>
    <n v="171"/>
    <n v="277"/>
    <n v="309483"/>
    <n v="8.6999999999999993"/>
    <n v="38452"/>
  </r>
  <r>
    <s v="2024-11-11"/>
    <x v="2"/>
    <n v="1487"/>
    <n v="337"/>
    <n v="87305"/>
    <n v="2.46"/>
    <n v="30428"/>
  </r>
  <r>
    <s v="2024-11-11"/>
    <x v="3"/>
    <n v="454"/>
    <n v="105"/>
    <n v="121091"/>
    <n v="7.97"/>
    <n v="9269"/>
  </r>
  <r>
    <s v="2024-11-18"/>
    <x v="0"/>
    <n v="187"/>
    <n v="236"/>
    <n v="51087"/>
    <n v="9.41"/>
    <n v="29533"/>
  </r>
  <r>
    <s v="2024-11-18"/>
    <x v="1"/>
    <n v="513"/>
    <n v="441"/>
    <n v="338847"/>
    <n v="2.68"/>
    <n v="39997"/>
  </r>
  <r>
    <s v="2024-11-18"/>
    <x v="2"/>
    <n v="628"/>
    <n v="183"/>
    <n v="487523"/>
    <n v="7.32"/>
    <n v="5391"/>
  </r>
  <r>
    <s v="2024-11-18"/>
    <x v="3"/>
    <n v="278"/>
    <n v="218"/>
    <n v="301695"/>
    <n v="4.68"/>
    <n v="22373"/>
  </r>
  <r>
    <s v="2024-11-25"/>
    <x v="0"/>
    <n v="1854"/>
    <n v="161"/>
    <n v="282466"/>
    <n v="5.17"/>
    <n v="1810"/>
  </r>
  <r>
    <s v="2024-11-25"/>
    <x v="1"/>
    <n v="1710"/>
    <n v="378"/>
    <n v="336661"/>
    <n v="6.2"/>
    <n v="28498"/>
  </r>
  <r>
    <s v="2024-11-25"/>
    <x v="2"/>
    <n v="330"/>
    <n v="232"/>
    <n v="88455"/>
    <n v="2.69"/>
    <n v="39530"/>
  </r>
  <r>
    <s v="2024-11-25"/>
    <x v="3"/>
    <n v="1293"/>
    <n v="408"/>
    <n v="62535"/>
    <n v="8.9"/>
    <n v="37876"/>
  </r>
  <r>
    <s v="2024-12-02"/>
    <x v="0"/>
    <n v="1696"/>
    <n v="71"/>
    <n v="421957"/>
    <n v="3.79"/>
    <n v="36103"/>
  </r>
  <r>
    <s v="2024-12-02"/>
    <x v="1"/>
    <n v="1902"/>
    <n v="196"/>
    <n v="470269"/>
    <n v="4.79"/>
    <n v="26103"/>
  </r>
  <r>
    <s v="2024-12-02"/>
    <x v="2"/>
    <n v="1441"/>
    <n v="268"/>
    <n v="309904"/>
    <n v="6.37"/>
    <n v="3455"/>
  </r>
  <r>
    <s v="2024-12-02"/>
    <x v="3"/>
    <n v="452"/>
    <n v="161"/>
    <n v="221274"/>
    <n v="2.65"/>
    <n v="40888"/>
  </r>
  <r>
    <s v="2024-12-09"/>
    <x v="0"/>
    <n v="1494"/>
    <n v="375"/>
    <n v="220616"/>
    <n v="1.81"/>
    <n v="22724"/>
  </r>
  <r>
    <s v="2024-12-09"/>
    <x v="1"/>
    <n v="1514"/>
    <n v="141"/>
    <n v="35842"/>
    <n v="7.47"/>
    <n v="18601"/>
  </r>
  <r>
    <s v="2024-12-09"/>
    <x v="2"/>
    <n v="1937"/>
    <n v="210"/>
    <n v="20607"/>
    <n v="4.2"/>
    <n v="20861"/>
  </r>
  <r>
    <s v="2024-12-09"/>
    <x v="3"/>
    <n v="736"/>
    <n v="163"/>
    <n v="451894"/>
    <n v="5.43"/>
    <n v="46625"/>
  </r>
  <r>
    <s v="2024-12-16"/>
    <x v="0"/>
    <n v="1502"/>
    <n v="70"/>
    <n v="465553"/>
    <n v="3.32"/>
    <n v="20692"/>
  </r>
  <r>
    <s v="2024-12-16"/>
    <x v="1"/>
    <n v="1623"/>
    <n v="246"/>
    <n v="415815"/>
    <n v="8.11"/>
    <n v="18656"/>
  </r>
  <r>
    <s v="2024-12-16"/>
    <x v="2"/>
    <n v="1592"/>
    <n v="233"/>
    <n v="327183"/>
    <n v="6.66"/>
    <n v="13316"/>
  </r>
  <r>
    <s v="2024-12-16"/>
    <x v="3"/>
    <n v="1004"/>
    <n v="128"/>
    <n v="488901"/>
    <n v="8.09"/>
    <n v="49558"/>
  </r>
  <r>
    <s v="2024-12-23"/>
    <x v="0"/>
    <n v="1092"/>
    <n v="408"/>
    <n v="280795"/>
    <n v="8.44"/>
    <n v="4683"/>
  </r>
  <r>
    <s v="2024-12-23"/>
    <x v="1"/>
    <n v="1155"/>
    <n v="425"/>
    <n v="93347"/>
    <n v="2.02"/>
    <n v="47502"/>
  </r>
  <r>
    <s v="2024-12-23"/>
    <x v="2"/>
    <n v="1137"/>
    <n v="226"/>
    <n v="81119"/>
    <n v="7.74"/>
    <n v="35359"/>
  </r>
  <r>
    <s v="2024-12-23"/>
    <x v="3"/>
    <n v="1900"/>
    <n v="311"/>
    <n v="25177"/>
    <n v="2.89"/>
    <n v="14154"/>
  </r>
  <r>
    <s v="2024-12-30"/>
    <x v="0"/>
    <n v="1814"/>
    <n v="49"/>
    <n v="140804"/>
    <n v="1.76"/>
    <n v="4313"/>
  </r>
  <r>
    <s v="2024-12-30"/>
    <x v="1"/>
    <n v="1980"/>
    <n v="204"/>
    <n v="379431"/>
    <n v="3.09"/>
    <n v="25140"/>
  </r>
  <r>
    <s v="2024-12-30"/>
    <x v="2"/>
    <n v="1786"/>
    <n v="257"/>
    <n v="274831"/>
    <n v="4.68"/>
    <n v="9118"/>
  </r>
  <r>
    <s v="2024-12-30"/>
    <x v="3"/>
    <n v="1495"/>
    <n v="35"/>
    <n v="136845"/>
    <n v="4.4800000000000004"/>
    <n v="39931"/>
  </r>
  <r>
    <s v="2025-01-06"/>
    <x v="0"/>
    <n v="1013"/>
    <n v="110"/>
    <n v="466382"/>
    <n v="5.3"/>
    <n v="37132"/>
  </r>
  <r>
    <s v="2025-01-06"/>
    <x v="1"/>
    <n v="816"/>
    <n v="196"/>
    <n v="95728"/>
    <n v="8.1999999999999993"/>
    <n v="17951"/>
  </r>
  <r>
    <s v="2025-01-06"/>
    <x v="2"/>
    <n v="1633"/>
    <n v="445"/>
    <n v="371156"/>
    <n v="2.2200000000000002"/>
    <n v="2798"/>
  </r>
  <r>
    <s v="2025-01-06"/>
    <x v="3"/>
    <n v="891"/>
    <n v="45"/>
    <n v="95410"/>
    <n v="8.33"/>
    <n v="15045"/>
  </r>
  <r>
    <s v="2025-01-13"/>
    <x v="0"/>
    <n v="1855"/>
    <n v="133"/>
    <n v="349413"/>
    <n v="3.3"/>
    <n v="14548"/>
  </r>
  <r>
    <s v="2025-01-13"/>
    <x v="1"/>
    <n v="651"/>
    <n v="353"/>
    <n v="224699"/>
    <n v="5.61"/>
    <n v="45708"/>
  </r>
  <r>
    <s v="2025-01-13"/>
    <x v="2"/>
    <n v="118"/>
    <n v="262"/>
    <n v="487896"/>
    <n v="2.56"/>
    <n v="12350"/>
  </r>
  <r>
    <s v="2025-01-13"/>
    <x v="3"/>
    <n v="1331"/>
    <n v="430"/>
    <n v="14437"/>
    <n v="3.29"/>
    <n v="40868"/>
  </r>
  <r>
    <s v="2025-01-20"/>
    <x v="0"/>
    <n v="1748"/>
    <n v="176"/>
    <n v="383681"/>
    <n v="9.24"/>
    <n v="43122"/>
  </r>
  <r>
    <s v="2025-01-20"/>
    <x v="1"/>
    <n v="663"/>
    <n v="236"/>
    <n v="479490"/>
    <n v="4.51"/>
    <n v="23853"/>
  </r>
  <r>
    <s v="2025-01-20"/>
    <x v="2"/>
    <n v="1040"/>
    <n v="149"/>
    <n v="124404"/>
    <n v="5.23"/>
    <n v="45380"/>
  </r>
  <r>
    <s v="2025-01-20"/>
    <x v="3"/>
    <n v="1166"/>
    <n v="442"/>
    <n v="336949"/>
    <n v="4.68"/>
    <n v="7705"/>
  </r>
  <r>
    <s v="2025-01-27"/>
    <x v="0"/>
    <n v="115"/>
    <n v="281"/>
    <n v="357265"/>
    <n v="9.23"/>
    <n v="25525"/>
  </r>
  <r>
    <s v="2025-01-27"/>
    <x v="1"/>
    <n v="1249"/>
    <n v="351"/>
    <n v="321307"/>
    <n v="6.37"/>
    <n v="20560"/>
  </r>
  <r>
    <s v="2025-01-27"/>
    <x v="2"/>
    <n v="1501"/>
    <n v="75"/>
    <n v="262569"/>
    <n v="2.0099999999999998"/>
    <n v="19119"/>
  </r>
  <r>
    <s v="2025-01-27"/>
    <x v="3"/>
    <n v="1411"/>
    <n v="186"/>
    <n v="461669"/>
    <n v="3.72"/>
    <n v="43999"/>
  </r>
  <r>
    <s v="2025-02-03"/>
    <x v="0"/>
    <n v="1556"/>
    <n v="476"/>
    <n v="351556"/>
    <n v="3.89"/>
    <n v="10825"/>
  </r>
  <r>
    <s v="2025-02-03"/>
    <x v="1"/>
    <n v="1159"/>
    <n v="411"/>
    <n v="135987"/>
    <n v="8.6999999999999993"/>
    <n v="40323"/>
  </r>
  <r>
    <s v="2025-02-03"/>
    <x v="2"/>
    <n v="927"/>
    <n v="358"/>
    <n v="177554"/>
    <n v="6.95"/>
    <n v="48270"/>
  </r>
  <r>
    <s v="2025-02-03"/>
    <x v="3"/>
    <n v="152"/>
    <n v="355"/>
    <n v="270766"/>
    <n v="9.48"/>
    <n v="18001"/>
  </r>
  <r>
    <s v="2025-02-10"/>
    <x v="0"/>
    <n v="1957"/>
    <n v="234"/>
    <n v="222126"/>
    <n v="4.6100000000000003"/>
    <n v="3314"/>
  </r>
  <r>
    <s v="2025-02-10"/>
    <x v="1"/>
    <n v="1294"/>
    <n v="382"/>
    <n v="309914"/>
    <n v="8.0299999999999994"/>
    <n v="23489"/>
  </r>
  <r>
    <s v="2025-02-10"/>
    <x v="2"/>
    <n v="1587"/>
    <n v="385"/>
    <n v="126582"/>
    <n v="6.99"/>
    <n v="42832"/>
  </r>
  <r>
    <s v="2025-02-10"/>
    <x v="3"/>
    <n v="1707"/>
    <n v="263"/>
    <n v="485280"/>
    <n v="9.0299999999999994"/>
    <n v="24494"/>
  </r>
  <r>
    <s v="2025-02-17"/>
    <x v="0"/>
    <n v="1138"/>
    <n v="173"/>
    <n v="453243"/>
    <n v="2.86"/>
    <n v="44097"/>
  </r>
  <r>
    <s v="2025-02-17"/>
    <x v="1"/>
    <n v="1895"/>
    <n v="305"/>
    <n v="104967"/>
    <n v="3.85"/>
    <n v="31853"/>
  </r>
  <r>
    <s v="2025-02-17"/>
    <x v="2"/>
    <n v="362"/>
    <n v="399"/>
    <n v="145608"/>
    <n v="7.3"/>
    <n v="37636"/>
  </r>
  <r>
    <s v="2025-02-17"/>
    <x v="3"/>
    <n v="1662"/>
    <n v="487"/>
    <n v="105980"/>
    <n v="9.08"/>
    <n v="22996"/>
  </r>
  <r>
    <s v="2025-02-24"/>
    <x v="0"/>
    <n v="1440"/>
    <n v="65"/>
    <n v="126524"/>
    <n v="4.34"/>
    <n v="49772"/>
  </r>
  <r>
    <s v="2025-02-24"/>
    <x v="1"/>
    <n v="1884"/>
    <n v="177"/>
    <n v="230448"/>
    <n v="7.8"/>
    <n v="22713"/>
  </r>
  <r>
    <s v="2025-02-24"/>
    <x v="2"/>
    <n v="861"/>
    <n v="153"/>
    <n v="317007"/>
    <n v="3.85"/>
    <n v="8718"/>
  </r>
  <r>
    <s v="2025-02-24"/>
    <x v="3"/>
    <n v="1063"/>
    <n v="47"/>
    <n v="464239"/>
    <n v="6.58"/>
    <n v="39031"/>
  </r>
  <r>
    <s v="2025-03-03"/>
    <x v="0"/>
    <n v="1371"/>
    <n v="56"/>
    <n v="257579"/>
    <n v="8.6199999999999992"/>
    <n v="33799"/>
  </r>
  <r>
    <s v="2025-03-03"/>
    <x v="1"/>
    <n v="345"/>
    <n v="464"/>
    <n v="366881"/>
    <n v="4.55"/>
    <n v="20553"/>
  </r>
  <r>
    <s v="2025-03-03"/>
    <x v="2"/>
    <n v="946"/>
    <n v="47"/>
    <n v="466575"/>
    <n v="8.33"/>
    <n v="10002"/>
  </r>
  <r>
    <s v="2025-03-03"/>
    <x v="3"/>
    <n v="510"/>
    <n v="195"/>
    <n v="224534"/>
    <n v="9.4"/>
    <n v="30987"/>
  </r>
  <r>
    <s v="2025-03-10"/>
    <x v="0"/>
    <n v="393"/>
    <n v="181"/>
    <n v="462142"/>
    <n v="7.23"/>
    <n v="6296"/>
  </r>
  <r>
    <s v="2025-03-10"/>
    <x v="1"/>
    <n v="1098"/>
    <n v="190"/>
    <n v="340842"/>
    <n v="9.39"/>
    <n v="21539"/>
  </r>
  <r>
    <s v="2025-03-10"/>
    <x v="2"/>
    <n v="1399"/>
    <n v="49"/>
    <n v="12471"/>
    <n v="5.12"/>
    <n v="14722"/>
  </r>
  <r>
    <s v="2025-03-10"/>
    <x v="3"/>
    <n v="1658"/>
    <n v="416"/>
    <n v="98397"/>
    <n v="6.11"/>
    <n v="11383"/>
  </r>
  <r>
    <s v="2025-03-17"/>
    <x v="0"/>
    <n v="1102"/>
    <n v="422"/>
    <n v="410330"/>
    <n v="7.74"/>
    <n v="9480"/>
  </r>
  <r>
    <s v="2025-03-17"/>
    <x v="1"/>
    <n v="1358"/>
    <n v="242"/>
    <n v="342129"/>
    <n v="4.9400000000000004"/>
    <n v="29116"/>
  </r>
  <r>
    <s v="2025-03-17"/>
    <x v="2"/>
    <n v="1077"/>
    <n v="216"/>
    <n v="12447"/>
    <n v="1.8"/>
    <n v="14068"/>
  </r>
  <r>
    <s v="2025-03-17"/>
    <x v="3"/>
    <n v="1596"/>
    <n v="211"/>
    <n v="17380"/>
    <n v="8.64"/>
    <n v="35801"/>
  </r>
  <r>
    <s v="2025-03-24"/>
    <x v="0"/>
    <n v="490"/>
    <n v="29"/>
    <n v="364810"/>
    <n v="1.53"/>
    <n v="49077"/>
  </r>
  <r>
    <s v="2025-03-24"/>
    <x v="1"/>
    <n v="609"/>
    <n v="135"/>
    <n v="373606"/>
    <n v="8.52"/>
    <n v="21453"/>
  </r>
  <r>
    <s v="2025-03-24"/>
    <x v="2"/>
    <n v="364"/>
    <n v="72"/>
    <n v="211090"/>
    <n v="5.53"/>
    <n v="21061"/>
  </r>
  <r>
    <s v="2025-03-24"/>
    <x v="3"/>
    <n v="442"/>
    <n v="53"/>
    <n v="441931"/>
    <n v="1.87"/>
    <n v="20059"/>
  </r>
  <r>
    <s v="2025-03-31"/>
    <x v="0"/>
    <n v="1033"/>
    <n v="392"/>
    <n v="282780"/>
    <n v="6.27"/>
    <n v="23140"/>
  </r>
  <r>
    <s v="2025-03-31"/>
    <x v="1"/>
    <n v="988"/>
    <n v="474"/>
    <n v="370070"/>
    <n v="9.4600000000000009"/>
    <n v="23461"/>
  </r>
  <r>
    <s v="2025-03-31"/>
    <x v="2"/>
    <n v="1946"/>
    <n v="270"/>
    <n v="198350"/>
    <n v="7.5"/>
    <n v="11805"/>
  </r>
  <r>
    <s v="2025-03-31"/>
    <x v="3"/>
    <n v="1957"/>
    <n v="490"/>
    <n v="435726"/>
    <n v="4.7300000000000004"/>
    <n v="15969"/>
  </r>
  <r>
    <s v="2025-04-07"/>
    <x v="0"/>
    <n v="559"/>
    <n v="392"/>
    <n v="78789"/>
    <n v="3.19"/>
    <n v="2436"/>
  </r>
  <r>
    <s v="2025-04-07"/>
    <x v="1"/>
    <n v="1307"/>
    <n v="278"/>
    <n v="98596"/>
    <n v="2.4900000000000002"/>
    <n v="47603"/>
  </r>
  <r>
    <s v="2025-04-07"/>
    <x v="2"/>
    <n v="1432"/>
    <n v="425"/>
    <n v="29589"/>
    <n v="4.5"/>
    <n v="42964"/>
  </r>
  <r>
    <s v="2025-04-07"/>
    <x v="3"/>
    <n v="623"/>
    <n v="414"/>
    <n v="290354"/>
    <n v="6.49"/>
    <n v="39923"/>
  </r>
  <r>
    <s v="2025-04-14"/>
    <x v="0"/>
    <n v="198"/>
    <n v="358"/>
    <n v="66682"/>
    <n v="6.73"/>
    <n v="2293"/>
  </r>
  <r>
    <s v="2025-04-14"/>
    <x v="1"/>
    <n v="198"/>
    <n v="373"/>
    <n v="70707"/>
    <n v="4.83"/>
    <n v="25920"/>
  </r>
  <r>
    <s v="2025-04-14"/>
    <x v="2"/>
    <n v="353"/>
    <n v="300"/>
    <n v="142507"/>
    <n v="5.3"/>
    <n v="11035"/>
  </r>
  <r>
    <s v="2025-04-14"/>
    <x v="3"/>
    <n v="520"/>
    <n v="375"/>
    <n v="369525"/>
    <n v="6.54"/>
    <n v="20733"/>
  </r>
  <r>
    <s v="2025-04-21"/>
    <x v="0"/>
    <n v="961"/>
    <n v="358"/>
    <n v="62942"/>
    <n v="6.8"/>
    <n v="18693"/>
  </r>
  <r>
    <s v="2025-04-21"/>
    <x v="1"/>
    <n v="1375"/>
    <n v="330"/>
    <n v="377382"/>
    <n v="2.6"/>
    <n v="7875"/>
  </r>
  <r>
    <s v="2025-04-21"/>
    <x v="2"/>
    <n v="1147"/>
    <n v="388"/>
    <n v="333851"/>
    <n v="2.44"/>
    <n v="8471"/>
  </r>
  <r>
    <s v="2025-04-21"/>
    <x v="3"/>
    <n v="1707"/>
    <n v="74"/>
    <n v="270958"/>
    <n v="3.09"/>
    <n v="14090"/>
  </r>
  <r>
    <s v="2025-04-28"/>
    <x v="0"/>
    <n v="1693"/>
    <n v="154"/>
    <n v="445944"/>
    <n v="5.69"/>
    <n v="14216"/>
  </r>
  <r>
    <s v="2025-04-28"/>
    <x v="1"/>
    <n v="833"/>
    <n v="380"/>
    <n v="224830"/>
    <n v="3.86"/>
    <n v="3582"/>
  </r>
  <r>
    <s v="2025-04-28"/>
    <x v="2"/>
    <n v="1222"/>
    <n v="274"/>
    <n v="487289"/>
    <n v="3.16"/>
    <n v="32500"/>
  </r>
  <r>
    <s v="2025-04-28"/>
    <x v="3"/>
    <n v="777"/>
    <n v="140"/>
    <n v="11435"/>
    <n v="1.6"/>
    <n v="6832"/>
  </r>
  <r>
    <s v="2025-05-05"/>
    <x v="0"/>
    <n v="1957"/>
    <n v="76"/>
    <n v="447902"/>
    <n v="6.09"/>
    <n v="33381"/>
  </r>
  <r>
    <s v="2025-05-05"/>
    <x v="1"/>
    <n v="405"/>
    <n v="66"/>
    <n v="418696"/>
    <n v="5.59"/>
    <n v="48419"/>
  </r>
  <r>
    <s v="2025-05-05"/>
    <x v="2"/>
    <n v="1581"/>
    <n v="71"/>
    <n v="484364"/>
    <n v="3.55"/>
    <n v="16149"/>
  </r>
  <r>
    <s v="2025-05-05"/>
    <x v="3"/>
    <n v="1035"/>
    <n v="171"/>
    <n v="148477"/>
    <n v="5.21"/>
    <n v="7541"/>
  </r>
  <r>
    <s v="2025-05-12"/>
    <x v="0"/>
    <n v="1765"/>
    <n v="109"/>
    <n v="468301"/>
    <n v="1.82"/>
    <n v="20042"/>
  </r>
  <r>
    <s v="2025-05-12"/>
    <x v="1"/>
    <n v="837"/>
    <n v="430"/>
    <n v="364820"/>
    <n v="4"/>
    <n v="49400"/>
  </r>
  <r>
    <s v="2025-05-12"/>
    <x v="2"/>
    <n v="337"/>
    <n v="68"/>
    <n v="456298"/>
    <n v="7.57"/>
    <n v="4007"/>
  </r>
  <r>
    <s v="2025-05-12"/>
    <x v="3"/>
    <n v="119"/>
    <n v="456"/>
    <n v="82558"/>
    <n v="6.81"/>
    <n v="1217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n v="152"/>
    <n v="355"/>
    <n v="270766"/>
    <n v="9.48"/>
    <n v="18001"/>
    <n v="-7.4972485467156139E-4"/>
  </r>
  <r>
    <x v="1"/>
    <n v="988"/>
    <n v="474"/>
    <n v="370070"/>
    <n v="9.4600000000000009"/>
    <n v="23461"/>
    <n v="1.3889264193260734E-3"/>
  </r>
  <r>
    <x v="2"/>
    <n v="826"/>
    <n v="498"/>
    <n v="449994"/>
    <n v="9.43"/>
    <n v="12384"/>
    <n v="7.2889860753698943E-4"/>
  </r>
  <r>
    <x v="3"/>
    <n v="187"/>
    <n v="236"/>
    <n v="51087"/>
    <n v="9.41"/>
    <n v="29533"/>
    <n v="-9.5914811987394058E-4"/>
  </r>
  <r>
    <x v="0"/>
    <n v="510"/>
    <n v="195"/>
    <n v="224534"/>
    <n v="9.4"/>
    <n v="30987"/>
    <n v="1.4029055733207443E-3"/>
  </r>
  <r>
    <x v="1"/>
    <n v="1098"/>
    <n v="190"/>
    <n v="340842"/>
    <n v="9.39"/>
    <n v="21539"/>
    <n v="2.6639909400836752E-3"/>
  </r>
  <r>
    <x v="3"/>
    <n v="226"/>
    <n v="445"/>
    <n v="419447"/>
    <n v="9.36"/>
    <n v="9566"/>
    <n v="-5.2211602419375983E-4"/>
  </r>
  <r>
    <x v="0"/>
    <n v="307"/>
    <n v="189"/>
    <n v="117767"/>
    <n v="9.3000000000000007"/>
    <n v="27822"/>
    <n v="1.0019784829366461E-3"/>
  </r>
  <r>
    <x v="2"/>
    <n v="751"/>
    <n v="491"/>
    <n v="434047"/>
    <n v="9.24"/>
    <n v="15476"/>
    <n v="5.990134708914012E-4"/>
  </r>
  <r>
    <x v="3"/>
    <n v="1748"/>
    <n v="176"/>
    <n v="383681"/>
    <n v="9.24"/>
    <n v="43122"/>
    <n v="4.0971536250166149E-3"/>
  </r>
  <r>
    <x v="3"/>
    <n v="115"/>
    <n v="281"/>
    <n v="357265"/>
    <n v="9.23"/>
    <n v="25525"/>
    <n v="-4.6464109274628077E-4"/>
  </r>
  <r>
    <x v="1"/>
    <n v="443"/>
    <n v="345"/>
    <n v="474162"/>
    <n v="9.1999999999999993"/>
    <n v="47462"/>
    <n v="2.0668041724136477E-4"/>
  </r>
  <r>
    <x v="1"/>
    <n v="1779"/>
    <n v="109"/>
    <n v="26295"/>
    <n v="9.1199999999999992"/>
    <n v="30635"/>
    <n v="6.3510173036698994E-2"/>
  </r>
  <r>
    <x v="3"/>
    <n v="1592"/>
    <n v="20"/>
    <n v="378054"/>
    <n v="9.09"/>
    <n v="26663"/>
    <n v="4.1581361392816901E-3"/>
  </r>
  <r>
    <x v="0"/>
    <n v="1662"/>
    <n v="487"/>
    <n v="105980"/>
    <n v="9.08"/>
    <n v="22996"/>
    <n v="1.1086997546706926E-2"/>
  </r>
  <r>
    <x v="3"/>
    <n v="656"/>
    <n v="139"/>
    <n v="49157"/>
    <n v="9.0500000000000007"/>
    <n v="9920"/>
    <n v="1.0517322049758936E-2"/>
  </r>
  <r>
    <x v="1"/>
    <n v="248"/>
    <n v="211"/>
    <n v="379380"/>
    <n v="9.0399999999999991"/>
    <n v="26925"/>
    <n v="9.7527544941747058E-5"/>
  </r>
  <r>
    <x v="0"/>
    <n v="1707"/>
    <n v="263"/>
    <n v="485280"/>
    <n v="9.0299999999999994"/>
    <n v="24494"/>
    <n v="2.9756017144741179E-3"/>
  </r>
  <r>
    <x v="0"/>
    <n v="1409"/>
    <n v="309"/>
    <n v="64583"/>
    <n v="8.99"/>
    <n v="10217"/>
    <n v="1.7032345973398571E-2"/>
  </r>
  <r>
    <x v="3"/>
    <n v="1527"/>
    <n v="303"/>
    <n v="388555"/>
    <n v="8.9"/>
    <n v="36397"/>
    <n v="3.1501331857780751E-3"/>
  </r>
  <r>
    <x v="0"/>
    <n v="1293"/>
    <n v="408"/>
    <n v="62535"/>
    <n v="8.9"/>
    <n v="37876"/>
    <n v="1.4152074838090669E-2"/>
  </r>
  <r>
    <x v="1"/>
    <n v="1078"/>
    <n v="20"/>
    <n v="183924"/>
    <n v="8.84"/>
    <n v="14203"/>
    <n v="5.7523759813836147E-3"/>
  </r>
  <r>
    <x v="3"/>
    <n v="1757"/>
    <n v="85"/>
    <n v="58223"/>
    <n v="8.74"/>
    <n v="22728"/>
    <n v="2.8717173625543171E-2"/>
  </r>
  <r>
    <x v="0"/>
    <n v="144"/>
    <n v="53"/>
    <n v="113678"/>
    <n v="8.7200000000000006"/>
    <n v="30060"/>
    <n v="8.0050669434719116E-4"/>
  </r>
  <r>
    <x v="1"/>
    <n v="171"/>
    <n v="277"/>
    <n v="309483"/>
    <n v="8.6999999999999993"/>
    <n v="38452"/>
    <n v="-3.4250669665215861E-4"/>
  </r>
  <r>
    <x v="1"/>
    <n v="1159"/>
    <n v="411"/>
    <n v="135987"/>
    <n v="8.6999999999999993"/>
    <n v="40323"/>
    <n v="5.5005257855530306E-3"/>
  </r>
  <r>
    <x v="0"/>
    <n v="1596"/>
    <n v="211"/>
    <n v="17380"/>
    <n v="8.64"/>
    <n v="35801"/>
    <n v="7.9689298043728429E-2"/>
  </r>
  <r>
    <x v="3"/>
    <n v="1371"/>
    <n v="56"/>
    <n v="257579"/>
    <n v="8.6199999999999992"/>
    <n v="33799"/>
    <n v="5.1052298518124532E-3"/>
  </r>
  <r>
    <x v="2"/>
    <n v="1472"/>
    <n v="347"/>
    <n v="392355"/>
    <n v="8.59"/>
    <n v="30270"/>
    <n v="2.8673012960201858E-3"/>
  </r>
  <r>
    <x v="2"/>
    <n v="704"/>
    <n v="275"/>
    <n v="226002"/>
    <n v="8.56"/>
    <n v="32393"/>
    <n v="1.8982132901478749E-3"/>
  </r>
  <r>
    <x v="2"/>
    <n v="485"/>
    <n v="448"/>
    <n v="434883"/>
    <n v="8.5500000000000007"/>
    <n v="33258"/>
    <n v="8.5080354946042954E-5"/>
  </r>
  <r>
    <x v="2"/>
    <n v="1911"/>
    <n v="231"/>
    <n v="268516"/>
    <n v="8.5500000000000007"/>
    <n v="24018"/>
    <n v="6.2566104068286429E-3"/>
  </r>
  <r>
    <x v="1"/>
    <n v="609"/>
    <n v="135"/>
    <n v="373606"/>
    <n v="8.52"/>
    <n v="21453"/>
    <n v="1.268716241173857E-3"/>
  </r>
  <r>
    <x v="3"/>
    <n v="1092"/>
    <n v="408"/>
    <n v="280795"/>
    <n v="8.44"/>
    <n v="4683"/>
    <n v="2.4359408109118751E-3"/>
  </r>
  <r>
    <x v="2"/>
    <n v="946"/>
    <n v="47"/>
    <n v="466575"/>
    <n v="8.33"/>
    <n v="10002"/>
    <n v="1.9268070513850934E-3"/>
  </r>
  <r>
    <x v="0"/>
    <n v="891"/>
    <n v="45"/>
    <n v="95410"/>
    <n v="8.33"/>
    <n v="15045"/>
    <n v="8.8669950738916262E-3"/>
  </r>
  <r>
    <x v="2"/>
    <n v="584"/>
    <n v="169"/>
    <n v="146834"/>
    <n v="8.31"/>
    <n v="26752"/>
    <n v="2.826320879360366E-3"/>
  </r>
  <r>
    <x v="2"/>
    <n v="697"/>
    <n v="61"/>
    <n v="258287"/>
    <n v="8.25"/>
    <n v="21208"/>
    <n v="2.4623771231227277E-3"/>
  </r>
  <r>
    <x v="1"/>
    <n v="816"/>
    <n v="196"/>
    <n v="95728"/>
    <n v="8.1999999999999993"/>
    <n v="17951"/>
    <n v="6.4766839378238338E-3"/>
  </r>
  <r>
    <x v="2"/>
    <n v="1335"/>
    <n v="40"/>
    <n v="122732"/>
    <n v="8.19"/>
    <n v="22482"/>
    <n v="1.0551445425805821E-2"/>
  </r>
  <r>
    <x v="0"/>
    <n v="1218"/>
    <n v="212"/>
    <n v="63177"/>
    <n v="8.1300000000000008"/>
    <n v="38883"/>
    <n v="1.592351646960128E-2"/>
  </r>
  <r>
    <x v="1"/>
    <n v="1623"/>
    <n v="246"/>
    <n v="415815"/>
    <n v="8.11"/>
    <n v="18656"/>
    <n v="3.311568846722701E-3"/>
  </r>
  <r>
    <x v="1"/>
    <n v="1753"/>
    <n v="371"/>
    <n v="169496"/>
    <n v="8.11"/>
    <n v="46670"/>
    <n v="8.1535847453627231E-3"/>
  </r>
  <r>
    <x v="0"/>
    <n v="1004"/>
    <n v="128"/>
    <n v="488901"/>
    <n v="8.09"/>
    <n v="49558"/>
    <n v="1.7917737946946315E-3"/>
  </r>
  <r>
    <x v="3"/>
    <n v="1135"/>
    <n v="88"/>
    <n v="344084"/>
    <n v="8.06"/>
    <n v="5904"/>
    <n v="3.0428616268120576E-3"/>
  </r>
  <r>
    <x v="1"/>
    <n v="1294"/>
    <n v="382"/>
    <n v="309914"/>
    <n v="8.0299999999999994"/>
    <n v="23489"/>
    <n v="2.9427518601934728E-3"/>
  </r>
  <r>
    <x v="2"/>
    <n v="557"/>
    <n v="360"/>
    <n v="318779"/>
    <n v="8.02"/>
    <n v="25797"/>
    <n v="6.1798299135137512E-4"/>
  </r>
  <r>
    <x v="0"/>
    <n v="454"/>
    <n v="105"/>
    <n v="121091"/>
    <n v="7.97"/>
    <n v="9269"/>
    <n v="2.8821299683708945E-3"/>
  </r>
  <r>
    <x v="3"/>
    <n v="508"/>
    <n v="349"/>
    <n v="473812"/>
    <n v="7.88"/>
    <n v="17328"/>
    <n v="3.3557613568250698E-4"/>
  </r>
  <r>
    <x v="1"/>
    <n v="1391"/>
    <n v="430"/>
    <n v="295032"/>
    <n v="7.86"/>
    <n v="26067"/>
    <n v="3.2572737872501967E-3"/>
  </r>
  <r>
    <x v="0"/>
    <n v="422"/>
    <n v="394"/>
    <n v="239044"/>
    <n v="7.83"/>
    <n v="32929"/>
    <n v="1.1713324743561855E-4"/>
  </r>
  <r>
    <x v="3"/>
    <n v="645"/>
    <n v="293"/>
    <n v="437968"/>
    <n v="7.83"/>
    <n v="49303"/>
    <n v="8.0371168669857163E-4"/>
  </r>
  <r>
    <x v="1"/>
    <n v="1884"/>
    <n v="177"/>
    <n v="230448"/>
    <n v="7.8"/>
    <n v="22713"/>
    <n v="7.4073109768798169E-3"/>
  </r>
  <r>
    <x v="3"/>
    <n v="1102"/>
    <n v="422"/>
    <n v="410330"/>
    <n v="7.74"/>
    <n v="9480"/>
    <n v="1.6572027392586454E-3"/>
  </r>
  <r>
    <x v="2"/>
    <n v="1137"/>
    <n v="226"/>
    <n v="81119"/>
    <n v="7.74"/>
    <n v="35359"/>
    <n v="1.1230414576116569E-2"/>
  </r>
  <r>
    <x v="1"/>
    <n v="160"/>
    <n v="478"/>
    <n v="435034"/>
    <n v="7.73"/>
    <n v="4839"/>
    <n v="-7.3097734889686784E-4"/>
  </r>
  <r>
    <x v="2"/>
    <n v="337"/>
    <n v="68"/>
    <n v="456298"/>
    <n v="7.57"/>
    <n v="4007"/>
    <n v="5.8952701962314107E-4"/>
  </r>
  <r>
    <x v="2"/>
    <n v="1946"/>
    <n v="270"/>
    <n v="198350"/>
    <n v="7.5"/>
    <n v="11805"/>
    <n v="8.4497101083942528E-3"/>
  </r>
  <r>
    <x v="1"/>
    <n v="1514"/>
    <n v="141"/>
    <n v="35842"/>
    <n v="7.47"/>
    <n v="18601"/>
    <n v="3.8307014117515761E-2"/>
  </r>
  <r>
    <x v="1"/>
    <n v="198"/>
    <n v="217"/>
    <n v="239753"/>
    <n v="7.36"/>
    <n v="11901"/>
    <n v="-7.9248226299566635E-5"/>
  </r>
  <r>
    <x v="0"/>
    <n v="1918"/>
    <n v="212"/>
    <n v="94360"/>
    <n v="7.36"/>
    <n v="36851"/>
    <n v="1.8079694785926241E-2"/>
  </r>
  <r>
    <x v="2"/>
    <n v="628"/>
    <n v="183"/>
    <n v="487523"/>
    <n v="7.32"/>
    <n v="5391"/>
    <n v="9.1277744844858602E-4"/>
  </r>
  <r>
    <x v="2"/>
    <n v="362"/>
    <n v="399"/>
    <n v="145608"/>
    <n v="7.3"/>
    <n v="37636"/>
    <n v="-2.5410691720235154E-4"/>
  </r>
  <r>
    <x v="2"/>
    <n v="1751"/>
    <n v="86"/>
    <n v="188655"/>
    <n v="7.24"/>
    <n v="22206"/>
    <n v="8.825634093981077E-3"/>
  </r>
  <r>
    <x v="3"/>
    <n v="393"/>
    <n v="181"/>
    <n v="462142"/>
    <n v="7.23"/>
    <n v="6296"/>
    <n v="4.5873346287504706E-4"/>
  </r>
  <r>
    <x v="3"/>
    <n v="1429"/>
    <n v="182"/>
    <n v="101332"/>
    <n v="7.16"/>
    <n v="37829"/>
    <n v="1.2306082974775983E-2"/>
  </r>
  <r>
    <x v="2"/>
    <n v="1587"/>
    <n v="385"/>
    <n v="126582"/>
    <n v="6.99"/>
    <n v="42832"/>
    <n v="9.4958208908059605E-3"/>
  </r>
  <r>
    <x v="2"/>
    <n v="927"/>
    <n v="358"/>
    <n v="177554"/>
    <n v="6.95"/>
    <n v="48270"/>
    <n v="3.2046588643454949E-3"/>
  </r>
  <r>
    <x v="3"/>
    <n v="911"/>
    <n v="282"/>
    <n v="35664"/>
    <n v="6.92"/>
    <n v="18050"/>
    <n v="1.7636832660385824E-2"/>
  </r>
  <r>
    <x v="3"/>
    <n v="1466"/>
    <n v="69"/>
    <n v="54935"/>
    <n v="6.85"/>
    <n v="36484"/>
    <n v="2.5430053699827069E-2"/>
  </r>
  <r>
    <x v="0"/>
    <n v="119"/>
    <n v="456"/>
    <n v="82558"/>
    <n v="6.81"/>
    <n v="12174"/>
    <n v="-4.0819787301048958E-3"/>
  </r>
  <r>
    <x v="3"/>
    <n v="961"/>
    <n v="358"/>
    <n v="62942"/>
    <n v="6.8"/>
    <n v="18693"/>
    <n v="9.5802484827301332E-3"/>
  </r>
  <r>
    <x v="3"/>
    <n v="198"/>
    <n v="358"/>
    <n v="66682"/>
    <n v="6.73"/>
    <n v="2293"/>
    <n v="-2.3994481269308059E-3"/>
  </r>
  <r>
    <x v="2"/>
    <n v="1592"/>
    <n v="233"/>
    <n v="327183"/>
    <n v="6.66"/>
    <n v="13316"/>
    <n v="4.1536387893013997E-3"/>
  </r>
  <r>
    <x v="0"/>
    <n v="1063"/>
    <n v="47"/>
    <n v="464239"/>
    <n v="6.58"/>
    <n v="39031"/>
    <n v="2.1885278918832756E-3"/>
  </r>
  <r>
    <x v="0"/>
    <n v="520"/>
    <n v="375"/>
    <n v="369525"/>
    <n v="6.54"/>
    <n v="20733"/>
    <n v="3.9239564305527366E-4"/>
  </r>
  <r>
    <x v="3"/>
    <n v="703"/>
    <n v="441"/>
    <n v="357089"/>
    <n v="6.5"/>
    <n v="32478"/>
    <n v="7.3371064356504961E-4"/>
  </r>
  <r>
    <x v="0"/>
    <n v="623"/>
    <n v="414"/>
    <n v="290354"/>
    <n v="6.49"/>
    <n v="39923"/>
    <n v="7.1981098934404211E-4"/>
  </r>
  <r>
    <x v="1"/>
    <n v="170"/>
    <n v="334"/>
    <n v="334626"/>
    <n v="6.44"/>
    <n v="43420"/>
    <n v="-4.9009939454794306E-4"/>
  </r>
  <r>
    <x v="1"/>
    <n v="1520"/>
    <n v="475"/>
    <n v="496982"/>
    <n v="6.41"/>
    <n v="24384"/>
    <n v="2.1026918479944948E-3"/>
  </r>
  <r>
    <x v="1"/>
    <n v="1249"/>
    <n v="351"/>
    <n v="321307"/>
    <n v="6.37"/>
    <n v="20560"/>
    <n v="2.7948348464241365E-3"/>
  </r>
  <r>
    <x v="2"/>
    <n v="1441"/>
    <n v="268"/>
    <n v="309904"/>
    <n v="6.37"/>
    <n v="3455"/>
    <n v="3.7850431101244257E-3"/>
  </r>
  <r>
    <x v="3"/>
    <n v="1033"/>
    <n v="392"/>
    <n v="282780"/>
    <n v="6.27"/>
    <n v="23140"/>
    <n v="2.2667798288422093E-3"/>
  </r>
  <r>
    <x v="3"/>
    <n v="1939"/>
    <n v="67"/>
    <n v="187183"/>
    <n v="6.25"/>
    <n v="41215"/>
    <n v="1.0000908202133741E-2"/>
  </r>
  <r>
    <x v="3"/>
    <n v="1528"/>
    <n v="203"/>
    <n v="489188"/>
    <n v="6.23"/>
    <n v="47101"/>
    <n v="2.7085701202809553E-3"/>
  </r>
  <r>
    <x v="1"/>
    <n v="1710"/>
    <n v="378"/>
    <n v="336661"/>
    <n v="6.2"/>
    <n v="28498"/>
    <n v="3.9565022381564839E-3"/>
  </r>
  <r>
    <x v="0"/>
    <n v="221"/>
    <n v="31"/>
    <n v="87443"/>
    <n v="6.19"/>
    <n v="10283"/>
    <n v="2.1728440241071327E-3"/>
  </r>
  <r>
    <x v="2"/>
    <n v="1420"/>
    <n v="63"/>
    <n v="315305"/>
    <n v="6.19"/>
    <n v="5914"/>
    <n v="4.3037693661692649E-3"/>
  </r>
  <r>
    <x v="1"/>
    <n v="214"/>
    <n v="411"/>
    <n v="125034"/>
    <n v="6.11"/>
    <n v="26455"/>
    <n v="-1.5755714445670778E-3"/>
  </r>
  <r>
    <x v="0"/>
    <n v="1658"/>
    <n v="416"/>
    <n v="98397"/>
    <n v="6.11"/>
    <n v="11383"/>
    <n v="1.2622336046830695E-2"/>
  </r>
  <r>
    <x v="3"/>
    <n v="1957"/>
    <n v="76"/>
    <n v="447902"/>
    <n v="6.09"/>
    <n v="33381"/>
    <n v="4.1995793722733989E-3"/>
  </r>
  <r>
    <x v="0"/>
    <n v="1507"/>
    <n v="463"/>
    <n v="258944"/>
    <n v="6.08"/>
    <n v="16443"/>
    <n v="4.0317597627286209E-3"/>
  </r>
  <r>
    <x v="1"/>
    <n v="1534"/>
    <n v="200"/>
    <n v="307612"/>
    <n v="6.01"/>
    <n v="37903"/>
    <n v="4.3366318609156986E-3"/>
  </r>
  <r>
    <x v="2"/>
    <n v="201"/>
    <n v="221"/>
    <n v="309772"/>
    <n v="5.9"/>
    <n v="33174"/>
    <n v="-6.456361452939582E-5"/>
  </r>
  <r>
    <x v="3"/>
    <n v="642"/>
    <n v="66"/>
    <n v="346522"/>
    <n v="5.85"/>
    <n v="13116"/>
    <n v="1.6622321237901201E-3"/>
  </r>
  <r>
    <x v="3"/>
    <n v="1685"/>
    <n v="76"/>
    <n v="453799"/>
    <n v="5.71"/>
    <n v="24913"/>
    <n v="3.5456226214689766E-3"/>
  </r>
  <r>
    <x v="3"/>
    <n v="1693"/>
    <n v="154"/>
    <n v="445944"/>
    <n v="5.69"/>
    <n v="14216"/>
    <n v="3.4511059684624078E-3"/>
  </r>
  <r>
    <x v="2"/>
    <n v="1821"/>
    <n v="218"/>
    <n v="439080"/>
    <n v="5.68"/>
    <n v="36095"/>
    <n v="3.6508153411678964E-3"/>
  </r>
  <r>
    <x v="1"/>
    <n v="651"/>
    <n v="353"/>
    <n v="224699"/>
    <n v="5.61"/>
    <n v="45708"/>
    <n v="1.3262186302564765E-3"/>
  </r>
  <r>
    <x v="1"/>
    <n v="405"/>
    <n v="66"/>
    <n v="418696"/>
    <n v="5.59"/>
    <n v="48419"/>
    <n v="8.0965664826031301E-4"/>
  </r>
  <r>
    <x v="2"/>
    <n v="364"/>
    <n v="72"/>
    <n v="211090"/>
    <n v="5.53"/>
    <n v="21061"/>
    <n v="1.3832962243592781E-3"/>
  </r>
  <r>
    <x v="0"/>
    <n v="804"/>
    <n v="487"/>
    <n v="306564"/>
    <n v="5.52"/>
    <n v="26452"/>
    <n v="1.0340418313957282E-3"/>
  </r>
  <r>
    <x v="0"/>
    <n v="736"/>
    <n v="163"/>
    <n v="451894"/>
    <n v="5.43"/>
    <n v="46625"/>
    <n v="1.2679964770499277E-3"/>
  </r>
  <r>
    <x v="0"/>
    <n v="1210"/>
    <n v="178"/>
    <n v="102042"/>
    <n v="5.42"/>
    <n v="6915"/>
    <n v="1.011348268360087E-2"/>
  </r>
  <r>
    <x v="0"/>
    <n v="1707"/>
    <n v="223"/>
    <n v="256910"/>
    <n v="5.41"/>
    <n v="44321"/>
    <n v="5.7763419096181542E-3"/>
  </r>
  <r>
    <x v="2"/>
    <n v="1701"/>
    <n v="385"/>
    <n v="198278"/>
    <n v="5.34"/>
    <n v="32763"/>
    <n v="6.6371458255580548E-3"/>
  </r>
  <r>
    <x v="2"/>
    <n v="353"/>
    <n v="300"/>
    <n v="142507"/>
    <n v="5.3"/>
    <n v="11035"/>
    <n v="3.7191155522184875E-4"/>
  </r>
  <r>
    <x v="3"/>
    <n v="1013"/>
    <n v="110"/>
    <n v="466382"/>
    <n v="5.3"/>
    <n v="37132"/>
    <n v="1.9361810704529763E-3"/>
  </r>
  <r>
    <x v="2"/>
    <n v="1040"/>
    <n v="149"/>
    <n v="124404"/>
    <n v="5.23"/>
    <n v="45380"/>
    <n v="7.1621491270377159E-3"/>
  </r>
  <r>
    <x v="2"/>
    <n v="191"/>
    <n v="154"/>
    <n v="240550"/>
    <n v="5.22"/>
    <n v="15827"/>
    <n v="1.5381417584701726E-4"/>
  </r>
  <r>
    <x v="0"/>
    <n v="1035"/>
    <n v="171"/>
    <n v="148477"/>
    <n v="5.21"/>
    <n v="7541"/>
    <n v="5.8190830903102836E-3"/>
  </r>
  <r>
    <x v="3"/>
    <n v="1854"/>
    <n v="161"/>
    <n v="282466"/>
    <n v="5.17"/>
    <n v="1810"/>
    <n v="5.9936417126309005E-3"/>
  </r>
  <r>
    <x v="2"/>
    <n v="1399"/>
    <n v="49"/>
    <n v="12471"/>
    <n v="5.12"/>
    <n v="14722"/>
    <n v="0.10825114265095021"/>
  </r>
  <r>
    <x v="1"/>
    <n v="1312"/>
    <n v="310"/>
    <n v="42654"/>
    <n v="4.9800000000000004"/>
    <n v="9566"/>
    <n v="2.3491348994232664E-2"/>
  </r>
  <r>
    <x v="2"/>
    <n v="437"/>
    <n v="330"/>
    <n v="476486"/>
    <n v="4.97"/>
    <n v="4509"/>
    <n v="2.2456063766826309E-4"/>
  </r>
  <r>
    <x v="1"/>
    <n v="1358"/>
    <n v="242"/>
    <n v="342129"/>
    <n v="4.9400000000000004"/>
    <n v="29116"/>
    <n v="3.2619275185675578E-3"/>
  </r>
  <r>
    <x v="1"/>
    <n v="198"/>
    <n v="373"/>
    <n v="70707"/>
    <n v="4.83"/>
    <n v="25920"/>
    <n v="-2.4750024750024749E-3"/>
  </r>
  <r>
    <x v="1"/>
    <n v="1902"/>
    <n v="196"/>
    <n v="470269"/>
    <n v="4.79"/>
    <n v="26103"/>
    <n v="3.6277109484146308E-3"/>
  </r>
  <r>
    <x v="0"/>
    <n v="1957"/>
    <n v="490"/>
    <n v="435726"/>
    <n v="4.7300000000000004"/>
    <n v="15969"/>
    <n v="3.3667947287974553E-3"/>
  </r>
  <r>
    <x v="0"/>
    <n v="278"/>
    <n v="218"/>
    <n v="301695"/>
    <n v="4.68"/>
    <n v="22373"/>
    <n v="1.9887634863023914E-4"/>
  </r>
  <r>
    <x v="0"/>
    <n v="1166"/>
    <n v="442"/>
    <n v="336949"/>
    <n v="4.68"/>
    <n v="7705"/>
    <n v="2.1486931256659019E-3"/>
  </r>
  <r>
    <x v="2"/>
    <n v="1786"/>
    <n v="257"/>
    <n v="274831"/>
    <n v="4.68"/>
    <n v="9118"/>
    <n v="5.5634189738421064E-3"/>
  </r>
  <r>
    <x v="2"/>
    <n v="987"/>
    <n v="440"/>
    <n v="389810"/>
    <n v="4.66"/>
    <n v="2932"/>
    <n v="1.40324773607655E-3"/>
  </r>
  <r>
    <x v="3"/>
    <n v="1075"/>
    <n v="173"/>
    <n v="51395"/>
    <n v="4.66"/>
    <n v="47812"/>
    <n v="1.7550345364335054E-2"/>
  </r>
  <r>
    <x v="3"/>
    <n v="1957"/>
    <n v="234"/>
    <n v="222126"/>
    <n v="4.6100000000000003"/>
    <n v="3314"/>
    <n v="7.7568587198256845E-3"/>
  </r>
  <r>
    <x v="0"/>
    <n v="224"/>
    <n v="64"/>
    <n v="156683"/>
    <n v="4.5599999999999996"/>
    <n v="28474"/>
    <n v="1.0211701333265254E-3"/>
  </r>
  <r>
    <x v="1"/>
    <n v="345"/>
    <n v="464"/>
    <n v="366881"/>
    <n v="4.55"/>
    <n v="20553"/>
    <n v="-3.2435585380545735E-4"/>
  </r>
  <r>
    <x v="1"/>
    <n v="663"/>
    <n v="236"/>
    <n v="479490"/>
    <n v="4.51"/>
    <n v="23853"/>
    <n v="8.9052952094934197E-4"/>
  </r>
  <r>
    <x v="2"/>
    <n v="1432"/>
    <n v="425"/>
    <n v="29589"/>
    <n v="4.5"/>
    <n v="42964"/>
    <n v="3.4032917638311531E-2"/>
  </r>
  <r>
    <x v="1"/>
    <n v="505"/>
    <n v="441"/>
    <n v="220020"/>
    <n v="4.4800000000000004"/>
    <n v="42307"/>
    <n v="2.9088264703208797E-4"/>
  </r>
  <r>
    <x v="0"/>
    <n v="1495"/>
    <n v="35"/>
    <n v="136845"/>
    <n v="4.4800000000000004"/>
    <n v="39931"/>
    <n v="1.0669005078738719E-2"/>
  </r>
  <r>
    <x v="1"/>
    <n v="859"/>
    <n v="473"/>
    <n v="209987"/>
    <n v="4.46"/>
    <n v="30214"/>
    <n v="1.8382090319876945E-3"/>
  </r>
  <r>
    <x v="2"/>
    <n v="1756"/>
    <n v="261"/>
    <n v="287574"/>
    <n v="4.3600000000000003"/>
    <n v="39272"/>
    <n v="5.1986619096302169E-3"/>
  </r>
  <r>
    <x v="3"/>
    <n v="1440"/>
    <n v="65"/>
    <n v="126524"/>
    <n v="4.34"/>
    <n v="49772"/>
    <n v="1.0867503398564699E-2"/>
  </r>
  <r>
    <x v="2"/>
    <n v="1937"/>
    <n v="210"/>
    <n v="20607"/>
    <n v="4.2"/>
    <n v="20861"/>
    <n v="8.3806473528412681E-2"/>
  </r>
  <r>
    <x v="0"/>
    <n v="1535"/>
    <n v="445"/>
    <n v="395536"/>
    <n v="4.1100000000000003"/>
    <n v="30671"/>
    <n v="2.7557542170624167E-3"/>
  </r>
  <r>
    <x v="3"/>
    <n v="653"/>
    <n v="112"/>
    <n v="23664"/>
    <n v="4.05"/>
    <n v="15353"/>
    <n v="2.2861730899256253E-2"/>
  </r>
  <r>
    <x v="0"/>
    <n v="460"/>
    <n v="141"/>
    <n v="320650"/>
    <n v="4.04"/>
    <n v="49372"/>
    <n v="9.9485420240137223E-4"/>
  </r>
  <r>
    <x v="2"/>
    <n v="436"/>
    <n v="250"/>
    <n v="254347"/>
    <n v="4.01"/>
    <n v="8912"/>
    <n v="7.3128442639386348E-4"/>
  </r>
  <r>
    <x v="1"/>
    <n v="837"/>
    <n v="430"/>
    <n v="364820"/>
    <n v="4"/>
    <n v="49400"/>
    <n v="1.1156186612576065E-3"/>
  </r>
  <r>
    <x v="2"/>
    <n v="1300"/>
    <n v="71"/>
    <n v="186454"/>
    <n v="3.91"/>
    <n v="9942"/>
    <n v="6.5914381026955706E-3"/>
  </r>
  <r>
    <x v="3"/>
    <n v="1556"/>
    <n v="476"/>
    <n v="351556"/>
    <n v="3.89"/>
    <n v="10825"/>
    <n v="3.0720567989168156E-3"/>
  </r>
  <r>
    <x v="1"/>
    <n v="643"/>
    <n v="358"/>
    <n v="157599"/>
    <n v="3.88"/>
    <n v="7285"/>
    <n v="1.8083871090552605E-3"/>
  </r>
  <r>
    <x v="0"/>
    <n v="728"/>
    <n v="395"/>
    <n v="370971"/>
    <n v="3.86"/>
    <n v="12646"/>
    <n v="8.9764429025449434E-4"/>
  </r>
  <r>
    <x v="1"/>
    <n v="833"/>
    <n v="380"/>
    <n v="224830"/>
    <n v="3.86"/>
    <n v="3582"/>
    <n v="2.014855668727483E-3"/>
  </r>
  <r>
    <x v="2"/>
    <n v="861"/>
    <n v="153"/>
    <n v="317007"/>
    <n v="3.85"/>
    <n v="8718"/>
    <n v="2.2333891680625349E-3"/>
  </r>
  <r>
    <x v="1"/>
    <n v="1895"/>
    <n v="305"/>
    <n v="104967"/>
    <n v="3.85"/>
    <n v="31853"/>
    <n v="1.5147617822744291E-2"/>
  </r>
  <r>
    <x v="3"/>
    <n v="1696"/>
    <n v="71"/>
    <n v="421957"/>
    <n v="3.79"/>
    <n v="36103"/>
    <n v="3.8511033114748661E-3"/>
  </r>
  <r>
    <x v="3"/>
    <n v="1960"/>
    <n v="115"/>
    <n v="154169"/>
    <n v="3.74"/>
    <n v="10740"/>
    <n v="1.1967386439556591E-2"/>
  </r>
  <r>
    <x v="0"/>
    <n v="1411"/>
    <n v="186"/>
    <n v="461669"/>
    <n v="3.72"/>
    <n v="43999"/>
    <n v="2.6534161921203288E-3"/>
  </r>
  <r>
    <x v="2"/>
    <n v="1581"/>
    <n v="71"/>
    <n v="484364"/>
    <n v="3.55"/>
    <n v="16149"/>
    <n v="3.1174901520344203E-3"/>
  </r>
  <r>
    <x v="0"/>
    <n v="123"/>
    <n v="155"/>
    <n v="119934"/>
    <n v="3.5"/>
    <n v="5442"/>
    <n v="-2.6681341404439108E-4"/>
  </r>
  <r>
    <x v="2"/>
    <n v="1238"/>
    <n v="403"/>
    <n v="298421"/>
    <n v="3.5"/>
    <n v="31280"/>
    <n v="2.798060458211721E-3"/>
  </r>
  <r>
    <x v="0"/>
    <n v="403"/>
    <n v="66"/>
    <n v="382851"/>
    <n v="3.49"/>
    <n v="24313"/>
    <n v="8.80238003818718E-4"/>
  </r>
  <r>
    <x v="0"/>
    <n v="576"/>
    <n v="101"/>
    <n v="62499"/>
    <n v="3.48"/>
    <n v="16804"/>
    <n v="7.600121601945631E-3"/>
  </r>
  <r>
    <x v="3"/>
    <n v="778"/>
    <n v="401"/>
    <n v="50793"/>
    <n v="3.4"/>
    <n v="21939"/>
    <n v="7.4222825979957871E-3"/>
  </r>
  <r>
    <x v="1"/>
    <n v="947"/>
    <n v="407"/>
    <n v="319186"/>
    <n v="3.32"/>
    <n v="4996"/>
    <n v="1.6918035252172713E-3"/>
  </r>
  <r>
    <x v="3"/>
    <n v="1502"/>
    <n v="70"/>
    <n v="465553"/>
    <n v="3.32"/>
    <n v="20692"/>
    <n v="3.0759118725472716E-3"/>
  </r>
  <r>
    <x v="3"/>
    <n v="1433"/>
    <n v="408"/>
    <n v="370269"/>
    <n v="3.3"/>
    <n v="30575"/>
    <n v="2.7682576721248606E-3"/>
  </r>
  <r>
    <x v="3"/>
    <n v="1855"/>
    <n v="133"/>
    <n v="349413"/>
    <n v="3.3"/>
    <n v="14548"/>
    <n v="4.9282654051223049E-3"/>
  </r>
  <r>
    <x v="0"/>
    <n v="1331"/>
    <n v="430"/>
    <n v="14437"/>
    <n v="3.29"/>
    <n v="40868"/>
    <n v="6.2409087760615087E-2"/>
  </r>
  <r>
    <x v="3"/>
    <n v="215"/>
    <n v="139"/>
    <n v="325444"/>
    <n v="3.25"/>
    <n v="35501"/>
    <n v="2.335271198731579E-4"/>
  </r>
  <r>
    <x v="3"/>
    <n v="559"/>
    <n v="392"/>
    <n v="78789"/>
    <n v="3.19"/>
    <n v="2436"/>
    <n v="2.1195852212872357E-3"/>
  </r>
  <r>
    <x v="2"/>
    <n v="1222"/>
    <n v="274"/>
    <n v="487289"/>
    <n v="3.16"/>
    <n v="32500"/>
    <n v="1.9454574184929272E-3"/>
  </r>
  <r>
    <x v="0"/>
    <n v="1197"/>
    <n v="203"/>
    <n v="413878"/>
    <n v="3.16"/>
    <n v="21205"/>
    <n v="2.4016739232334168E-3"/>
  </r>
  <r>
    <x v="1"/>
    <n v="508"/>
    <n v="69"/>
    <n v="23492"/>
    <n v="3.16"/>
    <n v="42824"/>
    <n v="1.8687212668142345E-2"/>
  </r>
  <r>
    <x v="1"/>
    <n v="1980"/>
    <n v="204"/>
    <n v="379431"/>
    <n v="3.09"/>
    <n v="25140"/>
    <n v="4.6806929323118035E-3"/>
  </r>
  <r>
    <x v="0"/>
    <n v="1707"/>
    <n v="74"/>
    <n v="270958"/>
    <n v="3.09"/>
    <n v="14090"/>
    <n v="6.0267642955734836E-3"/>
  </r>
  <r>
    <x v="0"/>
    <n v="1900"/>
    <n v="311"/>
    <n v="25177"/>
    <n v="2.89"/>
    <n v="14154"/>
    <n v="6.3113158835445049E-2"/>
  </r>
  <r>
    <x v="0"/>
    <n v="883"/>
    <n v="369"/>
    <n v="233694"/>
    <n v="2.88"/>
    <n v="15071"/>
    <n v="2.1994574101175039E-3"/>
  </r>
  <r>
    <x v="3"/>
    <n v="1138"/>
    <n v="173"/>
    <n v="453243"/>
    <n v="2.86"/>
    <n v="44097"/>
    <n v="2.1291007252180398E-3"/>
  </r>
  <r>
    <x v="2"/>
    <n v="330"/>
    <n v="232"/>
    <n v="88455"/>
    <n v="2.69"/>
    <n v="39530"/>
    <n v="1.1079079758069075E-3"/>
  </r>
  <r>
    <x v="1"/>
    <n v="513"/>
    <n v="441"/>
    <n v="338847"/>
    <n v="2.68"/>
    <n v="39997"/>
    <n v="2.1248528096751631E-4"/>
  </r>
  <r>
    <x v="0"/>
    <n v="452"/>
    <n v="161"/>
    <n v="221274"/>
    <n v="2.65"/>
    <n v="40888"/>
    <n v="1.3151115811166245E-3"/>
  </r>
  <r>
    <x v="0"/>
    <n v="308"/>
    <n v="431"/>
    <n v="426184"/>
    <n v="2.62"/>
    <n v="1783"/>
    <n v="-2.8860773750305035E-4"/>
  </r>
  <r>
    <x v="1"/>
    <n v="1375"/>
    <n v="330"/>
    <n v="377382"/>
    <n v="2.6"/>
    <n v="7875"/>
    <n v="2.7690774864725927E-3"/>
  </r>
  <r>
    <x v="2"/>
    <n v="118"/>
    <n v="262"/>
    <n v="487896"/>
    <n v="2.56"/>
    <n v="12350"/>
    <n v="-2.9514486693885583E-4"/>
  </r>
  <r>
    <x v="1"/>
    <n v="1307"/>
    <n v="278"/>
    <n v="98596"/>
    <n v="2.4900000000000002"/>
    <n v="47603"/>
    <n v="1.0436528865268368E-2"/>
  </r>
  <r>
    <x v="3"/>
    <n v="1048"/>
    <n v="155"/>
    <n v="456946"/>
    <n v="2.46"/>
    <n v="11329"/>
    <n v="1.9542790614208243E-3"/>
  </r>
  <r>
    <x v="2"/>
    <n v="1487"/>
    <n v="337"/>
    <n v="87305"/>
    <n v="2.46"/>
    <n v="30428"/>
    <n v="1.3172212358971423E-2"/>
  </r>
  <r>
    <x v="2"/>
    <n v="1147"/>
    <n v="388"/>
    <n v="333851"/>
    <n v="2.44"/>
    <n v="8471"/>
    <n v="2.2734693021737242E-3"/>
  </r>
  <r>
    <x v="1"/>
    <n v="1697"/>
    <n v="414"/>
    <n v="316555"/>
    <n v="2.37"/>
    <n v="7924"/>
    <n v="4.0530081660374974E-3"/>
  </r>
  <r>
    <x v="3"/>
    <n v="817"/>
    <n v="151"/>
    <n v="422625"/>
    <n v="2.36"/>
    <n v="1083"/>
    <n v="1.5758651286601596E-3"/>
  </r>
  <r>
    <x v="2"/>
    <n v="1633"/>
    <n v="445"/>
    <n v="371156"/>
    <n v="2.2200000000000002"/>
    <n v="2798"/>
    <n v="3.2008104408927781E-3"/>
  </r>
  <r>
    <x v="2"/>
    <n v="752"/>
    <n v="153"/>
    <n v="64906"/>
    <n v="2.09"/>
    <n v="12148"/>
    <n v="9.2287307798970819E-3"/>
  </r>
  <r>
    <x v="1"/>
    <n v="1155"/>
    <n v="425"/>
    <n v="93347"/>
    <n v="2.02"/>
    <n v="47502"/>
    <n v="7.8202834584935772E-3"/>
  </r>
  <r>
    <x v="2"/>
    <n v="1501"/>
    <n v="75"/>
    <n v="262569"/>
    <n v="2.0099999999999998"/>
    <n v="19119"/>
    <n v="5.4309533874905263E-3"/>
  </r>
  <r>
    <x v="0"/>
    <n v="1814"/>
    <n v="157"/>
    <n v="305827"/>
    <n v="1.99"/>
    <n v="46643"/>
    <n v="5.4180958515762179E-3"/>
  </r>
  <r>
    <x v="1"/>
    <n v="350"/>
    <n v="41"/>
    <n v="251694"/>
    <n v="1.91"/>
    <n v="38610"/>
    <n v="1.2276812319721568E-3"/>
  </r>
  <r>
    <x v="0"/>
    <n v="442"/>
    <n v="53"/>
    <n v="441931"/>
    <n v="1.87"/>
    <n v="20059"/>
    <n v="8.8022790888170322E-4"/>
  </r>
  <r>
    <x v="3"/>
    <n v="1765"/>
    <n v="109"/>
    <n v="468301"/>
    <n v="1.82"/>
    <n v="20042"/>
    <n v="3.5361871958419907E-3"/>
  </r>
  <r>
    <x v="3"/>
    <n v="1494"/>
    <n v="375"/>
    <n v="220616"/>
    <n v="1.81"/>
    <n v="22724"/>
    <n v="5.0721615839286359E-3"/>
  </r>
  <r>
    <x v="2"/>
    <n v="1077"/>
    <n v="216"/>
    <n v="12447"/>
    <n v="1.8"/>
    <n v="14068"/>
    <n v="6.9173294769824048E-2"/>
  </r>
  <r>
    <x v="1"/>
    <n v="250"/>
    <n v="429"/>
    <n v="453423"/>
    <n v="1.77"/>
    <n v="2315"/>
    <n v="-3.9477485703195471E-4"/>
  </r>
  <r>
    <x v="1"/>
    <n v="1842"/>
    <n v="414"/>
    <n v="307524"/>
    <n v="1.76"/>
    <n v="40478"/>
    <n v="4.6435400163889647E-3"/>
  </r>
  <r>
    <x v="3"/>
    <n v="1814"/>
    <n v="49"/>
    <n v="140804"/>
    <n v="1.76"/>
    <n v="4313"/>
    <n v="1.253515525127127E-2"/>
  </r>
  <r>
    <x v="1"/>
    <n v="1929"/>
    <n v="267"/>
    <n v="379363"/>
    <n v="1.75"/>
    <n v="43836"/>
    <n v="4.3810281972675247E-3"/>
  </r>
  <r>
    <x v="0"/>
    <n v="777"/>
    <n v="140"/>
    <n v="11435"/>
    <n v="1.6"/>
    <n v="6832"/>
    <n v="5.5706165282028861E-2"/>
  </r>
  <r>
    <x v="3"/>
    <n v="490"/>
    <n v="29"/>
    <n v="364810"/>
    <n v="1.53"/>
    <n v="49077"/>
    <n v="1.2636715002329981E-3"/>
  </r>
  <r>
    <x v="0"/>
    <n v="414"/>
    <n v="47"/>
    <n v="199178"/>
    <n v="1.53"/>
    <n v="6742"/>
    <n v="1.8425729749269497E-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">
  <r>
    <x v="0"/>
    <n v="1644"/>
    <n v="150"/>
  </r>
  <r>
    <x v="0"/>
    <n v="4750"/>
    <n v="415"/>
  </r>
  <r>
    <x v="1"/>
    <n v="4619"/>
    <n v="499"/>
  </r>
  <r>
    <x v="2"/>
    <n v="1957"/>
    <n v="238"/>
  </r>
  <r>
    <x v="1"/>
    <n v="3861"/>
    <n v="101"/>
  </r>
  <r>
    <x v="0"/>
    <n v="3641"/>
    <n v="46"/>
  </r>
  <r>
    <x v="1"/>
    <n v="59"/>
    <n v="93"/>
  </r>
  <r>
    <x v="1"/>
    <n v="3796"/>
    <n v="395"/>
  </r>
  <r>
    <x v="1"/>
    <n v="4295"/>
    <n v="325"/>
  </r>
  <r>
    <x v="0"/>
    <n v="1881"/>
    <n v="99"/>
  </r>
  <r>
    <x v="0"/>
    <n v="1871"/>
    <n v="335"/>
  </r>
  <r>
    <x v="2"/>
    <n v="257"/>
    <n v="398"/>
  </r>
  <r>
    <x v="2"/>
    <n v="3773"/>
    <n v="38"/>
  </r>
  <r>
    <x v="1"/>
    <n v="1816"/>
    <n v="41"/>
  </r>
  <r>
    <x v="2"/>
    <n v="521"/>
    <n v="315"/>
  </r>
  <r>
    <x v="1"/>
    <n v="438"/>
    <n v="275"/>
  </r>
  <r>
    <x v="2"/>
    <n v="914"/>
    <n v="246"/>
  </r>
  <r>
    <x v="0"/>
    <n v="4516"/>
    <n v="169"/>
  </r>
  <r>
    <x v="1"/>
    <n v="4905"/>
    <n v="129"/>
  </r>
  <r>
    <x v="2"/>
    <n v="3008"/>
    <n v="37"/>
  </r>
  <r>
    <x v="0"/>
    <n v="2634"/>
    <n v="241"/>
  </r>
  <r>
    <x v="1"/>
    <n v="2509"/>
    <n v="171"/>
  </r>
  <r>
    <x v="0"/>
    <n v="2278"/>
    <n v="321"/>
  </r>
  <r>
    <x v="1"/>
    <n v="1869"/>
    <n v="490"/>
  </r>
  <r>
    <x v="0"/>
    <n v="1176"/>
    <n v="394"/>
  </r>
  <r>
    <x v="2"/>
    <n v="4213"/>
    <n v="434"/>
  </r>
  <r>
    <x v="2"/>
    <n v="3775"/>
    <n v="239"/>
  </r>
  <r>
    <x v="1"/>
    <n v="1188"/>
    <n v="174"/>
  </r>
  <r>
    <x v="0"/>
    <n v="3523"/>
    <n v="482"/>
  </r>
  <r>
    <x v="0"/>
    <n v="4579"/>
    <n v="300"/>
  </r>
  <r>
    <x v="0"/>
    <n v="3068"/>
    <n v="329"/>
  </r>
  <r>
    <x v="1"/>
    <n v="3798"/>
    <n v="279"/>
  </r>
  <r>
    <x v="2"/>
    <n v="4242"/>
    <n v="131"/>
  </r>
  <r>
    <x v="0"/>
    <n v="4292"/>
    <n v="392"/>
  </r>
  <r>
    <x v="0"/>
    <n v="3432"/>
    <n v="123"/>
  </r>
  <r>
    <x v="1"/>
    <n v="103"/>
    <n v="19"/>
  </r>
  <r>
    <x v="2"/>
    <n v="4780"/>
    <n v="380"/>
  </r>
  <r>
    <x v="1"/>
    <n v="2945"/>
    <n v="355"/>
  </r>
  <r>
    <x v="1"/>
    <n v="1674"/>
    <n v="37"/>
  </r>
  <r>
    <x v="2"/>
    <n v="1841"/>
    <n v="342"/>
  </r>
  <r>
    <x v="0"/>
    <n v="827"/>
    <n v="402"/>
  </r>
  <r>
    <x v="1"/>
    <n v="3338"/>
    <n v="118"/>
  </r>
  <r>
    <x v="0"/>
    <n v="3215"/>
    <n v="202"/>
  </r>
  <r>
    <x v="2"/>
    <n v="1430"/>
    <n v="33"/>
  </r>
  <r>
    <x v="2"/>
    <n v="3813"/>
    <n v="274"/>
  </r>
  <r>
    <x v="2"/>
    <n v="2382"/>
    <n v="134"/>
  </r>
  <r>
    <x v="0"/>
    <n v="2696"/>
    <n v="443"/>
  </r>
  <r>
    <x v="0"/>
    <n v="2143"/>
    <n v="204"/>
  </r>
  <r>
    <x v="0"/>
    <n v="3073"/>
    <n v="174"/>
  </r>
  <r>
    <x v="1"/>
    <n v="4671"/>
    <n v="366"/>
  </r>
  <r>
    <x v="0"/>
    <n v="3428"/>
    <n v="85"/>
  </r>
  <r>
    <x v="1"/>
    <n v="2493"/>
    <n v="44"/>
  </r>
  <r>
    <x v="0"/>
    <n v="1543"/>
    <n v="333"/>
  </r>
  <r>
    <x v="1"/>
    <n v="3196"/>
    <n v="376"/>
  </r>
  <r>
    <x v="1"/>
    <n v="3774"/>
    <n v="39"/>
  </r>
  <r>
    <x v="2"/>
    <n v="3170"/>
    <n v="379"/>
  </r>
  <r>
    <x v="2"/>
    <n v="3352"/>
    <n v="482"/>
  </r>
  <r>
    <x v="0"/>
    <n v="606"/>
    <n v="470"/>
  </r>
  <r>
    <x v="1"/>
    <n v="129"/>
    <n v="136"/>
  </r>
  <r>
    <x v="2"/>
    <n v="4236"/>
    <n v="298"/>
  </r>
  <r>
    <x v="1"/>
    <n v="880"/>
    <n v="345"/>
  </r>
  <r>
    <x v="0"/>
    <n v="3128"/>
    <n v="197"/>
  </r>
  <r>
    <x v="1"/>
    <n v="1206"/>
    <n v="36"/>
  </r>
  <r>
    <x v="2"/>
    <n v="3801"/>
    <n v="401"/>
  </r>
  <r>
    <x v="2"/>
    <n v="1952"/>
    <n v="287"/>
  </r>
  <r>
    <x v="0"/>
    <n v="3828"/>
    <n v="253"/>
  </r>
  <r>
    <x v="1"/>
    <n v="3860"/>
    <n v="279"/>
  </r>
  <r>
    <x v="2"/>
    <n v="305"/>
    <n v="243"/>
  </r>
  <r>
    <x v="1"/>
    <n v="3811"/>
    <n v="216"/>
  </r>
  <r>
    <x v="1"/>
    <n v="3718"/>
    <n v="310"/>
  </r>
  <r>
    <x v="1"/>
    <n v="571"/>
    <n v="352"/>
  </r>
  <r>
    <x v="2"/>
    <n v="4177"/>
    <n v="55"/>
  </r>
  <r>
    <x v="1"/>
    <n v="3239"/>
    <n v="211"/>
  </r>
  <r>
    <x v="2"/>
    <n v="1330"/>
    <n v="35"/>
  </r>
  <r>
    <x v="2"/>
    <n v="3389"/>
    <n v="229"/>
  </r>
  <r>
    <x v="1"/>
    <n v="2551"/>
    <n v="205"/>
  </r>
  <r>
    <x v="2"/>
    <n v="3767"/>
    <n v="238"/>
  </r>
  <r>
    <x v="2"/>
    <n v="2200"/>
    <n v="239"/>
  </r>
  <r>
    <x v="1"/>
    <n v="1606"/>
    <n v="316"/>
  </r>
  <r>
    <x v="2"/>
    <n v="2692"/>
    <n v="64"/>
  </r>
  <r>
    <x v="0"/>
    <n v="3557"/>
    <n v="424"/>
  </r>
  <r>
    <x v="0"/>
    <n v="1000"/>
    <n v="162"/>
  </r>
  <r>
    <x v="0"/>
    <n v="4858"/>
    <n v="129"/>
  </r>
  <r>
    <x v="2"/>
    <n v="2566"/>
    <n v="37"/>
  </r>
  <r>
    <x v="1"/>
    <n v="3874"/>
    <n v="19"/>
  </r>
  <r>
    <x v="0"/>
    <n v="1606"/>
    <n v="405"/>
  </r>
  <r>
    <x v="1"/>
    <n v="4941"/>
    <n v="266"/>
  </r>
  <r>
    <x v="2"/>
    <n v="246"/>
    <n v="130"/>
  </r>
  <r>
    <x v="1"/>
    <n v="2358"/>
    <n v="344"/>
  </r>
  <r>
    <x v="1"/>
    <n v="1652"/>
    <n v="357"/>
  </r>
  <r>
    <x v="2"/>
    <n v="1946"/>
    <n v="377"/>
  </r>
  <r>
    <x v="0"/>
    <n v="886"/>
    <n v="153"/>
  </r>
  <r>
    <x v="1"/>
    <n v="754"/>
    <n v="257"/>
  </r>
  <r>
    <x v="0"/>
    <n v="3689"/>
    <n v="306"/>
  </r>
  <r>
    <x v="2"/>
    <n v="3009"/>
    <n v="358"/>
  </r>
  <r>
    <x v="0"/>
    <n v="4767"/>
    <n v="340"/>
  </r>
  <r>
    <x v="1"/>
    <n v="3440"/>
    <n v="20"/>
  </r>
  <r>
    <x v="1"/>
    <n v="4050"/>
    <n v="347"/>
  </r>
  <r>
    <x v="2"/>
    <n v="360"/>
    <n v="393"/>
  </r>
  <r>
    <x v="2"/>
    <n v="3960"/>
    <n v="8"/>
  </r>
  <r>
    <x v="2"/>
    <n v="456"/>
    <n v="428"/>
  </r>
  <r>
    <x v="0"/>
    <n v="3791"/>
    <n v="228"/>
  </r>
  <r>
    <x v="1"/>
    <n v="2795"/>
    <n v="49"/>
  </r>
  <r>
    <x v="0"/>
    <n v="249"/>
    <n v="230"/>
  </r>
  <r>
    <x v="0"/>
    <n v="3065"/>
    <n v="142"/>
  </r>
  <r>
    <x v="2"/>
    <n v="725"/>
    <n v="428"/>
  </r>
  <r>
    <x v="1"/>
    <n v="3655"/>
    <n v="286"/>
  </r>
  <r>
    <x v="2"/>
    <n v="2234"/>
    <n v="432"/>
  </r>
  <r>
    <x v="2"/>
    <n v="1436"/>
    <n v="496"/>
  </r>
  <r>
    <x v="0"/>
    <n v="3575"/>
    <n v="111"/>
  </r>
  <r>
    <x v="0"/>
    <n v="4350"/>
    <n v="7"/>
  </r>
  <r>
    <x v="0"/>
    <n v="4808"/>
    <n v="320"/>
  </r>
  <r>
    <x v="2"/>
    <n v="1257"/>
    <n v="351"/>
  </r>
  <r>
    <x v="1"/>
    <n v="3360"/>
    <n v="500"/>
  </r>
  <r>
    <x v="0"/>
    <n v="2107"/>
    <n v="349"/>
  </r>
  <r>
    <x v="1"/>
    <n v="4494"/>
    <n v="45"/>
  </r>
  <r>
    <x v="2"/>
    <n v="1377"/>
    <n v="387"/>
  </r>
  <r>
    <x v="2"/>
    <n v="4775"/>
    <n v="206"/>
  </r>
  <r>
    <x v="2"/>
    <n v="1947"/>
    <n v="101"/>
  </r>
  <r>
    <x v="2"/>
    <n v="498"/>
    <n v="412"/>
  </r>
  <r>
    <x v="0"/>
    <n v="432"/>
    <n v="280"/>
  </r>
  <r>
    <x v="0"/>
    <n v="2418"/>
    <n v="54"/>
  </r>
  <r>
    <x v="1"/>
    <n v="4832"/>
    <n v="10"/>
  </r>
  <r>
    <x v="0"/>
    <n v="2214"/>
    <n v="152"/>
  </r>
  <r>
    <x v="0"/>
    <n v="4134"/>
    <n v="99"/>
  </r>
  <r>
    <x v="1"/>
    <n v="2164"/>
    <n v="274"/>
  </r>
  <r>
    <x v="0"/>
    <n v="4133"/>
    <n v="327"/>
  </r>
  <r>
    <x v="2"/>
    <n v="3371"/>
    <n v="327"/>
  </r>
  <r>
    <x v="0"/>
    <n v="4021"/>
    <n v="77"/>
  </r>
  <r>
    <x v="0"/>
    <n v="2180"/>
    <n v="387"/>
  </r>
  <r>
    <x v="1"/>
    <n v="4689"/>
    <n v="403"/>
  </r>
  <r>
    <x v="2"/>
    <n v="4171"/>
    <n v="86"/>
  </r>
  <r>
    <x v="0"/>
    <n v="3601"/>
    <n v="75"/>
  </r>
  <r>
    <x v="1"/>
    <n v="3820"/>
    <n v="268"/>
  </r>
  <r>
    <x v="1"/>
    <n v="2147"/>
    <n v="393"/>
  </r>
  <r>
    <x v="0"/>
    <n v="4853"/>
    <n v="340"/>
  </r>
  <r>
    <x v="1"/>
    <n v="4934"/>
    <n v="156"/>
  </r>
  <r>
    <x v="1"/>
    <n v="2825"/>
    <n v="295"/>
  </r>
  <r>
    <x v="2"/>
    <n v="3649"/>
    <n v="413"/>
  </r>
  <r>
    <x v="1"/>
    <n v="4241"/>
    <n v="47"/>
  </r>
  <r>
    <x v="1"/>
    <n v="602"/>
    <n v="156"/>
  </r>
  <r>
    <x v="2"/>
    <n v="3182"/>
    <n v="160"/>
  </r>
  <r>
    <x v="2"/>
    <n v="3961"/>
    <n v="131"/>
  </r>
  <r>
    <x v="2"/>
    <n v="400"/>
    <n v="434"/>
  </r>
  <r>
    <x v="0"/>
    <n v="4441"/>
    <n v="70"/>
  </r>
  <r>
    <x v="1"/>
    <n v="1048"/>
    <n v="450"/>
  </r>
  <r>
    <x v="2"/>
    <n v="3452"/>
    <n v="442"/>
  </r>
  <r>
    <x v="0"/>
    <n v="4363"/>
    <n v="140"/>
  </r>
  <r>
    <x v="2"/>
    <n v="3367"/>
    <n v="57"/>
  </r>
  <r>
    <x v="2"/>
    <n v="142"/>
    <n v="183"/>
  </r>
  <r>
    <x v="0"/>
    <n v="1431"/>
    <n v="26"/>
  </r>
  <r>
    <x v="2"/>
    <n v="4771"/>
    <n v="56"/>
  </r>
  <r>
    <x v="2"/>
    <n v="1292"/>
    <n v="496"/>
  </r>
  <r>
    <x v="1"/>
    <n v="53"/>
    <n v="379"/>
  </r>
  <r>
    <x v="0"/>
    <n v="2746"/>
    <n v="203"/>
  </r>
  <r>
    <x v="0"/>
    <n v="929"/>
    <n v="322"/>
  </r>
  <r>
    <x v="2"/>
    <n v="1963"/>
    <n v="19"/>
  </r>
  <r>
    <x v="1"/>
    <n v="3256"/>
    <n v="266"/>
  </r>
  <r>
    <x v="2"/>
    <n v="2283"/>
    <n v="130"/>
  </r>
  <r>
    <x v="2"/>
    <n v="4158"/>
    <n v="241"/>
  </r>
  <r>
    <x v="1"/>
    <n v="1878"/>
    <n v="179"/>
  </r>
  <r>
    <x v="1"/>
    <n v="2174"/>
    <n v="15"/>
  </r>
  <r>
    <x v="1"/>
    <n v="1556"/>
    <n v="131"/>
  </r>
  <r>
    <x v="2"/>
    <n v="2728"/>
    <n v="215"/>
  </r>
  <r>
    <x v="0"/>
    <n v="1263"/>
    <n v="357"/>
  </r>
  <r>
    <x v="1"/>
    <n v="2949"/>
    <n v="403"/>
  </r>
  <r>
    <x v="0"/>
    <n v="3166"/>
    <n v="341"/>
  </r>
  <r>
    <x v="1"/>
    <n v="1570"/>
    <n v="260"/>
  </r>
  <r>
    <x v="1"/>
    <n v="4501"/>
    <n v="323"/>
  </r>
  <r>
    <x v="1"/>
    <n v="3704"/>
    <n v="458"/>
  </r>
  <r>
    <x v="1"/>
    <n v="3784"/>
    <n v="404"/>
  </r>
  <r>
    <x v="0"/>
    <n v="3134"/>
    <n v="444"/>
  </r>
  <r>
    <x v="1"/>
    <n v="4274"/>
    <n v="281"/>
  </r>
  <r>
    <x v="2"/>
    <n v="2751"/>
    <n v="430"/>
  </r>
  <r>
    <x v="0"/>
    <n v="2404"/>
    <n v="138"/>
  </r>
  <r>
    <x v="2"/>
    <n v="2704"/>
    <n v="153"/>
  </r>
  <r>
    <x v="2"/>
    <n v="4507"/>
    <n v="13"/>
  </r>
  <r>
    <x v="1"/>
    <n v="1855"/>
    <n v="174"/>
  </r>
  <r>
    <x v="2"/>
    <n v="1238"/>
    <n v="444"/>
  </r>
  <r>
    <x v="0"/>
    <n v="1226"/>
    <n v="7"/>
  </r>
  <r>
    <x v="1"/>
    <n v="4321"/>
    <n v="172"/>
  </r>
  <r>
    <x v="0"/>
    <n v="3559"/>
    <n v="289"/>
  </r>
  <r>
    <x v="1"/>
    <n v="1741"/>
    <n v="318"/>
  </r>
  <r>
    <x v="2"/>
    <n v="3430"/>
    <n v="164"/>
  </r>
  <r>
    <x v="1"/>
    <n v="1950"/>
    <n v="478"/>
  </r>
  <r>
    <x v="0"/>
    <n v="1509"/>
    <n v="163"/>
  </r>
  <r>
    <x v="1"/>
    <n v="4799"/>
    <n v="289"/>
  </r>
  <r>
    <x v="0"/>
    <n v="4672"/>
    <n v="32"/>
  </r>
  <r>
    <x v="1"/>
    <n v="80"/>
    <n v="80"/>
  </r>
  <r>
    <x v="2"/>
    <n v="1970"/>
    <n v="478"/>
  </r>
  <r>
    <x v="1"/>
    <n v="4054"/>
    <n v="493"/>
  </r>
  <r>
    <x v="0"/>
    <n v="1171"/>
    <n v="231"/>
  </r>
  <r>
    <x v="2"/>
    <n v="2070"/>
    <n v="386"/>
  </r>
  <r>
    <x v="1"/>
    <n v="1407"/>
    <n v="351"/>
  </r>
  <r>
    <x v="0"/>
    <n v="1094"/>
    <n v="21"/>
  </r>
  <r>
    <x v="1"/>
    <n v="2754"/>
    <n v="90"/>
  </r>
  <r>
    <x v="2"/>
    <n v="1076"/>
    <n v="306"/>
  </r>
  <r>
    <x v="0"/>
    <n v="4275"/>
    <n v="385"/>
  </r>
  <r>
    <x v="1"/>
    <n v="1071"/>
    <n v="22"/>
  </r>
  <r>
    <x v="1"/>
    <n v="3731"/>
    <n v="135"/>
  </r>
  <r>
    <x v="2"/>
    <n v="4188"/>
    <n v="118"/>
  </r>
  <r>
    <x v="2"/>
    <n v="3092"/>
    <n v="291"/>
  </r>
  <r>
    <x v="0"/>
    <n v="4712"/>
    <n v="127"/>
  </r>
  <r>
    <x v="1"/>
    <n v="1121"/>
    <n v="18"/>
  </r>
  <r>
    <x v="1"/>
    <n v="1108"/>
    <n v="212"/>
  </r>
  <r>
    <x v="1"/>
    <n v="562"/>
    <n v="149"/>
  </r>
  <r>
    <x v="0"/>
    <n v="3095"/>
    <n v="78"/>
  </r>
  <r>
    <x v="1"/>
    <n v="3564"/>
    <n v="177"/>
  </r>
  <r>
    <x v="0"/>
    <n v="780"/>
    <n v="301"/>
  </r>
  <r>
    <x v="0"/>
    <n v="4731"/>
    <n v="276"/>
  </r>
  <r>
    <x v="0"/>
    <n v="4872"/>
    <n v="176"/>
  </r>
  <r>
    <x v="0"/>
    <n v="296"/>
    <n v="141"/>
  </r>
  <r>
    <x v="2"/>
    <n v="4126"/>
    <n v="486"/>
  </r>
  <r>
    <x v="1"/>
    <n v="3138"/>
    <n v="291"/>
  </r>
  <r>
    <x v="0"/>
    <n v="941"/>
    <n v="458"/>
  </r>
  <r>
    <x v="2"/>
    <n v="3452"/>
    <n v="360"/>
  </r>
  <r>
    <x v="0"/>
    <n v="1813"/>
    <n v="72"/>
  </r>
  <r>
    <x v="0"/>
    <n v="904"/>
    <n v="63"/>
  </r>
  <r>
    <x v="0"/>
    <n v="3663"/>
    <n v="295"/>
  </r>
  <r>
    <x v="0"/>
    <n v="3809"/>
    <n v="200"/>
  </r>
  <r>
    <x v="2"/>
    <n v="4838"/>
    <n v="128"/>
  </r>
  <r>
    <x v="0"/>
    <n v="1164"/>
    <n v="324"/>
  </r>
  <r>
    <x v="2"/>
    <n v="432"/>
    <n v="123"/>
  </r>
  <r>
    <x v="0"/>
    <n v="1702"/>
    <n v="179"/>
  </r>
  <r>
    <x v="2"/>
    <n v="3770"/>
    <n v="129"/>
  </r>
  <r>
    <x v="2"/>
    <n v="2878"/>
    <n v="416"/>
  </r>
  <r>
    <x v="0"/>
    <n v="2610"/>
    <n v="288"/>
  </r>
  <r>
    <x v="0"/>
    <n v="4523"/>
    <n v="157"/>
  </r>
  <r>
    <x v="2"/>
    <n v="2581"/>
    <n v="117"/>
  </r>
  <r>
    <x v="0"/>
    <n v="4929"/>
    <n v="452"/>
  </r>
  <r>
    <x v="1"/>
    <n v="4886"/>
    <n v="409"/>
  </r>
  <r>
    <x v="2"/>
    <n v="1792"/>
    <n v="497"/>
  </r>
  <r>
    <x v="2"/>
    <n v="985"/>
    <n v="287"/>
  </r>
  <r>
    <x v="2"/>
    <n v="2089"/>
    <n v="69"/>
  </r>
  <r>
    <x v="2"/>
    <n v="4661"/>
    <n v="433"/>
  </r>
  <r>
    <x v="1"/>
    <n v="1249"/>
    <n v="420"/>
  </r>
  <r>
    <x v="2"/>
    <n v="4187"/>
    <n v="31"/>
  </r>
  <r>
    <x v="2"/>
    <n v="2946"/>
    <n v="367"/>
  </r>
  <r>
    <x v="0"/>
    <n v="1741"/>
    <n v="345"/>
  </r>
  <r>
    <x v="2"/>
    <n v="4840"/>
    <n v="211"/>
  </r>
  <r>
    <x v="2"/>
    <n v="4551"/>
    <n v="207"/>
  </r>
  <r>
    <x v="1"/>
    <n v="4606"/>
    <n v="230"/>
  </r>
  <r>
    <x v="1"/>
    <n v="3577"/>
    <n v="493"/>
  </r>
  <r>
    <x v="2"/>
    <n v="1686"/>
    <n v="472"/>
  </r>
  <r>
    <x v="0"/>
    <n v="1766"/>
    <n v="424"/>
  </r>
  <r>
    <x v="1"/>
    <n v="3099"/>
    <n v="171"/>
  </r>
  <r>
    <x v="2"/>
    <n v="4285"/>
    <n v="376"/>
  </r>
  <r>
    <x v="2"/>
    <n v="2076"/>
    <n v="104"/>
  </r>
  <r>
    <x v="0"/>
    <n v="802"/>
    <n v="244"/>
  </r>
  <r>
    <x v="2"/>
    <n v="3160"/>
    <n v="297"/>
  </r>
  <r>
    <x v="0"/>
    <n v="4804"/>
    <n v="270"/>
  </r>
  <r>
    <x v="2"/>
    <n v="2647"/>
    <n v="170"/>
  </r>
  <r>
    <x v="1"/>
    <n v="4561"/>
    <n v="441"/>
  </r>
  <r>
    <x v="2"/>
    <n v="4000"/>
    <n v="488"/>
  </r>
  <r>
    <x v="1"/>
    <n v="3535"/>
    <n v="152"/>
  </r>
  <r>
    <x v="1"/>
    <n v="199"/>
    <n v="400"/>
  </r>
  <r>
    <x v="2"/>
    <n v="4725"/>
    <n v="362"/>
  </r>
  <r>
    <x v="1"/>
    <n v="1272"/>
    <n v="99"/>
  </r>
  <r>
    <x v="0"/>
    <n v="1877"/>
    <n v="225"/>
  </r>
  <r>
    <x v="1"/>
    <n v="2719"/>
    <n v="285"/>
  </r>
  <r>
    <x v="2"/>
    <n v="1814"/>
    <n v="363"/>
  </r>
  <r>
    <x v="0"/>
    <n v="3929"/>
    <n v="278"/>
  </r>
  <r>
    <x v="2"/>
    <n v="1018"/>
    <n v="332"/>
  </r>
  <r>
    <x v="0"/>
    <n v="3024"/>
    <n v="350"/>
  </r>
  <r>
    <x v="1"/>
    <n v="4739"/>
    <n v="135"/>
  </r>
  <r>
    <x v="0"/>
    <n v="4663"/>
    <n v="225"/>
  </r>
  <r>
    <x v="1"/>
    <n v="947"/>
    <n v="350"/>
  </r>
  <r>
    <x v="2"/>
    <n v="498"/>
    <n v="42"/>
  </r>
  <r>
    <x v="2"/>
    <n v="3592"/>
    <n v="375"/>
  </r>
  <r>
    <x v="0"/>
    <n v="4518"/>
    <n v="383"/>
  </r>
  <r>
    <x v="2"/>
    <n v="1488"/>
    <n v="168"/>
  </r>
  <r>
    <x v="2"/>
    <n v="2103"/>
    <n v="103"/>
  </r>
  <r>
    <x v="1"/>
    <n v="302"/>
    <n v="430"/>
  </r>
  <r>
    <x v="1"/>
    <n v="1762"/>
    <n v="423"/>
  </r>
  <r>
    <x v="0"/>
    <n v="3090"/>
    <n v="164"/>
  </r>
  <r>
    <x v="1"/>
    <n v="2072"/>
    <n v="71"/>
  </r>
  <r>
    <x v="1"/>
    <n v="4054"/>
    <n v="373"/>
  </r>
  <r>
    <x v="0"/>
    <n v="2166"/>
    <n v="117"/>
  </r>
  <r>
    <x v="1"/>
    <n v="4453"/>
    <n v="420"/>
  </r>
  <r>
    <x v="0"/>
    <n v="2936"/>
    <n v="44"/>
  </r>
  <r>
    <x v="2"/>
    <n v="2120"/>
    <n v="212"/>
  </r>
  <r>
    <x v="2"/>
    <n v="954"/>
    <n v="288"/>
  </r>
  <r>
    <x v="2"/>
    <n v="2603"/>
    <n v="205"/>
  </r>
  <r>
    <x v="1"/>
    <n v="1082"/>
    <n v="484"/>
  </r>
  <r>
    <x v="2"/>
    <n v="3888"/>
    <n v="128"/>
  </r>
  <r>
    <x v="0"/>
    <n v="736"/>
    <n v="225"/>
  </r>
  <r>
    <x v="2"/>
    <n v="3000"/>
    <n v="325"/>
  </r>
  <r>
    <x v="0"/>
    <n v="4782"/>
    <n v="82"/>
  </r>
  <r>
    <x v="2"/>
    <n v="2120"/>
    <n v="488"/>
  </r>
  <r>
    <x v="2"/>
    <n v="1575"/>
    <n v="486"/>
  </r>
  <r>
    <x v="2"/>
    <n v="1461"/>
    <n v="344"/>
  </r>
  <r>
    <x v="1"/>
    <n v="4303"/>
    <n v="286"/>
  </r>
  <r>
    <x v="0"/>
    <n v="84"/>
    <n v="85"/>
  </r>
  <r>
    <x v="2"/>
    <n v="4450"/>
    <n v="143"/>
  </r>
  <r>
    <x v="0"/>
    <n v="804"/>
    <n v="43"/>
  </r>
  <r>
    <x v="1"/>
    <n v="3711"/>
    <n v="290"/>
  </r>
  <r>
    <x v="0"/>
    <n v="2291"/>
    <n v="485"/>
  </r>
  <r>
    <x v="0"/>
    <n v="4419"/>
    <n v="369"/>
  </r>
  <r>
    <x v="1"/>
    <n v="4182"/>
    <n v="240"/>
  </r>
  <r>
    <x v="1"/>
    <n v="4332"/>
    <n v="219"/>
  </r>
  <r>
    <x v="3"/>
    <n v="880"/>
    <n v="345"/>
  </r>
  <r>
    <x v="1"/>
    <n v="1952"/>
    <n v="287"/>
  </r>
  <r>
    <x v="3"/>
    <n v="1606"/>
    <n v="316"/>
  </r>
  <r>
    <x v="1"/>
    <n v="3557"/>
    <n v="424"/>
  </r>
  <r>
    <x v="4"/>
    <n v="3440"/>
    <n v="20"/>
  </r>
  <r>
    <x v="0"/>
    <n v="3960"/>
    <n v="8"/>
  </r>
  <r>
    <x v="3"/>
    <n v="3065"/>
    <n v="142"/>
  </r>
  <r>
    <x v="1"/>
    <n v="725"/>
    <n v="428"/>
  </r>
  <r>
    <x v="3"/>
    <n v="1257"/>
    <n v="351"/>
  </r>
  <r>
    <x v="0"/>
    <n v="4494"/>
    <n v="45"/>
  </r>
  <r>
    <x v="4"/>
    <n v="3820"/>
    <n v="268"/>
  </r>
  <r>
    <x v="3"/>
    <n v="4934"/>
    <n v="156"/>
  </r>
  <r>
    <x v="1"/>
    <n v="929"/>
    <n v="322"/>
  </r>
  <r>
    <x v="4"/>
    <n v="4274"/>
    <n v="281"/>
  </r>
  <r>
    <x v="5"/>
    <n v="4054"/>
    <n v="493"/>
  </r>
  <r>
    <x v="1"/>
    <n v="4275"/>
    <n v="385"/>
  </r>
  <r>
    <x v="1"/>
    <n v="904"/>
    <n v="63"/>
  </r>
  <r>
    <x v="3"/>
    <n v="3160"/>
    <n v="297"/>
  </r>
  <r>
    <x v="4"/>
    <n v="1814"/>
    <n v="363"/>
  </r>
  <r>
    <x v="3"/>
    <n v="4739"/>
    <n v="135"/>
  </r>
  <r>
    <x v="0"/>
    <n v="3090"/>
    <n v="164"/>
  </r>
  <r>
    <x v="3"/>
    <n v="1461"/>
    <n v="344"/>
  </r>
  <r>
    <x v="5"/>
    <n v="804"/>
    <n v="43"/>
  </r>
  <r>
    <x v="4"/>
    <n v="2291"/>
    <n v="485"/>
  </r>
  <r>
    <x v="0"/>
    <n v="4332"/>
    <n v="219"/>
  </r>
  <r>
    <x v="3"/>
    <n v="914"/>
    <n v="246"/>
  </r>
  <r>
    <x v="3"/>
    <n v="1952"/>
    <n v="287"/>
  </r>
  <r>
    <x v="5"/>
    <n v="3960"/>
    <n v="8"/>
  </r>
  <r>
    <x v="3"/>
    <n v="725"/>
    <n v="428"/>
  </r>
  <r>
    <x v="0"/>
    <n v="1257"/>
    <n v="351"/>
  </r>
  <r>
    <x v="5"/>
    <n v="4494"/>
    <n v="45"/>
  </r>
  <r>
    <x v="3"/>
    <n v="929"/>
    <n v="322"/>
  </r>
  <r>
    <x v="3"/>
    <n v="4275"/>
    <n v="385"/>
  </r>
  <r>
    <x v="3"/>
    <n v="904"/>
    <n v="63"/>
  </r>
  <r>
    <x v="5"/>
    <n v="3090"/>
    <n v="164"/>
  </r>
  <r>
    <x v="5"/>
    <n v="4332"/>
    <n v="219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n v="1644"/>
    <n v="546"/>
    <n v="150"/>
    <n v="27948"/>
    <n v="250000"/>
    <n v="8.3726921425504502E-2"/>
    <n v="9.3600000000000003E-3"/>
  </r>
  <r>
    <x v="1"/>
    <n v="4750"/>
    <n v="151"/>
    <n v="415"/>
    <n v="38000"/>
    <n v="180000"/>
    <n v="0.13989473684210527"/>
    <n v="2.9533333333333335E-2"/>
  </r>
  <r>
    <x v="1"/>
    <n v="4619"/>
    <n v="821"/>
    <n v="499"/>
    <n v="69285"/>
    <n v="180000"/>
    <n v="8.5718409468138843E-2"/>
    <n v="3.2994444444444444E-2"/>
  </r>
  <r>
    <x v="0"/>
    <n v="1957"/>
    <n v="877"/>
    <n v="238"/>
    <n v="17613"/>
    <n v="250000"/>
    <n v="0.17441662408448305"/>
    <n v="1.2288E-2"/>
  </r>
  <r>
    <x v="1"/>
    <n v="3861"/>
    <n v="960"/>
    <n v="101"/>
    <n v="69498"/>
    <n v="180000"/>
    <n v="7.0822181933293038E-2"/>
    <n v="2.7344444444444446E-2"/>
  </r>
  <r>
    <x v="1"/>
    <n v="3641"/>
    <n v="226"/>
    <n v="46"/>
    <n v="40051"/>
    <n v="180000"/>
    <n v="9.7700431949264685E-2"/>
    <n v="2.1738888888888887E-2"/>
  </r>
  <r>
    <x v="2"/>
    <n v="59"/>
    <n v="163"/>
    <n v="93"/>
    <n v="590"/>
    <n v="200000"/>
    <n v="0.53389830508474578"/>
    <n v="1.575E-3"/>
  </r>
  <r>
    <x v="3"/>
    <n v="3796"/>
    <n v="667"/>
    <n v="395"/>
    <n v="64532"/>
    <s v="N/A"/>
    <s v="N/A"/>
    <s v="N/A"/>
  </r>
  <r>
    <x v="1"/>
    <n v="4295"/>
    <n v="853"/>
    <n v="325"/>
    <n v="85900"/>
    <n v="180000"/>
    <n v="6.3713620488940623E-2"/>
    <n v="3.0405555555555557E-2"/>
  </r>
  <r>
    <x v="3"/>
    <n v="1881"/>
    <n v="501"/>
    <n v="99"/>
    <n v="20691"/>
    <s v="N/A"/>
    <n v="0.11990720603160794"/>
    <s v="N/A"/>
  </r>
  <r>
    <x v="0"/>
    <n v="1871"/>
    <n v="252"/>
    <n v="335"/>
    <n v="29936"/>
    <n v="250000"/>
    <n v="8.2108498129342594E-2"/>
    <n v="9.8320000000000005E-3"/>
  </r>
  <r>
    <x v="4"/>
    <n v="257"/>
    <n v="966"/>
    <n v="398"/>
    <n v="3341"/>
    <n v="150000"/>
    <n v="0.48518407662376534"/>
    <n v="1.0806666666666666E-2"/>
  </r>
  <r>
    <x v="4"/>
    <n v="3773"/>
    <n v="299"/>
    <n v="38"/>
    <n v="71687"/>
    <n v="150000"/>
    <n v="5.7332570758993957E-2"/>
    <n v="2.7400000000000001E-2"/>
  </r>
  <r>
    <x v="0"/>
    <n v="1816"/>
    <n v="29"/>
    <n v="41"/>
    <n v="19976"/>
    <n v="250000"/>
    <n v="9.4413295955146179E-2"/>
    <n v="7.5440000000000004E-3"/>
  </r>
  <r>
    <x v="2"/>
    <n v="521"/>
    <n v="746"/>
    <n v="315"/>
    <n v="4168"/>
    <n v="200000"/>
    <n v="0.37955854126679461"/>
    <n v="7.9100000000000004E-3"/>
  </r>
  <r>
    <x v="2"/>
    <n v="438"/>
    <n v="153"/>
    <n v="275"/>
    <n v="3066"/>
    <n v="200000"/>
    <n v="0.28245270711024134"/>
    <n v="4.3299999999999996E-3"/>
  </r>
  <r>
    <x v="1"/>
    <n v="914"/>
    <n v="464"/>
    <n v="246"/>
    <n v="11882"/>
    <n v="180000"/>
    <n v="0.13667732704931829"/>
    <n v="9.0222222222222214E-3"/>
  </r>
  <r>
    <x v="1"/>
    <n v="4516"/>
    <n v="836"/>
    <n v="169"/>
    <n v="49676"/>
    <n v="180000"/>
    <n v="0.11114018842096787"/>
    <n v="3.0672222222222222E-2"/>
  </r>
  <r>
    <x v="2"/>
    <n v="4905"/>
    <n v="845"/>
    <n v="129"/>
    <n v="98100"/>
    <n v="200000"/>
    <n v="5.9928644240570844E-2"/>
    <n v="2.9395000000000001E-2"/>
  </r>
  <r>
    <x v="3"/>
    <n v="3008"/>
    <n v="94"/>
    <n v="37"/>
    <n v="15040"/>
    <s v="N/A"/>
    <s v="N/A"/>
    <s v="N/A"/>
  </r>
  <r>
    <x v="4"/>
    <n v="2634"/>
    <n v="726"/>
    <n v="241"/>
    <n v="28974"/>
    <n v="150000"/>
    <n v="0.12428384068475185"/>
    <n v="2.4006666666666666E-2"/>
  </r>
  <r>
    <x v="2"/>
    <n v="2509"/>
    <n v="324"/>
    <n v="171"/>
    <n v="35126"/>
    <n v="200000"/>
    <n v="8.5520696919660646E-2"/>
    <n v="1.502E-2"/>
  </r>
  <r>
    <x v="4"/>
    <n v="2278"/>
    <n v="10"/>
    <n v="321"/>
    <n v="13668"/>
    <n v="150000"/>
    <n v="0.19088381621305239"/>
    <n v="1.7393333333333334E-2"/>
  </r>
  <r>
    <x v="1"/>
    <n v="1869"/>
    <n v="453"/>
    <n v="490"/>
    <n v="14952"/>
    <n v="180000"/>
    <n v="0.18806848582129482"/>
    <n v="1.5622222222222221E-2"/>
  </r>
  <r>
    <x v="3"/>
    <n v="1176"/>
    <n v="464"/>
    <n v="394"/>
    <n v="14112"/>
    <s v="N/A"/>
    <n v="0.1441326530612245"/>
    <s v="N/A"/>
  </r>
  <r>
    <x v="1"/>
    <n v="4213"/>
    <n v="253"/>
    <n v="434"/>
    <n v="75834"/>
    <n v="180000"/>
    <n v="6.461481657304112E-2"/>
    <n v="2.7222222222222221E-2"/>
  </r>
  <r>
    <x v="2"/>
    <n v="3775"/>
    <n v="16"/>
    <n v="239"/>
    <n v="33975"/>
    <n v="200000"/>
    <n v="0.11861662987490802"/>
    <n v="2.0150000000000001E-2"/>
  </r>
  <r>
    <x v="1"/>
    <n v="1188"/>
    <n v="470"/>
    <n v="174"/>
    <n v="7128"/>
    <n v="180000"/>
    <n v="0.25701459034792368"/>
    <n v="1.0177777777777779E-2"/>
  </r>
  <r>
    <x v="2"/>
    <n v="3523"/>
    <n v="753"/>
    <n v="482"/>
    <n v="38753"/>
    <n v="200000"/>
    <n v="0.12277759141227776"/>
    <n v="2.3789999999999999E-2"/>
  </r>
  <r>
    <x v="4"/>
    <n v="4579"/>
    <n v="125"/>
    <n v="300"/>
    <n v="59527"/>
    <n v="150000"/>
    <n v="8.4062694239588759E-2"/>
    <n v="3.3360000000000001E-2"/>
  </r>
  <r>
    <x v="2"/>
    <n v="3068"/>
    <n v="137"/>
    <n v="329"/>
    <n v="39884"/>
    <n v="200000"/>
    <n v="8.860696018453515E-2"/>
    <n v="1.7670000000000002E-2"/>
  </r>
  <r>
    <x v="4"/>
    <n v="3798"/>
    <n v="31"/>
    <n v="279"/>
    <n v="75960"/>
    <n v="150000"/>
    <n v="5.4081095313322801E-2"/>
    <n v="2.7386666666666667E-2"/>
  </r>
  <r>
    <x v="3"/>
    <n v="4242"/>
    <n v="555"/>
    <n v="131"/>
    <n v="33936"/>
    <s v="N/A"/>
    <n v="0.14521452145214522"/>
    <s v="N/A"/>
  </r>
  <r>
    <x v="0"/>
    <n v="4292"/>
    <n v="51"/>
    <n v="392"/>
    <n v="55796"/>
    <n v="250000"/>
    <n v="8.4862714173059003E-2"/>
    <n v="1.8939999999999999E-2"/>
  </r>
  <r>
    <x v="2"/>
    <n v="3432"/>
    <n v="869"/>
    <n v="123"/>
    <n v="54912"/>
    <n v="200000"/>
    <n v="8.0565268065268064E-2"/>
    <n v="2.2120000000000001E-2"/>
  </r>
  <r>
    <x v="1"/>
    <n v="103"/>
    <n v="770"/>
    <n v="19"/>
    <n v="1030"/>
    <n v="180000"/>
    <n v="0.86601941747572819"/>
    <n v="4.9555555555555559E-3"/>
  </r>
  <r>
    <x v="0"/>
    <n v="4780"/>
    <n v="691"/>
    <n v="380"/>
    <n v="86040"/>
    <n v="250000"/>
    <n v="6.800325430032543E-2"/>
    <n v="2.3404000000000001E-2"/>
  </r>
  <r>
    <x v="2"/>
    <n v="2945"/>
    <n v="930"/>
    <n v="355"/>
    <n v="23560"/>
    <n v="200000"/>
    <n v="0.17954159592529711"/>
    <n v="2.1149999999999999E-2"/>
  </r>
  <r>
    <x v="1"/>
    <n v="1674"/>
    <n v="929"/>
    <n v="37"/>
    <n v="21762"/>
    <n v="180000"/>
    <n v="0.12131237937689551"/>
    <n v="1.4666666666666666E-2"/>
  </r>
  <r>
    <x v="1"/>
    <n v="1841"/>
    <n v="851"/>
    <n v="342"/>
    <n v="34979"/>
    <n v="180000"/>
    <n v="8.6737756939878216E-2"/>
    <n v="1.6855555555555554E-2"/>
  </r>
  <r>
    <x v="2"/>
    <n v="827"/>
    <n v="77"/>
    <n v="402"/>
    <n v="14886"/>
    <n v="200000"/>
    <n v="8.7733440816874911E-2"/>
    <n v="6.5300000000000002E-3"/>
  </r>
  <r>
    <x v="3"/>
    <n v="3338"/>
    <n v="277"/>
    <n v="118"/>
    <n v="60084"/>
    <s v="N/A"/>
    <n v="6.2129685107516146E-2"/>
    <s v="N/A"/>
  </r>
  <r>
    <x v="4"/>
    <n v="3215"/>
    <n v="960"/>
    <n v="202"/>
    <n v="32150"/>
    <n v="150000"/>
    <n v="0.13614307931570763"/>
    <n v="2.9180000000000001E-2"/>
  </r>
  <r>
    <x v="4"/>
    <n v="1430"/>
    <n v="376"/>
    <n v="33"/>
    <n v="21450"/>
    <n v="150000"/>
    <n v="8.5734265734265735E-2"/>
    <n v="1.226E-2"/>
  </r>
  <r>
    <x v="3"/>
    <n v="3813"/>
    <n v="935"/>
    <n v="274"/>
    <n v="68634"/>
    <s v="N/A"/>
    <n v="7.3170731707317069E-2"/>
    <s v="N/A"/>
  </r>
  <r>
    <x v="1"/>
    <n v="2382"/>
    <n v="265"/>
    <n v="134"/>
    <n v="38112"/>
    <n v="180000"/>
    <n v="7.2969143576826198E-2"/>
    <n v="1.545E-2"/>
  </r>
  <r>
    <x v="1"/>
    <n v="2696"/>
    <n v="628"/>
    <n v="443"/>
    <n v="45832"/>
    <n v="180000"/>
    <n v="8.21914819340199E-2"/>
    <n v="2.0927777777777778E-2"/>
  </r>
  <r>
    <x v="2"/>
    <n v="2143"/>
    <n v="12"/>
    <n v="204"/>
    <n v="40717"/>
    <n v="200000"/>
    <n v="5.7936488444630008E-2"/>
    <n v="1.1795E-2"/>
  </r>
  <r>
    <x v="0"/>
    <n v="3073"/>
    <n v="553"/>
    <n v="174"/>
    <n v="52241"/>
    <n v="250000"/>
    <n v="7.2739802071170159E-2"/>
    <n v="1.52E-2"/>
  </r>
  <r>
    <x v="1"/>
    <n v="4671"/>
    <n v="876"/>
    <n v="366"/>
    <n v="51381"/>
    <n v="180000"/>
    <n v="0.11508145034156594"/>
    <n v="3.2849999999999997E-2"/>
  </r>
  <r>
    <x v="1"/>
    <n v="3428"/>
    <n v="305"/>
    <n v="85"/>
    <n v="58276"/>
    <n v="180000"/>
    <n v="6.5515821264328367E-2"/>
    <n v="2.1211111111111111E-2"/>
  </r>
  <r>
    <x v="1"/>
    <n v="2493"/>
    <n v="97"/>
    <n v="44"/>
    <n v="42381"/>
    <n v="180000"/>
    <n v="6.2150491965739366E-2"/>
    <n v="1.4633333333333333E-2"/>
  </r>
  <r>
    <x v="3"/>
    <n v="1543"/>
    <n v="820"/>
    <n v="333"/>
    <n v="12344"/>
    <s v="N/A"/>
    <n v="0.21840570317563188"/>
    <s v="N/A"/>
  </r>
  <r>
    <x v="0"/>
    <n v="3196"/>
    <n v="941"/>
    <n v="376"/>
    <n v="35156"/>
    <n v="250000"/>
    <n v="0.1283706906360223"/>
    <n v="1.8051999999999999E-2"/>
  </r>
  <r>
    <x v="0"/>
    <n v="3774"/>
    <n v="239"/>
    <n v="39"/>
    <n v="60384"/>
    <n v="250000"/>
    <n v="6.7103868574456813E-2"/>
    <n v="1.6208E-2"/>
  </r>
  <r>
    <x v="3"/>
    <n v="3170"/>
    <n v="857"/>
    <n v="379"/>
    <n v="19020"/>
    <s v="N/A"/>
    <n v="0.2316508937960042"/>
    <s v="N/A"/>
  </r>
  <r>
    <x v="2"/>
    <n v="3352"/>
    <n v="941"/>
    <n v="482"/>
    <n v="43576"/>
    <n v="200000"/>
    <n v="0.1095786671562328"/>
    <n v="2.3875E-2"/>
  </r>
  <r>
    <x v="0"/>
    <n v="606"/>
    <n v="789"/>
    <n v="470"/>
    <n v="7878"/>
    <n v="250000"/>
    <n v="0.23673521198273673"/>
    <n v="7.4599999999999996E-3"/>
  </r>
  <r>
    <x v="1"/>
    <n v="129"/>
    <n v="643"/>
    <n v="136"/>
    <n v="1290"/>
    <n v="180000"/>
    <n v="0.70387596899224802"/>
    <n v="5.0444444444444443E-3"/>
  </r>
  <r>
    <x v="4"/>
    <n v="4236"/>
    <n v="711"/>
    <n v="298"/>
    <n v="21180"/>
    <n v="150000"/>
    <n v="0.24763928234183191"/>
    <n v="3.4966666666666667E-2"/>
  </r>
  <r>
    <x v="3"/>
    <n v="880"/>
    <n v="297"/>
    <n v="345"/>
    <n v="12320"/>
    <s v="N/A"/>
    <n v="0.12353896103896105"/>
    <s v="N/A"/>
  </r>
  <r>
    <x v="3"/>
    <n v="3128"/>
    <n v="211"/>
    <n v="197"/>
    <n v="59432"/>
    <s v="N/A"/>
    <n v="5.9496567505720827E-2"/>
    <s v="N/A"/>
  </r>
  <r>
    <x v="3"/>
    <n v="1206"/>
    <n v="238"/>
    <n v="36"/>
    <n v="9648"/>
    <s v="N/A"/>
    <n v="0.15339966832504145"/>
    <s v="N/A"/>
  </r>
  <r>
    <x v="0"/>
    <n v="3801"/>
    <n v="967"/>
    <n v="401"/>
    <n v="38010"/>
    <n v="250000"/>
    <n v="0.13599052880820836"/>
    <n v="2.0676E-2"/>
  </r>
  <r>
    <x v="2"/>
    <n v="1952"/>
    <n v="344"/>
    <n v="287"/>
    <n v="15616"/>
    <n v="200000"/>
    <n v="0.16540727459016394"/>
    <n v="1.2914999999999999E-2"/>
  </r>
  <r>
    <x v="3"/>
    <n v="3828"/>
    <n v="148"/>
    <n v="253"/>
    <n v="30624"/>
    <s v="N/A"/>
    <n v="0.13809430512016718"/>
    <s v="N/A"/>
  </r>
  <r>
    <x v="2"/>
    <n v="3860"/>
    <n v="201"/>
    <n v="279"/>
    <n v="61760"/>
    <n v="200000"/>
    <n v="7.0272020725388601E-2"/>
    <n v="2.1700000000000001E-2"/>
  </r>
  <r>
    <x v="0"/>
    <n v="305"/>
    <n v="187"/>
    <n v="243"/>
    <n v="4575"/>
    <n v="250000"/>
    <n v="0.16065573770491803"/>
    <n v="2.9399999999999999E-3"/>
  </r>
  <r>
    <x v="1"/>
    <n v="3811"/>
    <n v="866"/>
    <n v="216"/>
    <n v="34299"/>
    <n v="180000"/>
    <n v="0.14265722032712325"/>
    <n v="2.7183333333333334E-2"/>
  </r>
  <r>
    <x v="2"/>
    <n v="3718"/>
    <n v="385"/>
    <n v="310"/>
    <n v="70642"/>
    <n v="200000"/>
    <n v="6.246991874522239E-2"/>
    <n v="2.2065000000000001E-2"/>
  </r>
  <r>
    <x v="1"/>
    <n v="571"/>
    <n v="190"/>
    <n v="352"/>
    <n v="9707"/>
    <n v="180000"/>
    <n v="0.11465952405480581"/>
    <n v="6.1833333333333332E-3"/>
  </r>
  <r>
    <x v="4"/>
    <n v="4177"/>
    <n v="569"/>
    <n v="55"/>
    <n v="25062"/>
    <n v="150000"/>
    <n v="0.19156491900087783"/>
    <n v="3.2006666666666669E-2"/>
  </r>
  <r>
    <x v="2"/>
    <n v="3239"/>
    <n v="43"/>
    <n v="211"/>
    <n v="22673"/>
    <n v="200000"/>
    <n v="0.15405989502933004"/>
    <n v="1.7465000000000001E-2"/>
  </r>
  <r>
    <x v="0"/>
    <n v="1330"/>
    <n v="925"/>
    <n v="35"/>
    <n v="15960"/>
    <n v="250000"/>
    <n v="0.14348370927318296"/>
    <n v="9.1599999999999997E-3"/>
  </r>
  <r>
    <x v="0"/>
    <n v="3389"/>
    <n v="344"/>
    <n v="229"/>
    <n v="20334"/>
    <n v="250000"/>
    <n v="0.19484607062063539"/>
    <n v="1.5848000000000001E-2"/>
  </r>
  <r>
    <x v="2"/>
    <n v="2551"/>
    <n v="915"/>
    <n v="205"/>
    <n v="30612"/>
    <n v="200000"/>
    <n v="0.1199202926956749"/>
    <n v="1.8355E-2"/>
  </r>
  <r>
    <x v="1"/>
    <n v="3767"/>
    <n v="514"/>
    <n v="238"/>
    <n v="37670"/>
    <n v="180000"/>
    <n v="0.11996283514733209"/>
    <n v="2.5105555555555555E-2"/>
  </r>
  <r>
    <x v="2"/>
    <n v="2200"/>
    <n v="504"/>
    <n v="239"/>
    <n v="37400"/>
    <n v="200000"/>
    <n v="7.8689839572192513E-2"/>
    <n v="1.4715000000000001E-2"/>
  </r>
  <r>
    <x v="2"/>
    <n v="1606"/>
    <n v="547"/>
    <n v="316"/>
    <n v="32120"/>
    <n v="200000"/>
    <n v="7.6867995018679955E-2"/>
    <n v="1.2345E-2"/>
  </r>
  <r>
    <x v="2"/>
    <n v="2692"/>
    <n v="115"/>
    <n v="64"/>
    <n v="21536"/>
    <n v="200000"/>
    <n v="0.13331166419019316"/>
    <n v="1.4355E-2"/>
  </r>
  <r>
    <x v="4"/>
    <n v="3557"/>
    <n v="687"/>
    <n v="424"/>
    <n v="71140"/>
    <n v="150000"/>
    <n v="6.5617093055946027E-2"/>
    <n v="3.1119999999999998E-2"/>
  </r>
  <r>
    <x v="2"/>
    <n v="1000"/>
    <n v="978"/>
    <n v="162"/>
    <n v="6000"/>
    <n v="200000"/>
    <n v="0.35666666666666669"/>
    <n v="1.0699999999999999E-2"/>
  </r>
  <r>
    <x v="0"/>
    <n v="4858"/>
    <n v="317"/>
    <n v="129"/>
    <n v="53438"/>
    <n v="250000"/>
    <n v="9.9255211647142488E-2"/>
    <n v="2.1215999999999999E-2"/>
  </r>
  <r>
    <x v="0"/>
    <n v="2566"/>
    <n v="118"/>
    <n v="37"/>
    <n v="12830"/>
    <n v="250000"/>
    <n v="0.21208106001558846"/>
    <n v="1.0884E-2"/>
  </r>
  <r>
    <x v="2"/>
    <n v="3874"/>
    <n v="884"/>
    <n v="19"/>
    <n v="38740"/>
    <n v="200000"/>
    <n v="0.123309241094476"/>
    <n v="2.3885E-2"/>
  </r>
  <r>
    <x v="1"/>
    <n v="1606"/>
    <n v="451"/>
    <n v="405"/>
    <n v="20878"/>
    <n v="180000"/>
    <n v="0.11792317271769326"/>
    <n v="1.3677777777777778E-2"/>
  </r>
  <r>
    <x v="0"/>
    <n v="4941"/>
    <n v="414"/>
    <n v="266"/>
    <n v="39528"/>
    <n v="250000"/>
    <n v="0.14220299534507186"/>
    <n v="2.2484000000000001E-2"/>
  </r>
  <r>
    <x v="0"/>
    <n v="246"/>
    <n v="149"/>
    <n v="130"/>
    <n v="4674"/>
    <n v="250000"/>
    <n v="0.11232349165596919"/>
    <n v="2.0999999999999999E-3"/>
  </r>
  <r>
    <x v="3"/>
    <n v="2358"/>
    <n v="784"/>
    <n v="344"/>
    <n v="35370"/>
    <s v="N/A"/>
    <n v="9.8558100084817649E-2"/>
    <s v="N/A"/>
  </r>
  <r>
    <x v="0"/>
    <n v="1652"/>
    <n v="89"/>
    <n v="357"/>
    <n v="29736"/>
    <n v="250000"/>
    <n v="7.055421038471886E-2"/>
    <n v="8.3920000000000002E-3"/>
  </r>
  <r>
    <x v="0"/>
    <n v="1946"/>
    <n v="686"/>
    <n v="377"/>
    <n v="23352"/>
    <n v="250000"/>
    <n v="0.12885405960945528"/>
    <n v="1.2036E-2"/>
  </r>
  <r>
    <x v="3"/>
    <n v="886"/>
    <n v="126"/>
    <n v="153"/>
    <n v="4430"/>
    <s v="N/A"/>
    <n v="0.26297968397291194"/>
    <s v="N/A"/>
  </r>
  <r>
    <x v="0"/>
    <n v="754"/>
    <n v="197"/>
    <n v="257"/>
    <n v="6786"/>
    <n v="250000"/>
    <n v="0.17801355732390214"/>
    <n v="4.8320000000000004E-3"/>
  </r>
  <r>
    <x v="2"/>
    <n v="3689"/>
    <n v="48"/>
    <n v="306"/>
    <n v="40579"/>
    <n v="200000"/>
    <n v="9.9632815002833983E-2"/>
    <n v="2.0215E-2"/>
  </r>
  <r>
    <x v="2"/>
    <n v="3009"/>
    <n v="413"/>
    <n v="358"/>
    <n v="42126"/>
    <n v="200000"/>
    <n v="8.9730807577268201E-2"/>
    <n v="1.89E-2"/>
  </r>
  <r>
    <x v="0"/>
    <n v="4767"/>
    <n v="190"/>
    <n v="340"/>
    <n v="28602"/>
    <n v="250000"/>
    <n v="0.18519683938186141"/>
    <n v="2.1187999999999999E-2"/>
  </r>
  <r>
    <x v="1"/>
    <n v="3440"/>
    <n v="13"/>
    <n v="20"/>
    <n v="58480"/>
    <n v="180000"/>
    <n v="5.9387824897400819E-2"/>
    <n v="1.9294444444444444E-2"/>
  </r>
  <r>
    <x v="2"/>
    <n v="4050"/>
    <n v="871"/>
    <n v="347"/>
    <n v="52650"/>
    <n v="200000"/>
    <n v="0.10005698005698006"/>
    <n v="2.6339999999999999E-2"/>
  </r>
  <r>
    <x v="2"/>
    <n v="360"/>
    <n v="590"/>
    <n v="393"/>
    <n v="4680"/>
    <n v="200000"/>
    <n v="0.28696581196581195"/>
    <n v="6.7149999999999996E-3"/>
  </r>
  <r>
    <x v="3"/>
    <n v="3960"/>
    <n v="266"/>
    <n v="8"/>
    <n v="35640"/>
    <s v="N/A"/>
    <n v="0.11879910213243547"/>
    <s v="N/A"/>
  </r>
  <r>
    <x v="1"/>
    <n v="456"/>
    <n v="629"/>
    <n v="428"/>
    <n v="8208"/>
    <n v="180000"/>
    <n v="0.18433235867446393"/>
    <n v="8.405555555555555E-3"/>
  </r>
  <r>
    <x v="3"/>
    <n v="3791"/>
    <n v="593"/>
    <n v="228"/>
    <n v="53074"/>
    <s v="N/A"/>
    <n v="8.6897539284772202E-2"/>
    <s v="N/A"/>
  </r>
  <r>
    <x v="0"/>
    <n v="2795"/>
    <n v="105"/>
    <n v="49"/>
    <n v="53105"/>
    <n v="250000"/>
    <n v="5.5531494209584788E-2"/>
    <n v="1.1795999999999999E-2"/>
  </r>
  <r>
    <x v="1"/>
    <n v="249"/>
    <n v="592"/>
    <n v="230"/>
    <n v="1494"/>
    <n v="180000"/>
    <n v="0.7168674698795181"/>
    <n v="5.9500000000000004E-3"/>
  </r>
  <r>
    <x v="3"/>
    <n v="3065"/>
    <n v="772"/>
    <n v="142"/>
    <n v="18390"/>
    <s v="N/A"/>
    <n v="0.21636759108210984"/>
    <s v="N/A"/>
  </r>
  <r>
    <x v="0"/>
    <n v="725"/>
    <n v="88"/>
    <n v="428"/>
    <n v="14500"/>
    <n v="250000"/>
    <n v="8.558620689655172E-2"/>
    <n v="4.9639999999999997E-3"/>
  </r>
  <r>
    <x v="0"/>
    <n v="3655"/>
    <n v="568"/>
    <n v="286"/>
    <n v="32895"/>
    <n v="250000"/>
    <n v="0.13707250341997265"/>
    <n v="1.8036E-2"/>
  </r>
  <r>
    <x v="0"/>
    <n v="2234"/>
    <n v="653"/>
    <n v="432"/>
    <n v="11170"/>
    <n v="250000"/>
    <n v="0.29713518352730528"/>
    <n v="1.3276E-2"/>
  </r>
  <r>
    <x v="0"/>
    <n v="1436"/>
    <n v="765"/>
    <n v="496"/>
    <n v="12924"/>
    <n v="250000"/>
    <n v="0.20868152274837512"/>
    <n v="1.0788000000000001E-2"/>
  </r>
  <r>
    <x v="2"/>
    <n v="3575"/>
    <n v="749"/>
    <n v="111"/>
    <n v="21450"/>
    <n v="200000"/>
    <n v="0.20675990675990677"/>
    <n v="2.2175E-2"/>
  </r>
  <r>
    <x v="4"/>
    <n v="4350"/>
    <n v="771"/>
    <n v="7"/>
    <n v="60900"/>
    <n v="150000"/>
    <n v="8.4203612479474554E-2"/>
    <n v="3.4186666666666664E-2"/>
  </r>
  <r>
    <x v="4"/>
    <n v="4808"/>
    <n v="772"/>
    <n v="320"/>
    <n v="72120"/>
    <n v="150000"/>
    <n v="8.1808097615085965E-2"/>
    <n v="3.9333333333333331E-2"/>
  </r>
  <r>
    <x v="2"/>
    <n v="1257"/>
    <n v="19"/>
    <n v="351"/>
    <n v="12570"/>
    <n v="200000"/>
    <n v="0.12943516308671441"/>
    <n v="8.1349999999999999E-3"/>
  </r>
  <r>
    <x v="4"/>
    <n v="3360"/>
    <n v="525"/>
    <n v="500"/>
    <n v="60480"/>
    <n v="150000"/>
    <n v="7.2503306878306875E-2"/>
    <n v="2.9233333333333333E-2"/>
  </r>
  <r>
    <x v="1"/>
    <n v="2107"/>
    <n v="550"/>
    <n v="349"/>
    <n v="35819"/>
    <n v="180000"/>
    <n v="8.3921940869371006E-2"/>
    <n v="1.67E-2"/>
  </r>
  <r>
    <x v="4"/>
    <n v="4494"/>
    <n v="717"/>
    <n v="45"/>
    <n v="62916"/>
    <n v="150000"/>
    <n v="8.3539958039290485E-2"/>
    <n v="3.5040000000000002E-2"/>
  </r>
  <r>
    <x v="3"/>
    <n v="1377"/>
    <n v="796"/>
    <n v="387"/>
    <n v="22032"/>
    <s v="N/A"/>
    <n v="0.11619462599854757"/>
    <s v="N/A"/>
  </r>
  <r>
    <x v="2"/>
    <n v="4775"/>
    <n v="173"/>
    <n v="206"/>
    <n v="47750"/>
    <n v="200000"/>
    <n v="0.10793717277486911"/>
    <n v="2.5770000000000001E-2"/>
  </r>
  <r>
    <x v="2"/>
    <n v="1947"/>
    <n v="842"/>
    <n v="101"/>
    <n v="21417"/>
    <n v="200000"/>
    <n v="0.13493953401503478"/>
    <n v="1.4449999999999999E-2"/>
  </r>
  <r>
    <x v="3"/>
    <n v="498"/>
    <n v="701"/>
    <n v="412"/>
    <n v="4980"/>
    <s v="N/A"/>
    <n v="0.32349397590361445"/>
    <s v="N/A"/>
  </r>
  <r>
    <x v="4"/>
    <n v="432"/>
    <n v="171"/>
    <n v="280"/>
    <n v="3024"/>
    <n v="150000"/>
    <n v="0.29199735449735448"/>
    <n v="5.8866666666666668E-3"/>
  </r>
  <r>
    <x v="4"/>
    <n v="2418"/>
    <n v="754"/>
    <n v="54"/>
    <n v="43524"/>
    <n v="150000"/>
    <n v="7.412002573292896E-2"/>
    <n v="2.1506666666666667E-2"/>
  </r>
  <r>
    <x v="3"/>
    <n v="4832"/>
    <n v="893"/>
    <n v="10"/>
    <n v="91808"/>
    <s v="N/A"/>
    <n v="6.2467323109097243E-2"/>
    <s v="N/A"/>
  </r>
  <r>
    <x v="3"/>
    <n v="2214"/>
    <n v="249"/>
    <n v="152"/>
    <n v="15498"/>
    <s v="N/A"/>
    <n v="0.16873144921925409"/>
    <s v="N/A"/>
  </r>
  <r>
    <x v="4"/>
    <n v="4134"/>
    <n v="824"/>
    <n v="99"/>
    <n v="41340"/>
    <n v="150000"/>
    <n v="0.12232704402515723"/>
    <n v="3.3713333333333331E-2"/>
  </r>
  <r>
    <x v="1"/>
    <n v="2164"/>
    <n v="549"/>
    <n v="274"/>
    <n v="28132"/>
    <n v="180000"/>
    <n v="0.10617801791554102"/>
    <n v="1.6594444444444443E-2"/>
  </r>
  <r>
    <x v="1"/>
    <n v="4133"/>
    <n v="466"/>
    <n v="327"/>
    <n v="24798"/>
    <n v="180000"/>
    <n v="0.19864505202032423"/>
    <n v="2.7366666666666668E-2"/>
  </r>
  <r>
    <x v="4"/>
    <n v="3371"/>
    <n v="106"/>
    <n v="327"/>
    <n v="50565"/>
    <n v="150000"/>
    <n v="7.5229902106199939E-2"/>
    <n v="2.5360000000000001E-2"/>
  </r>
  <r>
    <x v="3"/>
    <n v="4021"/>
    <n v="794"/>
    <n v="77"/>
    <n v="36189"/>
    <s v="N/A"/>
    <n v="0.13517919809886983"/>
    <s v="N/A"/>
  </r>
  <r>
    <x v="3"/>
    <n v="2180"/>
    <n v="263"/>
    <n v="387"/>
    <n v="30520"/>
    <s v="N/A"/>
    <n v="9.2726081258191345E-2"/>
    <s v="N/A"/>
  </r>
  <r>
    <x v="1"/>
    <n v="4689"/>
    <n v="134"/>
    <n v="403"/>
    <n v="51579"/>
    <n v="180000"/>
    <n v="0.10132030477519921"/>
    <n v="2.9033333333333335E-2"/>
  </r>
  <r>
    <x v="0"/>
    <n v="4171"/>
    <n v="548"/>
    <n v="86"/>
    <n v="66736"/>
    <n v="250000"/>
    <n v="7.2000119875329657E-2"/>
    <n v="1.9220000000000001E-2"/>
  </r>
  <r>
    <x v="2"/>
    <n v="3601"/>
    <n v="695"/>
    <n v="75"/>
    <n v="21606"/>
    <n v="200000"/>
    <n v="0.2023049153013052"/>
    <n v="2.1854999999999999E-2"/>
  </r>
  <r>
    <x v="1"/>
    <n v="3820"/>
    <n v="697"/>
    <n v="268"/>
    <n v="45840"/>
    <n v="180000"/>
    <n v="0.1043848167539267"/>
    <n v="2.6583333333333334E-2"/>
  </r>
  <r>
    <x v="3"/>
    <n v="2147"/>
    <n v="430"/>
    <n v="393"/>
    <n v="17176"/>
    <s v="N/A"/>
    <n v="0.17291569632044715"/>
    <s v="N/A"/>
  </r>
  <r>
    <x v="4"/>
    <n v="4853"/>
    <n v="837"/>
    <n v="340"/>
    <n v="72795"/>
    <n v="150000"/>
    <n v="8.2835359571399134E-2"/>
    <n v="4.02E-2"/>
  </r>
  <r>
    <x v="1"/>
    <n v="4934"/>
    <n v="971"/>
    <n v="156"/>
    <n v="39472"/>
    <n v="180000"/>
    <n v="0.15355188488042157"/>
    <n v="3.3672222222222221E-2"/>
  </r>
  <r>
    <x v="4"/>
    <n v="2825"/>
    <n v="535"/>
    <n v="295"/>
    <n v="45200"/>
    <n v="150000"/>
    <n v="8.0862831858407078E-2"/>
    <n v="2.4366666666666665E-2"/>
  </r>
  <r>
    <x v="0"/>
    <n v="3649"/>
    <n v="215"/>
    <n v="413"/>
    <n v="25543"/>
    <n v="250000"/>
    <n v="0.16744313510550835"/>
    <n v="1.7108000000000002E-2"/>
  </r>
  <r>
    <x v="2"/>
    <n v="4241"/>
    <n v="902"/>
    <n v="47"/>
    <n v="72097"/>
    <n v="200000"/>
    <n v="7.198635172059864E-2"/>
    <n v="2.5950000000000001E-2"/>
  </r>
  <r>
    <x v="0"/>
    <n v="602"/>
    <n v="594"/>
    <n v="156"/>
    <n v="4214"/>
    <n v="250000"/>
    <n v="0.32083531086853345"/>
    <n v="5.4079999999999996E-3"/>
  </r>
  <r>
    <x v="1"/>
    <n v="3182"/>
    <n v="559"/>
    <n v="160"/>
    <n v="57276"/>
    <n v="180000"/>
    <n v="6.8108806480899509E-2"/>
    <n v="2.1672222222222221E-2"/>
  </r>
  <r>
    <x v="0"/>
    <n v="3961"/>
    <n v="761"/>
    <n v="131"/>
    <n v="67337"/>
    <n v="250000"/>
    <n v="7.2070332803659209E-2"/>
    <n v="1.9411999999999999E-2"/>
  </r>
  <r>
    <x v="2"/>
    <n v="400"/>
    <n v="680"/>
    <n v="434"/>
    <n v="6400"/>
    <n v="200000"/>
    <n v="0.23656250000000001"/>
    <n v="7.5700000000000003E-3"/>
  </r>
  <r>
    <x v="1"/>
    <n v="4441"/>
    <n v="511"/>
    <n v="70"/>
    <n v="53292"/>
    <n v="180000"/>
    <n v="9.4235532537716729E-2"/>
    <n v="2.7900000000000001E-2"/>
  </r>
  <r>
    <x v="0"/>
    <n v="1048"/>
    <n v="374"/>
    <n v="450"/>
    <n v="9432"/>
    <n v="250000"/>
    <n v="0.19847328244274809"/>
    <n v="7.4879999999999999E-3"/>
  </r>
  <r>
    <x v="0"/>
    <n v="3452"/>
    <n v="652"/>
    <n v="442"/>
    <n v="65588"/>
    <n v="250000"/>
    <n v="6.9311459413307311E-2"/>
    <n v="1.8183999999999999E-2"/>
  </r>
  <r>
    <x v="4"/>
    <n v="4363"/>
    <n v="649"/>
    <n v="140"/>
    <n v="21815"/>
    <n v="150000"/>
    <n v="0.23616777446710979"/>
    <n v="3.4346666666666664E-2"/>
  </r>
  <r>
    <x v="2"/>
    <n v="3367"/>
    <n v="302"/>
    <n v="57"/>
    <n v="63973"/>
    <n v="200000"/>
    <n v="5.8243321401216137E-2"/>
    <n v="1.8630000000000001E-2"/>
  </r>
  <r>
    <x v="1"/>
    <n v="142"/>
    <n v="784"/>
    <n v="183"/>
    <n v="1704"/>
    <n v="180000"/>
    <n v="0.6508215962441315"/>
    <n v="6.1611111111111111E-3"/>
  </r>
  <r>
    <x v="0"/>
    <n v="1431"/>
    <n v="951"/>
    <n v="26"/>
    <n v="8586"/>
    <n v="250000"/>
    <n v="0.28045655718611695"/>
    <n v="9.6319999999999999E-3"/>
  </r>
  <r>
    <x v="3"/>
    <n v="4771"/>
    <n v="818"/>
    <n v="56"/>
    <n v="57252"/>
    <s v="N/A"/>
    <n v="9.859917557465242E-2"/>
    <s v="N/A"/>
  </r>
  <r>
    <x v="0"/>
    <n v="1292"/>
    <n v="626"/>
    <n v="496"/>
    <n v="25840"/>
    <n v="250000"/>
    <n v="9.3421052631578946E-2"/>
    <n v="9.6559999999999997E-3"/>
  </r>
  <r>
    <x v="0"/>
    <n v="53"/>
    <n v="81"/>
    <n v="379"/>
    <n v="954"/>
    <n v="250000"/>
    <n v="0.53773584905660377"/>
    <n v="2.052E-3"/>
  </r>
  <r>
    <x v="4"/>
    <n v="2746"/>
    <n v="156"/>
    <n v="203"/>
    <n v="32952"/>
    <n v="150000"/>
    <n v="9.422796795338674E-2"/>
    <n v="2.07E-2"/>
  </r>
  <r>
    <x v="0"/>
    <n v="929"/>
    <n v="192"/>
    <n v="322"/>
    <n v="16722"/>
    <n v="250000"/>
    <n v="8.6293505561535699E-2"/>
    <n v="5.7720000000000002E-3"/>
  </r>
  <r>
    <x v="3"/>
    <n v="1963"/>
    <n v="213"/>
    <n v="19"/>
    <n v="39260"/>
    <s v="N/A"/>
    <n v="5.5909322465613857E-2"/>
    <s v="N/A"/>
  </r>
  <r>
    <x v="2"/>
    <n v="3256"/>
    <n v="459"/>
    <n v="266"/>
    <n v="26048"/>
    <n v="200000"/>
    <n v="0.15283323095823095"/>
    <n v="1.9904999999999999E-2"/>
  </r>
  <r>
    <x v="2"/>
    <n v="2283"/>
    <n v="210"/>
    <n v="130"/>
    <n v="22830"/>
    <n v="200000"/>
    <n v="0.11489268506351293"/>
    <n v="1.3115E-2"/>
  </r>
  <r>
    <x v="3"/>
    <n v="4158"/>
    <n v="167"/>
    <n v="241"/>
    <n v="45738"/>
    <s v="N/A"/>
    <n v="9.9829463465827106E-2"/>
    <s v="N/A"/>
  </r>
  <r>
    <x v="1"/>
    <n v="1878"/>
    <n v="62"/>
    <n v="179"/>
    <n v="37560"/>
    <n v="180000"/>
    <n v="5.6416400425985093E-2"/>
    <n v="1.1772222222222222E-2"/>
  </r>
  <r>
    <x v="0"/>
    <n v="2174"/>
    <n v="658"/>
    <n v="15"/>
    <n v="13044"/>
    <n v="250000"/>
    <n v="0.21826126954921804"/>
    <n v="1.1388000000000001E-2"/>
  </r>
  <r>
    <x v="2"/>
    <n v="1556"/>
    <n v="195"/>
    <n v="131"/>
    <n v="9336"/>
    <n v="200000"/>
    <n v="0.2015852613538989"/>
    <n v="9.41E-3"/>
  </r>
  <r>
    <x v="2"/>
    <n v="2728"/>
    <n v="533"/>
    <n v="215"/>
    <n v="40920"/>
    <n v="200000"/>
    <n v="8.4946236559139784E-2"/>
    <n v="1.738E-2"/>
  </r>
  <r>
    <x v="1"/>
    <n v="1263"/>
    <n v="397"/>
    <n v="357"/>
    <n v="25260"/>
    <n v="180000"/>
    <n v="7.984956452889945E-2"/>
    <n v="1.1205555555555555E-2"/>
  </r>
  <r>
    <x v="2"/>
    <n v="2949"/>
    <n v="476"/>
    <n v="403"/>
    <n v="44235"/>
    <n v="200000"/>
    <n v="8.6537809426924378E-2"/>
    <n v="1.9140000000000001E-2"/>
  </r>
  <r>
    <x v="2"/>
    <n v="3166"/>
    <n v="90"/>
    <n v="341"/>
    <n v="56988"/>
    <n v="200000"/>
    <n v="6.3118551273952411E-2"/>
    <n v="1.7985000000000001E-2"/>
  </r>
  <r>
    <x v="1"/>
    <n v="1570"/>
    <n v="187"/>
    <n v="260"/>
    <n v="25120"/>
    <n v="180000"/>
    <n v="8.0294585987261149E-2"/>
    <n v="1.1205555555555555E-2"/>
  </r>
  <r>
    <x v="2"/>
    <n v="4501"/>
    <n v="375"/>
    <n v="323"/>
    <n v="22505"/>
    <n v="200000"/>
    <n v="0.23101532992668297"/>
    <n v="2.5995000000000001E-2"/>
  </r>
  <r>
    <x v="3"/>
    <n v="3704"/>
    <n v="186"/>
    <n v="458"/>
    <n v="25928"/>
    <s v="N/A"/>
    <n v="0.16769515581610614"/>
    <s v="N/A"/>
  </r>
  <r>
    <x v="2"/>
    <n v="3784"/>
    <n v="808"/>
    <n v="404"/>
    <n v="56760"/>
    <n v="200000"/>
    <n v="8.8019732205778717E-2"/>
    <n v="2.4979999999999999E-2"/>
  </r>
  <r>
    <x v="1"/>
    <n v="3134"/>
    <n v="888"/>
    <n v="444"/>
    <n v="21938"/>
    <n v="180000"/>
    <n v="0.20357370772176134"/>
    <n v="2.481111111111111E-2"/>
  </r>
  <r>
    <x v="0"/>
    <n v="4274"/>
    <n v="340"/>
    <n v="281"/>
    <n v="34192"/>
    <n v="250000"/>
    <n v="0.14316214319138981"/>
    <n v="1.958E-2"/>
  </r>
  <r>
    <x v="3"/>
    <n v="2751"/>
    <n v="33"/>
    <n v="430"/>
    <n v="44016"/>
    <s v="N/A"/>
    <n v="7.3018902217375503E-2"/>
    <s v="N/A"/>
  </r>
  <r>
    <x v="1"/>
    <n v="2404"/>
    <n v="363"/>
    <n v="138"/>
    <n v="19232"/>
    <n v="180000"/>
    <n v="0.15105033277870217"/>
    <n v="1.613888888888889E-2"/>
  </r>
  <r>
    <x v="3"/>
    <n v="2704"/>
    <n v="752"/>
    <n v="153"/>
    <n v="21632"/>
    <s v="N/A"/>
    <n v="0.16683616863905326"/>
    <s v="N/A"/>
  </r>
  <r>
    <x v="0"/>
    <n v="4507"/>
    <n v="217"/>
    <n v="13"/>
    <n v="90140"/>
    <n v="250000"/>
    <n v="5.2551586421122697E-2"/>
    <n v="1.8948E-2"/>
  </r>
  <r>
    <x v="0"/>
    <n v="1855"/>
    <n v="200"/>
    <n v="174"/>
    <n v="16695"/>
    <n v="250000"/>
    <n v="0.13351302785265048"/>
    <n v="8.9160000000000003E-3"/>
  </r>
  <r>
    <x v="3"/>
    <n v="1238"/>
    <n v="366"/>
    <n v="444"/>
    <n v="19808"/>
    <s v="N/A"/>
    <n v="0.10339256865912763"/>
    <s v="N/A"/>
  </r>
  <r>
    <x v="1"/>
    <n v="1226"/>
    <n v="119"/>
    <n v="7"/>
    <n v="14712"/>
    <n v="180000"/>
    <n v="9.1897770527460579E-2"/>
    <n v="7.5111111111111108E-3"/>
  </r>
  <r>
    <x v="1"/>
    <n v="4321"/>
    <n v="874"/>
    <n v="172"/>
    <n v="30247"/>
    <n v="180000"/>
    <n v="0.17743908486792079"/>
    <n v="2.9816666666666668E-2"/>
  </r>
  <r>
    <x v="4"/>
    <n v="3559"/>
    <n v="59"/>
    <n v="289"/>
    <n v="35590"/>
    <n v="150000"/>
    <n v="0.10977802753582468"/>
    <n v="2.6046666666666666E-2"/>
  </r>
  <r>
    <x v="3"/>
    <n v="1741"/>
    <n v="164"/>
    <n v="318"/>
    <n v="8705"/>
    <s v="N/A"/>
    <n v="0.25537047673750718"/>
    <s v="N/A"/>
  </r>
  <r>
    <x v="3"/>
    <n v="3430"/>
    <n v="566"/>
    <n v="164"/>
    <n v="48020"/>
    <s v="N/A"/>
    <n v="8.6630570595585168E-2"/>
    <s v="N/A"/>
  </r>
  <r>
    <x v="3"/>
    <n v="1950"/>
    <n v="295"/>
    <n v="478"/>
    <n v="37050"/>
    <s v="N/A"/>
    <n v="7.349527665317139E-2"/>
    <s v="N/A"/>
  </r>
  <r>
    <x v="2"/>
    <n v="1509"/>
    <n v="88"/>
    <n v="163"/>
    <n v="30180"/>
    <n v="200000"/>
    <n v="5.8316766070245198E-2"/>
    <n v="8.8000000000000005E-3"/>
  </r>
  <r>
    <x v="3"/>
    <n v="4799"/>
    <n v="694"/>
    <n v="289"/>
    <n v="43191"/>
    <s v="N/A"/>
    <n v="0.13387048227640017"/>
    <s v="N/A"/>
  </r>
  <r>
    <x v="3"/>
    <n v="4672"/>
    <n v="325"/>
    <n v="32"/>
    <n v="88768"/>
    <s v="N/A"/>
    <n v="5.6653298485940883E-2"/>
    <s v="N/A"/>
  </r>
  <r>
    <x v="0"/>
    <n v="80"/>
    <n v="362"/>
    <n v="80"/>
    <n v="1040"/>
    <n v="250000"/>
    <n v="0.50192307692307692"/>
    <n v="2.088E-3"/>
  </r>
  <r>
    <x v="3"/>
    <n v="1970"/>
    <n v="675"/>
    <n v="478"/>
    <n v="9850"/>
    <s v="N/A"/>
    <n v="0.31705583756345179"/>
    <s v="N/A"/>
  </r>
  <r>
    <x v="2"/>
    <n v="4054"/>
    <n v="389"/>
    <n v="493"/>
    <n v="64864"/>
    <n v="200000"/>
    <n v="7.6097681302417369E-2"/>
    <n v="2.4680000000000001E-2"/>
  </r>
  <r>
    <x v="4"/>
    <n v="1171"/>
    <n v="286"/>
    <n v="231"/>
    <n v="22249"/>
    <n v="150000"/>
    <n v="7.5868578363072495E-2"/>
    <n v="1.1253333333333334E-2"/>
  </r>
  <r>
    <x v="1"/>
    <n v="2070"/>
    <n v="275"/>
    <n v="386"/>
    <n v="39330"/>
    <n v="180000"/>
    <n v="6.9438087973557078E-2"/>
    <n v="1.5172222222222222E-2"/>
  </r>
  <r>
    <x v="4"/>
    <n v="1407"/>
    <n v="400"/>
    <n v="351"/>
    <n v="16884"/>
    <n v="150000"/>
    <n v="0.12781331438047855"/>
    <n v="1.4386666666666667E-2"/>
  </r>
  <r>
    <x v="3"/>
    <n v="1094"/>
    <n v="472"/>
    <n v="21"/>
    <n v="9846"/>
    <s v="N/A"/>
    <n v="0.16118220597196831"/>
    <s v="N/A"/>
  </r>
  <r>
    <x v="0"/>
    <n v="2754"/>
    <n v="130"/>
    <n v="90"/>
    <n v="22032"/>
    <n v="250000"/>
    <n v="0.13498547567175018"/>
    <n v="1.1896E-2"/>
  </r>
  <r>
    <x v="4"/>
    <n v="1076"/>
    <n v="313"/>
    <n v="306"/>
    <n v="11836"/>
    <n v="150000"/>
    <n v="0.14320716458262928"/>
    <n v="1.1299999999999999E-2"/>
  </r>
  <r>
    <x v="1"/>
    <n v="4275"/>
    <n v="680"/>
    <n v="385"/>
    <n v="64125"/>
    <n v="180000"/>
    <n v="8.3274853801169585E-2"/>
    <n v="2.9666666666666668E-2"/>
  </r>
  <r>
    <x v="1"/>
    <n v="1071"/>
    <n v="519"/>
    <n v="22"/>
    <n v="16065"/>
    <n v="180000"/>
    <n v="0.10034235916588857"/>
    <n v="8.9555555555555551E-3"/>
  </r>
  <r>
    <x v="4"/>
    <n v="3731"/>
    <n v="115"/>
    <n v="135"/>
    <n v="55965"/>
    <n v="150000"/>
    <n v="7.1133744304476013E-2"/>
    <n v="2.6540000000000001E-2"/>
  </r>
  <r>
    <x v="3"/>
    <n v="4188"/>
    <n v="942"/>
    <n v="118"/>
    <n v="20940"/>
    <s v="N/A"/>
    <n v="0.25062082139446035"/>
    <s v="N/A"/>
  </r>
  <r>
    <x v="3"/>
    <n v="3092"/>
    <n v="106"/>
    <n v="291"/>
    <n v="27828"/>
    <s v="N/A"/>
    <n v="0.12537731780940059"/>
    <s v="N/A"/>
  </r>
  <r>
    <x v="0"/>
    <n v="4712"/>
    <n v="568"/>
    <n v="127"/>
    <n v="84816"/>
    <n v="250000"/>
    <n v="6.3749764195434822E-2"/>
    <n v="2.1628000000000001E-2"/>
  </r>
  <r>
    <x v="1"/>
    <n v="1121"/>
    <n v="135"/>
    <n v="18"/>
    <n v="15694"/>
    <n v="180000"/>
    <n v="8.1177520071364848E-2"/>
    <n v="7.0777777777777775E-3"/>
  </r>
  <r>
    <x v="1"/>
    <n v="1108"/>
    <n v="177"/>
    <n v="212"/>
    <n v="8864"/>
    <n v="180000"/>
    <n v="0.16888537906137185"/>
    <n v="8.3166666666666667E-3"/>
  </r>
  <r>
    <x v="4"/>
    <n v="562"/>
    <n v="158"/>
    <n v="149"/>
    <n v="3372"/>
    <n v="150000"/>
    <n v="0.25771055753262156"/>
    <n v="5.7933333333333335E-3"/>
  </r>
  <r>
    <x v="3"/>
    <n v="3095"/>
    <n v="39"/>
    <n v="78"/>
    <n v="55710"/>
    <s v="N/A"/>
    <n v="5.7655717106444085E-2"/>
    <s v="N/A"/>
  </r>
  <r>
    <x v="3"/>
    <n v="3564"/>
    <n v="629"/>
    <n v="177"/>
    <n v="60588"/>
    <s v="N/A"/>
    <n v="7.2126493695121141E-2"/>
    <s v="N/A"/>
  </r>
  <r>
    <x v="0"/>
    <n v="780"/>
    <n v="928"/>
    <n v="301"/>
    <n v="8580"/>
    <n v="250000"/>
    <n v="0.23414918414918415"/>
    <n v="8.0359999999999997E-3"/>
  </r>
  <r>
    <x v="0"/>
    <n v="4731"/>
    <n v="173"/>
    <n v="276"/>
    <n v="28386"/>
    <n v="250000"/>
    <n v="0.18248432325794406"/>
    <n v="2.0719999999999999E-2"/>
  </r>
  <r>
    <x v="2"/>
    <n v="4872"/>
    <n v="925"/>
    <n v="176"/>
    <n v="82824"/>
    <n v="200000"/>
    <n v="7.2116777745580993E-2"/>
    <n v="2.9864999999999999E-2"/>
  </r>
  <r>
    <x v="2"/>
    <n v="296"/>
    <n v="60"/>
    <n v="141"/>
    <n v="5624"/>
    <n v="200000"/>
    <n v="8.837126600284495E-2"/>
    <n v="2.4849999999999998E-3"/>
  </r>
  <r>
    <x v="1"/>
    <n v="4126"/>
    <n v="426"/>
    <n v="486"/>
    <n v="78394"/>
    <n v="180000"/>
    <n v="6.4265122330790625E-2"/>
    <n v="2.798888888888889E-2"/>
  </r>
  <r>
    <x v="1"/>
    <n v="3138"/>
    <n v="123"/>
    <n v="291"/>
    <n v="28242"/>
    <n v="180000"/>
    <n v="0.12577012959422137"/>
    <n v="1.9733333333333332E-2"/>
  </r>
  <r>
    <x v="4"/>
    <n v="941"/>
    <n v="121"/>
    <n v="458"/>
    <n v="14115"/>
    <n v="150000"/>
    <n v="0.10768685795253277"/>
    <n v="1.0133333333333333E-2"/>
  </r>
  <r>
    <x v="0"/>
    <n v="3452"/>
    <n v="377"/>
    <n v="360"/>
    <n v="55232"/>
    <n v="250000"/>
    <n v="7.5843713789107758E-2"/>
    <n v="1.6756E-2"/>
  </r>
  <r>
    <x v="0"/>
    <n v="1813"/>
    <n v="623"/>
    <n v="72"/>
    <n v="19943"/>
    <n v="250000"/>
    <n v="0.12575841147269717"/>
    <n v="1.0031999999999999E-2"/>
  </r>
  <r>
    <x v="0"/>
    <n v="904"/>
    <n v="973"/>
    <n v="63"/>
    <n v="11752"/>
    <n v="250000"/>
    <n v="0.1650782845473111"/>
    <n v="7.7600000000000004E-3"/>
  </r>
  <r>
    <x v="0"/>
    <n v="3663"/>
    <n v="17"/>
    <n v="295"/>
    <n v="51282"/>
    <n v="250000"/>
    <n v="7.7512577512577507E-2"/>
    <n v="1.5900000000000001E-2"/>
  </r>
  <r>
    <x v="4"/>
    <n v="3809"/>
    <n v="273"/>
    <n v="200"/>
    <n v="34281"/>
    <n v="150000"/>
    <n v="0.12490884163239112"/>
    <n v="2.8546666666666668E-2"/>
  </r>
  <r>
    <x v="1"/>
    <n v="4838"/>
    <n v="640"/>
    <n v="128"/>
    <n v="72570"/>
    <n v="180000"/>
    <n v="7.7249552156538517E-2"/>
    <n v="3.1144444444444443E-2"/>
  </r>
  <r>
    <x v="4"/>
    <n v="1164"/>
    <n v="616"/>
    <n v="324"/>
    <n v="6984"/>
    <n v="150000"/>
    <n v="0.30126002290950743"/>
    <n v="1.4026666666666666E-2"/>
  </r>
  <r>
    <x v="1"/>
    <n v="432"/>
    <n v="624"/>
    <n v="123"/>
    <n v="6912"/>
    <n v="180000"/>
    <n v="0.17057291666666666"/>
    <n v="6.5500000000000003E-3"/>
  </r>
  <r>
    <x v="4"/>
    <n v="1702"/>
    <n v="750"/>
    <n v="179"/>
    <n v="34040"/>
    <n v="150000"/>
    <n v="7.7291421856639245E-2"/>
    <n v="1.754E-2"/>
  </r>
  <r>
    <x v="4"/>
    <n v="3770"/>
    <n v="917"/>
    <n v="129"/>
    <n v="71630"/>
    <n v="150000"/>
    <n v="6.7234398994834563E-2"/>
    <n v="3.2106666666666665E-2"/>
  </r>
  <r>
    <x v="0"/>
    <n v="2878"/>
    <n v="248"/>
    <n v="416"/>
    <n v="43170"/>
    <n v="250000"/>
    <n v="8.2047718322909427E-2"/>
    <n v="1.4168E-2"/>
  </r>
  <r>
    <x v="3"/>
    <n v="2610"/>
    <n v="126"/>
    <n v="288"/>
    <n v="15660"/>
    <s v="N/A"/>
    <n v="0.19310344827586207"/>
    <s v="N/A"/>
  </r>
  <r>
    <x v="3"/>
    <n v="4523"/>
    <n v="61"/>
    <n v="157"/>
    <n v="49753"/>
    <s v="N/A"/>
    <n v="9.5290736237010829E-2"/>
    <s v="N/A"/>
  </r>
  <r>
    <x v="0"/>
    <n v="2581"/>
    <n v="517"/>
    <n v="117"/>
    <n v="23229"/>
    <n v="250000"/>
    <n v="0.13840458048129492"/>
    <n v="1.286E-2"/>
  </r>
  <r>
    <x v="1"/>
    <n v="4929"/>
    <n v="749"/>
    <n v="452"/>
    <n v="93651"/>
    <n v="180000"/>
    <n v="6.5455787978772245E-2"/>
    <n v="3.4055555555555554E-2"/>
  </r>
  <r>
    <x v="4"/>
    <n v="4886"/>
    <n v="983"/>
    <n v="409"/>
    <n v="43974"/>
    <n v="150000"/>
    <n v="0.14276618001546368"/>
    <n v="4.1853333333333333E-2"/>
  </r>
  <r>
    <x v="1"/>
    <n v="1792"/>
    <n v="614"/>
    <n v="497"/>
    <n v="25088"/>
    <n v="180000"/>
    <n v="0.11571269132653061"/>
    <n v="1.6127777777777779E-2"/>
  </r>
  <r>
    <x v="1"/>
    <n v="985"/>
    <n v="932"/>
    <n v="287"/>
    <n v="6895"/>
    <n v="180000"/>
    <n v="0.31965192168237855"/>
    <n v="1.2244444444444445E-2"/>
  </r>
  <r>
    <x v="0"/>
    <n v="2089"/>
    <n v="476"/>
    <n v="69"/>
    <n v="16712"/>
    <n v="250000"/>
    <n v="0.15761129727142173"/>
    <n v="1.0536E-2"/>
  </r>
  <r>
    <x v="0"/>
    <n v="4661"/>
    <n v="935"/>
    <n v="433"/>
    <n v="23305"/>
    <n v="250000"/>
    <n v="0.25869984981763572"/>
    <n v="2.4115999999999999E-2"/>
  </r>
  <r>
    <x v="3"/>
    <n v="1249"/>
    <n v="116"/>
    <n v="420"/>
    <n v="8743"/>
    <s v="N/A"/>
    <n v="0.20416333066453163"/>
    <s v="N/A"/>
  </r>
  <r>
    <x v="3"/>
    <n v="4187"/>
    <n v="66"/>
    <n v="31"/>
    <n v="66992"/>
    <s v="N/A"/>
    <n v="6.3947934081681396E-2"/>
    <s v="N/A"/>
  </r>
  <r>
    <x v="0"/>
    <n v="2946"/>
    <n v="498"/>
    <n v="367"/>
    <n v="29460"/>
    <n v="250000"/>
    <n v="0.12936184657162253"/>
    <n v="1.5244000000000001E-2"/>
  </r>
  <r>
    <x v="0"/>
    <n v="1741"/>
    <n v="831"/>
    <n v="345"/>
    <n v="17410"/>
    <n v="250000"/>
    <n v="0.16754738655944859"/>
    <n v="1.1668E-2"/>
  </r>
  <r>
    <x v="0"/>
    <n v="4840"/>
    <n v="658"/>
    <n v="211"/>
    <n v="43560"/>
    <n v="250000"/>
    <n v="0.13106060606060607"/>
    <n v="2.2835999999999999E-2"/>
  </r>
  <r>
    <x v="0"/>
    <n v="4551"/>
    <n v="714"/>
    <n v="207"/>
    <n v="68265"/>
    <n v="250000"/>
    <n v="8.0158206987475278E-2"/>
    <n v="2.1888000000000001E-2"/>
  </r>
  <r>
    <x v="3"/>
    <n v="4606"/>
    <n v="931"/>
    <n v="230"/>
    <n v="92120"/>
    <s v="N/A"/>
    <n v="6.2603126356925748E-2"/>
    <s v="N/A"/>
  </r>
  <r>
    <x v="0"/>
    <n v="3577"/>
    <n v="596"/>
    <n v="493"/>
    <n v="67963"/>
    <n v="250000"/>
    <n v="6.8655003457763777E-2"/>
    <n v="1.8664E-2"/>
  </r>
  <r>
    <x v="2"/>
    <n v="1686"/>
    <n v="904"/>
    <n v="472"/>
    <n v="18546"/>
    <n v="200000"/>
    <n v="0.16510298716704411"/>
    <n v="1.5310000000000001E-2"/>
  </r>
  <r>
    <x v="3"/>
    <n v="1766"/>
    <n v="92"/>
    <n v="424"/>
    <n v="24724"/>
    <s v="N/A"/>
    <n v="9.2298980747451867E-2"/>
    <s v="N/A"/>
  </r>
  <r>
    <x v="0"/>
    <n v="3099"/>
    <n v="694"/>
    <n v="171"/>
    <n v="43386"/>
    <n v="250000"/>
    <n v="9.1365878393951966E-2"/>
    <n v="1.5855999999999999E-2"/>
  </r>
  <r>
    <x v="0"/>
    <n v="4285"/>
    <n v="886"/>
    <n v="376"/>
    <n v="55705"/>
    <n v="250000"/>
    <n v="9.9578134817341346E-2"/>
    <n v="2.2187999999999999E-2"/>
  </r>
  <r>
    <x v="1"/>
    <n v="2076"/>
    <n v="195"/>
    <n v="104"/>
    <n v="33216"/>
    <n v="180000"/>
    <n v="7.1501685934489398E-2"/>
    <n v="1.3194444444444444E-2"/>
  </r>
  <r>
    <x v="4"/>
    <n v="802"/>
    <n v="262"/>
    <n v="244"/>
    <n v="14436"/>
    <n v="150000"/>
    <n v="9.0606816292601824E-2"/>
    <n v="8.7200000000000003E-3"/>
  </r>
  <r>
    <x v="1"/>
    <n v="3160"/>
    <n v="204"/>
    <n v="297"/>
    <n v="44240"/>
    <n v="180000"/>
    <n v="8.2753164556962022E-2"/>
    <n v="2.0338888888888889E-2"/>
  </r>
  <r>
    <x v="1"/>
    <n v="4804"/>
    <n v="550"/>
    <n v="270"/>
    <n v="28824"/>
    <n v="180000"/>
    <n v="0.19511518179295032"/>
    <n v="3.1244444444444443E-2"/>
  </r>
  <r>
    <x v="0"/>
    <n v="2647"/>
    <n v="304"/>
    <n v="170"/>
    <n v="18529"/>
    <n v="250000"/>
    <n v="0.16843866371633656"/>
    <n v="1.2484E-2"/>
  </r>
  <r>
    <x v="2"/>
    <n v="4561"/>
    <n v="51"/>
    <n v="441"/>
    <n v="22805"/>
    <n v="200000"/>
    <n v="0.22157421618066214"/>
    <n v="2.5264999999999999E-2"/>
  </r>
  <r>
    <x v="4"/>
    <n v="4000"/>
    <n v="689"/>
    <n v="488"/>
    <n v="40000"/>
    <n v="150000"/>
    <n v="0.12942500000000001"/>
    <n v="3.4513333333333333E-2"/>
  </r>
  <r>
    <x v="1"/>
    <n v="3535"/>
    <n v="494"/>
    <n v="152"/>
    <n v="53025"/>
    <n v="180000"/>
    <n v="7.8849599245638849E-2"/>
    <n v="2.3227777777777778E-2"/>
  </r>
  <r>
    <x v="3"/>
    <n v="199"/>
    <n v="772"/>
    <n v="400"/>
    <n v="3582"/>
    <s v="N/A"/>
    <n v="0.38274706867671693"/>
    <s v="N/A"/>
  </r>
  <r>
    <x v="1"/>
    <n v="4725"/>
    <n v="400"/>
    <n v="362"/>
    <n v="75600"/>
    <n v="180000"/>
    <n v="7.2579365079365077E-2"/>
    <n v="3.0483333333333335E-2"/>
  </r>
  <r>
    <x v="3"/>
    <n v="1272"/>
    <n v="465"/>
    <n v="99"/>
    <n v="24168"/>
    <s v="N/A"/>
    <n v="7.5968222442899705E-2"/>
    <s v="N/A"/>
  </r>
  <r>
    <x v="1"/>
    <n v="1877"/>
    <n v="745"/>
    <n v="225"/>
    <n v="11262"/>
    <n v="180000"/>
    <n v="0.25279701651571657"/>
    <n v="1.5816666666666666E-2"/>
  </r>
  <r>
    <x v="2"/>
    <n v="2719"/>
    <n v="17"/>
    <n v="285"/>
    <n v="40785"/>
    <n v="200000"/>
    <n v="7.4071349760941527E-2"/>
    <n v="1.5105E-2"/>
  </r>
  <r>
    <x v="4"/>
    <n v="1814"/>
    <n v="653"/>
    <n v="363"/>
    <n v="25396"/>
    <n v="150000"/>
    <n v="0.11143487163332809"/>
    <n v="1.8866666666666667E-2"/>
  </r>
  <r>
    <x v="1"/>
    <n v="3929"/>
    <n v="262"/>
    <n v="278"/>
    <n v="43219"/>
    <n v="180000"/>
    <n v="0.10340359564080613"/>
    <n v="2.4827777777777778E-2"/>
  </r>
  <r>
    <x v="2"/>
    <n v="1018"/>
    <n v="447"/>
    <n v="332"/>
    <n v="18324"/>
    <n v="200000"/>
    <n v="9.8068107400130972E-2"/>
    <n v="8.9849999999999999E-3"/>
  </r>
  <r>
    <x v="2"/>
    <n v="3024"/>
    <n v="925"/>
    <n v="350"/>
    <n v="24192"/>
    <n v="200000"/>
    <n v="0.17770337301587302"/>
    <n v="2.1495E-2"/>
  </r>
  <r>
    <x v="2"/>
    <n v="4739"/>
    <n v="527"/>
    <n v="135"/>
    <n v="61607"/>
    <n v="200000"/>
    <n v="8.7668609086629767E-2"/>
    <n v="2.7005000000000001E-2"/>
  </r>
  <r>
    <x v="1"/>
    <n v="4663"/>
    <n v="145"/>
    <n v="225"/>
    <n v="69945"/>
    <n v="180000"/>
    <n v="7.1956537279290869E-2"/>
    <n v="2.796111111111111E-2"/>
  </r>
  <r>
    <x v="1"/>
    <n v="947"/>
    <n v="338"/>
    <n v="350"/>
    <n v="10417"/>
    <n v="180000"/>
    <n v="0.1569549774407219"/>
    <n v="9.0833333333333339E-3"/>
  </r>
  <r>
    <x v="4"/>
    <n v="498"/>
    <n v="38"/>
    <n v="42"/>
    <n v="4482"/>
    <n v="150000"/>
    <n v="0.12896028558679162"/>
    <n v="3.8533333333333332E-3"/>
  </r>
  <r>
    <x v="1"/>
    <n v="3592"/>
    <n v="911"/>
    <n v="375"/>
    <n v="50288"/>
    <n v="180000"/>
    <n v="9.7001272669424113E-2"/>
    <n v="2.7099999999999999E-2"/>
  </r>
  <r>
    <x v="2"/>
    <n v="4518"/>
    <n v="285"/>
    <n v="383"/>
    <n v="67770"/>
    <n v="200000"/>
    <n v="7.6523535487678915E-2"/>
    <n v="2.5930000000000002E-2"/>
  </r>
  <r>
    <x v="0"/>
    <n v="1488"/>
    <n v="417"/>
    <n v="168"/>
    <n v="19344"/>
    <n v="250000"/>
    <n v="0.1071650124069479"/>
    <n v="8.2920000000000008E-3"/>
  </r>
  <r>
    <x v="3"/>
    <n v="2103"/>
    <n v="892"/>
    <n v="103"/>
    <n v="39957"/>
    <s v="N/A"/>
    <n v="7.7533348349475686E-2"/>
    <s v="N/A"/>
  </r>
  <r>
    <x v="1"/>
    <n v="302"/>
    <n v="47"/>
    <n v="430"/>
    <n v="5738"/>
    <n v="180000"/>
    <n v="0.13576158940397351"/>
    <n v="4.3277777777777776E-3"/>
  </r>
  <r>
    <x v="4"/>
    <n v="1762"/>
    <n v="405"/>
    <n v="423"/>
    <n v="22906"/>
    <n v="150000"/>
    <n v="0.11307081114118571"/>
    <n v="1.7266666666666666E-2"/>
  </r>
  <r>
    <x v="2"/>
    <n v="3090"/>
    <n v="697"/>
    <n v="164"/>
    <n v="49440"/>
    <n v="200000"/>
    <n v="7.9915048543689318E-2"/>
    <n v="1.9755000000000002E-2"/>
  </r>
  <r>
    <x v="1"/>
    <n v="2072"/>
    <n v="532"/>
    <n v="71"/>
    <n v="37296"/>
    <n v="180000"/>
    <n v="7.172350922350923E-2"/>
    <n v="1.4861111111111111E-2"/>
  </r>
  <r>
    <x v="4"/>
    <n v="4054"/>
    <n v="488"/>
    <n v="373"/>
    <n v="77026"/>
    <n v="150000"/>
    <n v="6.3809622724794221E-2"/>
    <n v="3.2766666666666666E-2"/>
  </r>
  <r>
    <x v="1"/>
    <n v="2166"/>
    <n v="354"/>
    <n v="117"/>
    <n v="10830"/>
    <n v="180000"/>
    <n v="0.24349030470914126"/>
    <n v="1.465E-2"/>
  </r>
  <r>
    <x v="3"/>
    <n v="4453"/>
    <n v="111"/>
    <n v="420"/>
    <n v="31171"/>
    <s v="N/A"/>
    <n v="0.15989220750056141"/>
    <s v="N/A"/>
  </r>
  <r>
    <x v="1"/>
    <n v="2936"/>
    <n v="439"/>
    <n v="44"/>
    <n v="38168"/>
    <n v="180000"/>
    <n v="8.9577656675749323E-2"/>
    <n v="1.8994444444444446E-2"/>
  </r>
  <r>
    <x v="1"/>
    <n v="2120"/>
    <n v="38"/>
    <n v="212"/>
    <n v="12720"/>
    <n v="180000"/>
    <n v="0.18632075471698112"/>
    <n v="1.3166666666666667E-2"/>
  </r>
  <r>
    <x v="1"/>
    <n v="954"/>
    <n v="324"/>
    <n v="288"/>
    <n v="19080"/>
    <n v="180000"/>
    <n v="8.2075471698113203E-2"/>
    <n v="8.6999999999999994E-3"/>
  </r>
  <r>
    <x v="2"/>
    <n v="2603"/>
    <n v="690"/>
    <n v="205"/>
    <n v="13015"/>
    <n v="200000"/>
    <n v="0.26876680752977333"/>
    <n v="1.7489999999999999E-2"/>
  </r>
  <r>
    <x v="3"/>
    <n v="1082"/>
    <n v="209"/>
    <n v="484"/>
    <n v="19476"/>
    <s v="N/A"/>
    <n v="9.1137810638734856E-2"/>
    <s v="N/A"/>
  </r>
  <r>
    <x v="4"/>
    <n v="3888"/>
    <n v="604"/>
    <n v="128"/>
    <n v="77760"/>
    <n v="150000"/>
    <n v="5.941358024691358E-2"/>
    <n v="3.0800000000000001E-2"/>
  </r>
  <r>
    <x v="4"/>
    <n v="736"/>
    <n v="771"/>
    <n v="225"/>
    <n v="5152"/>
    <n v="150000"/>
    <n v="0.33618012422360249"/>
    <n v="1.1546666666666667E-2"/>
  </r>
  <r>
    <x v="4"/>
    <n v="3000"/>
    <n v="382"/>
    <n v="325"/>
    <n v="36000"/>
    <n v="150000"/>
    <n v="0.10297222222222223"/>
    <n v="2.4713333333333334E-2"/>
  </r>
  <r>
    <x v="4"/>
    <n v="4782"/>
    <n v="721"/>
    <n v="82"/>
    <n v="86076"/>
    <n v="150000"/>
    <n v="6.4884520656164318E-2"/>
    <n v="3.7233333333333334E-2"/>
  </r>
  <r>
    <x v="2"/>
    <n v="2120"/>
    <n v="158"/>
    <n v="488"/>
    <n v="12720"/>
    <n v="200000"/>
    <n v="0.21745283018867925"/>
    <n v="1.383E-2"/>
  </r>
  <r>
    <x v="1"/>
    <n v="1575"/>
    <n v="771"/>
    <n v="486"/>
    <n v="25200"/>
    <n v="180000"/>
    <n v="0.11238095238095239"/>
    <n v="1.5733333333333332E-2"/>
  </r>
  <r>
    <x v="4"/>
    <n v="1461"/>
    <n v="184"/>
    <n v="344"/>
    <n v="21915"/>
    <n v="150000"/>
    <n v="9.0759753593429152E-2"/>
    <n v="1.3259999999999999E-2"/>
  </r>
  <r>
    <x v="0"/>
    <n v="4303"/>
    <n v="451"/>
    <n v="286"/>
    <n v="86060"/>
    <n v="250000"/>
    <n v="5.8563792702765516E-2"/>
    <n v="2.0160000000000001E-2"/>
  </r>
  <r>
    <x v="3"/>
    <n v="84"/>
    <n v="897"/>
    <n v="85"/>
    <n v="588"/>
    <s v="N/A"/>
    <n v="1.8129251700680271"/>
    <s v="N/A"/>
  </r>
  <r>
    <x v="0"/>
    <n v="4450"/>
    <n v="983"/>
    <n v="143"/>
    <n v="75650"/>
    <n v="250000"/>
    <n v="7.3707865168539333E-2"/>
    <n v="2.2304000000000001E-2"/>
  </r>
  <r>
    <x v="3"/>
    <n v="804"/>
    <n v="639"/>
    <n v="43"/>
    <n v="4020"/>
    <s v="N/A"/>
    <n v="0.36965174129353234"/>
    <s v="N/A"/>
  </r>
  <r>
    <x v="4"/>
    <n v="3711"/>
    <n v="352"/>
    <n v="290"/>
    <n v="48243"/>
    <n v="150000"/>
    <n v="9.023070704558174E-2"/>
    <s v="N/A"/>
  </r>
  <r>
    <x v="2"/>
    <n v="2291"/>
    <n v="78"/>
    <n v="485"/>
    <n v="18328"/>
    <n v="200000"/>
    <n v="0.15571802706241816"/>
    <n v="1.427E-2"/>
  </r>
  <r>
    <x v="4"/>
    <n v="4419"/>
    <n v="236"/>
    <n v="369"/>
    <n v="44190"/>
    <n v="150000"/>
    <n v="0.11369088028965829"/>
    <n v="3.3493333333333333E-2"/>
  </r>
  <r>
    <x v="0"/>
    <n v="4182"/>
    <n v="640"/>
    <n v="240"/>
    <n v="50184"/>
    <n v="250000"/>
    <n v="0.10086880280567512"/>
    <n v="2.0247999999999999E-2"/>
  </r>
  <r>
    <x v="0"/>
    <n v="4332"/>
    <n v="771"/>
    <n v="219"/>
    <n v="60648"/>
    <n v="250000"/>
    <n v="8.7752275425405618E-2"/>
    <n v="2.1288000000000001E-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n v="1135"/>
    <n v="88"/>
    <n v="1047"/>
  </r>
  <r>
    <x v="1"/>
    <n v="1312"/>
    <n v="310"/>
    <n v="1002"/>
  </r>
  <r>
    <x v="2"/>
    <n v="584"/>
    <n v="169"/>
    <n v="415"/>
  </r>
  <r>
    <x v="3"/>
    <n v="1535"/>
    <n v="445"/>
    <n v="1090"/>
  </r>
  <r>
    <x v="0"/>
    <n v="656"/>
    <n v="139"/>
    <n v="517"/>
  </r>
  <r>
    <x v="1"/>
    <n v="1697"/>
    <n v="414"/>
    <n v="1283"/>
  </r>
  <r>
    <x v="1"/>
    <n v="436"/>
    <n v="250"/>
    <n v="186"/>
  </r>
  <r>
    <x v="3"/>
    <n v="1197"/>
    <n v="203"/>
    <n v="994"/>
  </r>
  <r>
    <x v="1"/>
    <n v="1048"/>
    <n v="155"/>
    <n v="893"/>
  </r>
  <r>
    <x v="1"/>
    <n v="1753"/>
    <n v="371"/>
    <n v="1382"/>
  </r>
  <r>
    <x v="3"/>
    <n v="1335"/>
    <n v="40"/>
    <n v="1295"/>
  </r>
  <r>
    <x v="2"/>
    <n v="403"/>
    <n v="66"/>
    <n v="337"/>
  </r>
  <r>
    <x v="0"/>
    <n v="911"/>
    <n v="282"/>
    <n v="629"/>
  </r>
  <r>
    <x v="0"/>
    <n v="1779"/>
    <n v="109"/>
    <n v="1670"/>
  </r>
  <r>
    <x v="2"/>
    <n v="1238"/>
    <n v="403"/>
    <n v="835"/>
  </r>
  <r>
    <x v="3"/>
    <n v="308"/>
    <n v="431"/>
    <n v="-123"/>
  </r>
  <r>
    <x v="0"/>
    <n v="226"/>
    <n v="445"/>
    <n v="-219"/>
  </r>
  <r>
    <x v="3"/>
    <n v="505"/>
    <n v="441"/>
    <n v="64"/>
  </r>
  <r>
    <x v="0"/>
    <n v="1420"/>
    <n v="63"/>
    <n v="1357"/>
  </r>
  <r>
    <x v="3"/>
    <n v="144"/>
    <n v="53"/>
    <n v="91"/>
  </r>
  <r>
    <x v="3"/>
    <n v="1757"/>
    <n v="85"/>
    <n v="1672"/>
  </r>
  <r>
    <x v="1"/>
    <n v="350"/>
    <n v="41"/>
    <n v="309"/>
  </r>
  <r>
    <x v="2"/>
    <n v="987"/>
    <n v="440"/>
    <n v="547"/>
  </r>
  <r>
    <x v="1"/>
    <n v="883"/>
    <n v="369"/>
    <n v="514"/>
  </r>
  <r>
    <x v="3"/>
    <n v="1960"/>
    <n v="115"/>
    <n v="1845"/>
  </r>
  <r>
    <x v="3"/>
    <n v="170"/>
    <n v="334"/>
    <n v="-164"/>
  </r>
  <r>
    <x v="2"/>
    <n v="704"/>
    <n v="275"/>
    <n v="429"/>
  </r>
  <r>
    <x v="1"/>
    <n v="224"/>
    <n v="64"/>
    <n v="160"/>
  </r>
  <r>
    <x v="0"/>
    <n v="508"/>
    <n v="349"/>
    <n v="159"/>
  </r>
  <r>
    <x v="0"/>
    <n v="1391"/>
    <n v="430"/>
    <n v="961"/>
  </r>
  <r>
    <x v="2"/>
    <n v="1701"/>
    <n v="385"/>
    <n v="1316"/>
  </r>
  <r>
    <x v="1"/>
    <n v="804"/>
    <n v="487"/>
    <n v="317"/>
  </r>
  <r>
    <x v="1"/>
    <n v="653"/>
    <n v="112"/>
    <n v="541"/>
  </r>
  <r>
    <x v="1"/>
    <n v="160"/>
    <n v="478"/>
    <n v="-318"/>
  </r>
  <r>
    <x v="3"/>
    <n v="1756"/>
    <n v="261"/>
    <n v="1495"/>
  </r>
  <r>
    <x v="3"/>
    <n v="576"/>
    <n v="101"/>
    <n v="475"/>
  </r>
  <r>
    <x v="3"/>
    <n v="645"/>
    <n v="293"/>
    <n v="352"/>
  </r>
  <r>
    <x v="2"/>
    <n v="214"/>
    <n v="411"/>
    <n v="-197"/>
  </r>
  <r>
    <x v="0"/>
    <n v="826"/>
    <n v="498"/>
    <n v="328"/>
  </r>
  <r>
    <x v="3"/>
    <n v="460"/>
    <n v="141"/>
    <n v="319"/>
  </r>
  <r>
    <x v="3"/>
    <n v="1528"/>
    <n v="203"/>
    <n v="1325"/>
  </r>
  <r>
    <x v="2"/>
    <n v="1534"/>
    <n v="200"/>
    <n v="1334"/>
  </r>
  <r>
    <x v="1"/>
    <n v="485"/>
    <n v="448"/>
    <n v="37"/>
  </r>
  <r>
    <x v="3"/>
    <n v="1210"/>
    <n v="178"/>
    <n v="1032"/>
  </r>
  <r>
    <x v="1"/>
    <n v="215"/>
    <n v="139"/>
    <n v="76"/>
  </r>
  <r>
    <x v="3"/>
    <n v="1078"/>
    <n v="20"/>
    <n v="1058"/>
  </r>
  <r>
    <x v="2"/>
    <n v="1751"/>
    <n v="86"/>
    <n v="1665"/>
  </r>
  <r>
    <x v="0"/>
    <n v="221"/>
    <n v="31"/>
    <n v="190"/>
  </r>
  <r>
    <x v="3"/>
    <n v="1685"/>
    <n v="76"/>
    <n v="1609"/>
  </r>
  <r>
    <x v="2"/>
    <n v="248"/>
    <n v="211"/>
    <n v="37"/>
  </r>
  <r>
    <x v="0"/>
    <n v="1300"/>
    <n v="71"/>
    <n v="1229"/>
  </r>
  <r>
    <x v="2"/>
    <n v="422"/>
    <n v="394"/>
    <n v="28"/>
  </r>
  <r>
    <x v="2"/>
    <n v="1429"/>
    <n v="182"/>
    <n v="1247"/>
  </r>
  <r>
    <x v="2"/>
    <n v="1520"/>
    <n v="475"/>
    <n v="1045"/>
  </r>
  <r>
    <x v="0"/>
    <n v="557"/>
    <n v="360"/>
    <n v="197"/>
  </r>
  <r>
    <x v="2"/>
    <n v="728"/>
    <n v="395"/>
    <n v="333"/>
  </r>
  <r>
    <x v="2"/>
    <n v="1592"/>
    <n v="20"/>
    <n v="1572"/>
  </r>
  <r>
    <x v="1"/>
    <n v="1842"/>
    <n v="414"/>
    <n v="1428"/>
  </r>
  <r>
    <x v="1"/>
    <n v="751"/>
    <n v="491"/>
    <n v="260"/>
  </r>
  <r>
    <x v="3"/>
    <n v="1409"/>
    <n v="309"/>
    <n v="1100"/>
  </r>
  <r>
    <x v="2"/>
    <n v="778"/>
    <n v="401"/>
    <n v="377"/>
  </r>
  <r>
    <x v="3"/>
    <n v="443"/>
    <n v="345"/>
    <n v="98"/>
  </r>
  <r>
    <x v="3"/>
    <n v="1472"/>
    <n v="347"/>
    <n v="1125"/>
  </r>
  <r>
    <x v="3"/>
    <n v="123"/>
    <n v="155"/>
    <n v="-32"/>
  </r>
  <r>
    <x v="1"/>
    <n v="817"/>
    <n v="151"/>
    <n v="666"/>
  </r>
  <r>
    <x v="2"/>
    <n v="198"/>
    <n v="217"/>
    <n v="-19"/>
  </r>
  <r>
    <x v="2"/>
    <n v="1911"/>
    <n v="231"/>
    <n v="1680"/>
  </r>
  <r>
    <x v="3"/>
    <n v="1218"/>
    <n v="212"/>
    <n v="1006"/>
  </r>
  <r>
    <x v="0"/>
    <n v="1433"/>
    <n v="408"/>
    <n v="1025"/>
  </r>
  <r>
    <x v="3"/>
    <n v="250"/>
    <n v="429"/>
    <n v="-179"/>
  </r>
  <r>
    <x v="2"/>
    <n v="752"/>
    <n v="153"/>
    <n v="599"/>
  </r>
  <r>
    <x v="3"/>
    <n v="1918"/>
    <n v="212"/>
    <n v="1706"/>
  </r>
  <r>
    <x v="3"/>
    <n v="1939"/>
    <n v="67"/>
    <n v="1872"/>
  </r>
  <r>
    <x v="3"/>
    <n v="1929"/>
    <n v="267"/>
    <n v="1662"/>
  </r>
  <r>
    <x v="2"/>
    <n v="437"/>
    <n v="330"/>
    <n v="107"/>
  </r>
  <r>
    <x v="2"/>
    <n v="307"/>
    <n v="189"/>
    <n v="118"/>
  </r>
  <r>
    <x v="2"/>
    <n v="1527"/>
    <n v="303"/>
    <n v="1224"/>
  </r>
  <r>
    <x v="3"/>
    <n v="643"/>
    <n v="358"/>
    <n v="285"/>
  </r>
  <r>
    <x v="1"/>
    <n v="201"/>
    <n v="221"/>
    <n v="-20"/>
  </r>
  <r>
    <x v="3"/>
    <n v="414"/>
    <n v="47"/>
    <n v="367"/>
  </r>
  <r>
    <x v="2"/>
    <n v="703"/>
    <n v="441"/>
    <n v="262"/>
  </r>
  <r>
    <x v="2"/>
    <n v="508"/>
    <n v="69"/>
    <n v="439"/>
  </r>
  <r>
    <x v="1"/>
    <n v="697"/>
    <n v="61"/>
    <n v="636"/>
  </r>
  <r>
    <x v="1"/>
    <n v="1707"/>
    <n v="223"/>
    <n v="1484"/>
  </r>
  <r>
    <x v="2"/>
    <n v="642"/>
    <n v="66"/>
    <n v="576"/>
  </r>
  <r>
    <x v="0"/>
    <n v="859"/>
    <n v="473"/>
    <n v="386"/>
  </r>
  <r>
    <x v="3"/>
    <n v="191"/>
    <n v="154"/>
    <n v="37"/>
  </r>
  <r>
    <x v="1"/>
    <n v="1814"/>
    <n v="157"/>
    <n v="1657"/>
  </r>
  <r>
    <x v="2"/>
    <n v="1466"/>
    <n v="69"/>
    <n v="1397"/>
  </r>
  <r>
    <x v="1"/>
    <n v="947"/>
    <n v="407"/>
    <n v="540"/>
  </r>
  <r>
    <x v="1"/>
    <n v="1821"/>
    <n v="218"/>
    <n v="1603"/>
  </r>
  <r>
    <x v="2"/>
    <n v="1507"/>
    <n v="463"/>
    <n v="1044"/>
  </r>
  <r>
    <x v="0"/>
    <n v="1075"/>
    <n v="173"/>
    <n v="902"/>
  </r>
  <r>
    <x v="0"/>
    <n v="171"/>
    <n v="277"/>
    <n v="-106"/>
  </r>
  <r>
    <x v="3"/>
    <n v="1487"/>
    <n v="337"/>
    <n v="1150"/>
  </r>
  <r>
    <x v="3"/>
    <n v="454"/>
    <n v="105"/>
    <n v="349"/>
  </r>
  <r>
    <x v="2"/>
    <n v="187"/>
    <n v="236"/>
    <n v="-49"/>
  </r>
  <r>
    <x v="2"/>
    <n v="513"/>
    <n v="441"/>
    <n v="72"/>
  </r>
  <r>
    <x v="1"/>
    <n v="628"/>
    <n v="183"/>
    <n v="445"/>
  </r>
  <r>
    <x v="0"/>
    <n v="278"/>
    <n v="218"/>
    <n v="60"/>
  </r>
  <r>
    <x v="0"/>
    <n v="1854"/>
    <n v="161"/>
    <n v="1693"/>
  </r>
  <r>
    <x v="3"/>
    <n v="1710"/>
    <n v="378"/>
    <n v="1332"/>
  </r>
  <r>
    <x v="2"/>
    <n v="330"/>
    <n v="232"/>
    <n v="98"/>
  </r>
  <r>
    <x v="3"/>
    <n v="1293"/>
    <n v="408"/>
    <n v="885"/>
  </r>
  <r>
    <x v="2"/>
    <n v="1696"/>
    <n v="71"/>
    <n v="1625"/>
  </r>
  <r>
    <x v="1"/>
    <n v="1902"/>
    <n v="196"/>
    <n v="1706"/>
  </r>
  <r>
    <x v="3"/>
    <n v="1441"/>
    <n v="268"/>
    <n v="1173"/>
  </r>
  <r>
    <x v="0"/>
    <n v="452"/>
    <n v="161"/>
    <n v="291"/>
  </r>
  <r>
    <x v="3"/>
    <n v="1494"/>
    <n v="375"/>
    <n v="1119"/>
  </r>
  <r>
    <x v="3"/>
    <n v="1514"/>
    <n v="141"/>
    <n v="1373"/>
  </r>
  <r>
    <x v="2"/>
    <n v="1937"/>
    <n v="210"/>
    <n v="1727"/>
  </r>
  <r>
    <x v="0"/>
    <n v="736"/>
    <n v="163"/>
    <n v="573"/>
  </r>
  <r>
    <x v="1"/>
    <n v="1502"/>
    <n v="70"/>
    <n v="1432"/>
  </r>
  <r>
    <x v="3"/>
    <n v="1623"/>
    <n v="246"/>
    <n v="1377"/>
  </r>
  <r>
    <x v="2"/>
    <n v="1592"/>
    <n v="233"/>
    <n v="1359"/>
  </r>
  <r>
    <x v="3"/>
    <n v="1004"/>
    <n v="128"/>
    <n v="876"/>
  </r>
  <r>
    <x v="3"/>
    <n v="1092"/>
    <n v="408"/>
    <n v="684"/>
  </r>
  <r>
    <x v="1"/>
    <n v="1155"/>
    <n v="425"/>
    <n v="730"/>
  </r>
  <r>
    <x v="3"/>
    <n v="1137"/>
    <n v="226"/>
    <n v="911"/>
  </r>
  <r>
    <x v="0"/>
    <n v="1900"/>
    <n v="311"/>
    <n v="1589"/>
  </r>
  <r>
    <x v="3"/>
    <n v="1814"/>
    <n v="49"/>
    <n v="1765"/>
  </r>
  <r>
    <x v="0"/>
    <n v="1980"/>
    <n v="204"/>
    <n v="1776"/>
  </r>
  <r>
    <x v="3"/>
    <n v="1786"/>
    <n v="257"/>
    <n v="1529"/>
  </r>
  <r>
    <x v="2"/>
    <n v="1495"/>
    <n v="35"/>
    <n v="1460"/>
  </r>
  <r>
    <x v="3"/>
    <n v="1013"/>
    <n v="110"/>
    <n v="903"/>
  </r>
  <r>
    <x v="1"/>
    <n v="816"/>
    <n v="196"/>
    <n v="620"/>
  </r>
  <r>
    <x v="1"/>
    <n v="1633"/>
    <n v="445"/>
    <n v="1188"/>
  </r>
  <r>
    <x v="1"/>
    <n v="891"/>
    <n v="45"/>
    <n v="846"/>
  </r>
  <r>
    <x v="0"/>
    <n v="1855"/>
    <n v="133"/>
    <n v="1722"/>
  </r>
  <r>
    <x v="1"/>
    <n v="651"/>
    <n v="353"/>
    <n v="298"/>
  </r>
  <r>
    <x v="3"/>
    <n v="118"/>
    <n v="262"/>
    <n v="-144"/>
  </r>
  <r>
    <x v="1"/>
    <n v="1331"/>
    <n v="430"/>
    <n v="901"/>
  </r>
  <r>
    <x v="3"/>
    <n v="1748"/>
    <n v="176"/>
    <n v="1572"/>
  </r>
  <r>
    <x v="1"/>
    <n v="663"/>
    <n v="236"/>
    <n v="427"/>
  </r>
  <r>
    <x v="0"/>
    <n v="1040"/>
    <n v="149"/>
    <n v="891"/>
  </r>
  <r>
    <x v="0"/>
    <n v="1166"/>
    <n v="442"/>
    <n v="724"/>
  </r>
  <r>
    <x v="0"/>
    <n v="115"/>
    <n v="281"/>
    <n v="-166"/>
  </r>
  <r>
    <x v="2"/>
    <n v="1249"/>
    <n v="351"/>
    <n v="898"/>
  </r>
  <r>
    <x v="1"/>
    <n v="1501"/>
    <n v="75"/>
    <n v="1426"/>
  </r>
  <r>
    <x v="2"/>
    <n v="1411"/>
    <n v="186"/>
    <n v="1225"/>
  </r>
  <r>
    <x v="2"/>
    <n v="1556"/>
    <n v="476"/>
    <n v="1080"/>
  </r>
  <r>
    <x v="3"/>
    <n v="1159"/>
    <n v="411"/>
    <n v="748"/>
  </r>
  <r>
    <x v="0"/>
    <n v="927"/>
    <n v="358"/>
    <n v="569"/>
  </r>
  <r>
    <x v="2"/>
    <n v="152"/>
    <n v="355"/>
    <n v="-203"/>
  </r>
  <r>
    <x v="3"/>
    <n v="1957"/>
    <n v="234"/>
    <n v="1723"/>
  </r>
  <r>
    <x v="0"/>
    <n v="1294"/>
    <n v="382"/>
    <n v="912"/>
  </r>
  <r>
    <x v="2"/>
    <n v="1587"/>
    <n v="385"/>
    <n v="1202"/>
  </r>
  <r>
    <x v="3"/>
    <n v="1707"/>
    <n v="263"/>
    <n v="1444"/>
  </r>
  <r>
    <x v="1"/>
    <n v="1138"/>
    <n v="173"/>
    <n v="965"/>
  </r>
  <r>
    <x v="0"/>
    <n v="1895"/>
    <n v="305"/>
    <n v="1590"/>
  </r>
  <r>
    <x v="2"/>
    <n v="362"/>
    <n v="399"/>
    <n v="-37"/>
  </r>
  <r>
    <x v="2"/>
    <n v="1662"/>
    <n v="487"/>
    <n v="1175"/>
  </r>
  <r>
    <x v="1"/>
    <n v="1440"/>
    <n v="65"/>
    <n v="1375"/>
  </r>
  <r>
    <x v="0"/>
    <n v="1884"/>
    <n v="177"/>
    <n v="1707"/>
  </r>
  <r>
    <x v="2"/>
    <n v="861"/>
    <n v="153"/>
    <n v="708"/>
  </r>
  <r>
    <x v="2"/>
    <n v="1063"/>
    <n v="47"/>
    <n v="1016"/>
  </r>
  <r>
    <x v="0"/>
    <n v="1371"/>
    <n v="56"/>
    <n v="1315"/>
  </r>
  <r>
    <x v="3"/>
    <n v="345"/>
    <n v="464"/>
    <n v="-119"/>
  </r>
  <r>
    <x v="2"/>
    <n v="946"/>
    <n v="47"/>
    <n v="899"/>
  </r>
  <r>
    <x v="0"/>
    <n v="510"/>
    <n v="195"/>
    <n v="315"/>
  </r>
  <r>
    <x v="2"/>
    <n v="393"/>
    <n v="181"/>
    <n v="212"/>
  </r>
  <r>
    <x v="1"/>
    <n v="1098"/>
    <n v="190"/>
    <n v="908"/>
  </r>
  <r>
    <x v="1"/>
    <n v="1399"/>
    <n v="49"/>
    <n v="1350"/>
  </r>
  <r>
    <x v="0"/>
    <n v="1658"/>
    <n v="416"/>
    <n v="1242"/>
  </r>
  <r>
    <x v="2"/>
    <n v="1102"/>
    <n v="422"/>
    <n v="680"/>
  </r>
  <r>
    <x v="0"/>
    <n v="1358"/>
    <n v="242"/>
    <n v="1116"/>
  </r>
  <r>
    <x v="2"/>
    <n v="1077"/>
    <n v="216"/>
    <n v="861"/>
  </r>
  <r>
    <x v="3"/>
    <n v="1596"/>
    <n v="211"/>
    <n v="1385"/>
  </r>
  <r>
    <x v="0"/>
    <n v="490"/>
    <n v="29"/>
    <n v="461"/>
  </r>
  <r>
    <x v="2"/>
    <n v="609"/>
    <n v="135"/>
    <n v="474"/>
  </r>
  <r>
    <x v="1"/>
    <n v="364"/>
    <n v="72"/>
    <n v="292"/>
  </r>
  <r>
    <x v="3"/>
    <n v="442"/>
    <n v="53"/>
    <n v="389"/>
  </r>
  <r>
    <x v="0"/>
    <n v="1033"/>
    <n v="392"/>
    <n v="641"/>
  </r>
  <r>
    <x v="3"/>
    <n v="988"/>
    <n v="474"/>
    <n v="514"/>
  </r>
  <r>
    <x v="1"/>
    <n v="1946"/>
    <n v="270"/>
    <n v="1676"/>
  </r>
  <r>
    <x v="3"/>
    <n v="1957"/>
    <n v="490"/>
    <n v="1467"/>
  </r>
  <r>
    <x v="1"/>
    <n v="559"/>
    <n v="392"/>
    <n v="167"/>
  </r>
  <r>
    <x v="1"/>
    <n v="1307"/>
    <n v="278"/>
    <n v="1029"/>
  </r>
  <r>
    <x v="1"/>
    <n v="1432"/>
    <n v="425"/>
    <n v="1007"/>
  </r>
  <r>
    <x v="3"/>
    <n v="623"/>
    <n v="414"/>
    <n v="209"/>
  </r>
  <r>
    <x v="3"/>
    <n v="198"/>
    <n v="358"/>
    <n v="-160"/>
  </r>
  <r>
    <x v="0"/>
    <n v="198"/>
    <n v="373"/>
    <n v="-175"/>
  </r>
  <r>
    <x v="2"/>
    <n v="353"/>
    <n v="300"/>
    <n v="53"/>
  </r>
  <r>
    <x v="2"/>
    <n v="520"/>
    <n v="375"/>
    <n v="145"/>
  </r>
  <r>
    <x v="0"/>
    <n v="961"/>
    <n v="358"/>
    <n v="603"/>
  </r>
  <r>
    <x v="2"/>
    <n v="1375"/>
    <n v="330"/>
    <n v="1045"/>
  </r>
  <r>
    <x v="0"/>
    <n v="1147"/>
    <n v="388"/>
    <n v="759"/>
  </r>
  <r>
    <x v="3"/>
    <n v="1707"/>
    <n v="74"/>
    <n v="1633"/>
  </r>
  <r>
    <x v="3"/>
    <n v="1693"/>
    <n v="154"/>
    <n v="1539"/>
  </r>
  <r>
    <x v="2"/>
    <n v="833"/>
    <n v="380"/>
    <n v="453"/>
  </r>
  <r>
    <x v="1"/>
    <n v="1222"/>
    <n v="274"/>
    <n v="948"/>
  </r>
  <r>
    <x v="0"/>
    <n v="777"/>
    <n v="140"/>
    <n v="637"/>
  </r>
  <r>
    <x v="3"/>
    <n v="1957"/>
    <n v="76"/>
    <n v="1881"/>
  </r>
  <r>
    <x v="2"/>
    <n v="405"/>
    <n v="66"/>
    <n v="339"/>
  </r>
  <r>
    <x v="3"/>
    <n v="1581"/>
    <n v="71"/>
    <n v="1510"/>
  </r>
  <r>
    <x v="2"/>
    <n v="1035"/>
    <n v="171"/>
    <n v="864"/>
  </r>
  <r>
    <x v="3"/>
    <n v="1765"/>
    <n v="109"/>
    <n v="1656"/>
  </r>
  <r>
    <x v="2"/>
    <n v="837"/>
    <n v="430"/>
    <n v="407"/>
  </r>
  <r>
    <x v="0"/>
    <n v="337"/>
    <n v="68"/>
    <n v="269"/>
  </r>
  <r>
    <x v="1"/>
    <n v="119"/>
    <n v="456"/>
    <n v="-337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957"/>
    <n v="76"/>
    <n v="1881"/>
  </r>
  <r>
    <x v="1"/>
    <x v="0"/>
    <n v="1939"/>
    <n v="67"/>
    <n v="1872"/>
  </r>
  <r>
    <x v="2"/>
    <x v="0"/>
    <n v="1960"/>
    <n v="115"/>
    <n v="1845"/>
  </r>
  <r>
    <x v="3"/>
    <x v="1"/>
    <n v="1980"/>
    <n v="204"/>
    <n v="1776"/>
  </r>
  <r>
    <x v="3"/>
    <x v="0"/>
    <n v="1814"/>
    <n v="49"/>
    <n v="1765"/>
  </r>
  <r>
    <x v="4"/>
    <x v="2"/>
    <n v="1937"/>
    <n v="210"/>
    <n v="1727"/>
  </r>
  <r>
    <x v="5"/>
    <x v="0"/>
    <n v="1957"/>
    <n v="234"/>
    <n v="1723"/>
  </r>
  <r>
    <x v="6"/>
    <x v="0"/>
    <n v="1855"/>
    <n v="133"/>
    <n v="1722"/>
  </r>
  <r>
    <x v="7"/>
    <x v="1"/>
    <n v="1884"/>
    <n v="177"/>
    <n v="1707"/>
  </r>
  <r>
    <x v="8"/>
    <x v="3"/>
    <n v="1918"/>
    <n v="212"/>
    <n v="1706"/>
  </r>
  <r>
    <x v="9"/>
    <x v="1"/>
    <n v="1902"/>
    <n v="196"/>
    <n v="1706"/>
  </r>
  <r>
    <x v="10"/>
    <x v="0"/>
    <n v="1854"/>
    <n v="161"/>
    <n v="1693"/>
  </r>
  <r>
    <x v="11"/>
    <x v="2"/>
    <n v="1911"/>
    <n v="231"/>
    <n v="1680"/>
  </r>
  <r>
    <x v="12"/>
    <x v="2"/>
    <n v="1946"/>
    <n v="270"/>
    <n v="1676"/>
  </r>
  <r>
    <x v="13"/>
    <x v="0"/>
    <n v="1757"/>
    <n v="85"/>
    <n v="1672"/>
  </r>
  <r>
    <x v="14"/>
    <x v="1"/>
    <n v="1779"/>
    <n v="109"/>
    <n v="1670"/>
  </r>
  <r>
    <x v="15"/>
    <x v="2"/>
    <n v="1751"/>
    <n v="86"/>
    <n v="1665"/>
  </r>
  <r>
    <x v="1"/>
    <x v="1"/>
    <n v="1929"/>
    <n v="267"/>
    <n v="1662"/>
  </r>
  <r>
    <x v="16"/>
    <x v="3"/>
    <n v="1814"/>
    <n v="157"/>
    <n v="1657"/>
  </r>
  <r>
    <x v="17"/>
    <x v="0"/>
    <n v="1765"/>
    <n v="109"/>
    <n v="1656"/>
  </r>
  <r>
    <x v="18"/>
    <x v="3"/>
    <n v="1707"/>
    <n v="74"/>
    <n v="1633"/>
  </r>
  <r>
    <x v="9"/>
    <x v="0"/>
    <n v="1696"/>
    <n v="71"/>
    <n v="1625"/>
  </r>
  <r>
    <x v="19"/>
    <x v="0"/>
    <n v="1685"/>
    <n v="76"/>
    <n v="1609"/>
  </r>
  <r>
    <x v="20"/>
    <x v="2"/>
    <n v="1821"/>
    <n v="218"/>
    <n v="1603"/>
  </r>
  <r>
    <x v="21"/>
    <x v="1"/>
    <n v="1895"/>
    <n v="305"/>
    <n v="1590"/>
  </r>
  <r>
    <x v="22"/>
    <x v="3"/>
    <n v="1900"/>
    <n v="311"/>
    <n v="1589"/>
  </r>
  <r>
    <x v="23"/>
    <x v="0"/>
    <n v="1592"/>
    <n v="20"/>
    <n v="1572"/>
  </r>
  <r>
    <x v="24"/>
    <x v="0"/>
    <n v="1748"/>
    <n v="176"/>
    <n v="1572"/>
  </r>
  <r>
    <x v="25"/>
    <x v="0"/>
    <n v="1693"/>
    <n v="154"/>
    <n v="1539"/>
  </r>
  <r>
    <x v="3"/>
    <x v="2"/>
    <n v="1786"/>
    <n v="257"/>
    <n v="1529"/>
  </r>
  <r>
    <x v="0"/>
    <x v="2"/>
    <n v="1581"/>
    <n v="71"/>
    <n v="1510"/>
  </r>
  <r>
    <x v="26"/>
    <x v="2"/>
    <n v="1756"/>
    <n v="261"/>
    <n v="1495"/>
  </r>
  <r>
    <x v="27"/>
    <x v="3"/>
    <n v="1707"/>
    <n v="223"/>
    <n v="1484"/>
  </r>
  <r>
    <x v="12"/>
    <x v="3"/>
    <n v="1957"/>
    <n v="490"/>
    <n v="1467"/>
  </r>
  <r>
    <x v="3"/>
    <x v="3"/>
    <n v="1495"/>
    <n v="35"/>
    <n v="1460"/>
  </r>
  <r>
    <x v="5"/>
    <x v="3"/>
    <n v="1707"/>
    <n v="263"/>
    <n v="1444"/>
  </r>
  <r>
    <x v="28"/>
    <x v="0"/>
    <n v="1502"/>
    <n v="70"/>
    <n v="1432"/>
  </r>
  <r>
    <x v="23"/>
    <x v="1"/>
    <n v="1842"/>
    <n v="414"/>
    <n v="1428"/>
  </r>
  <r>
    <x v="29"/>
    <x v="2"/>
    <n v="1501"/>
    <n v="75"/>
    <n v="1426"/>
  </r>
  <r>
    <x v="20"/>
    <x v="0"/>
    <n v="1466"/>
    <n v="69"/>
    <n v="1397"/>
  </r>
  <r>
    <x v="30"/>
    <x v="3"/>
    <n v="1596"/>
    <n v="211"/>
    <n v="1385"/>
  </r>
  <r>
    <x v="31"/>
    <x v="1"/>
    <n v="1753"/>
    <n v="371"/>
    <n v="1382"/>
  </r>
  <r>
    <x v="28"/>
    <x v="1"/>
    <n v="1623"/>
    <n v="246"/>
    <n v="1377"/>
  </r>
  <r>
    <x v="7"/>
    <x v="0"/>
    <n v="1440"/>
    <n v="65"/>
    <n v="1375"/>
  </r>
  <r>
    <x v="4"/>
    <x v="1"/>
    <n v="1514"/>
    <n v="141"/>
    <n v="1373"/>
  </r>
  <r>
    <x v="28"/>
    <x v="2"/>
    <n v="1592"/>
    <n v="233"/>
    <n v="1359"/>
  </r>
  <r>
    <x v="32"/>
    <x v="2"/>
    <n v="1420"/>
    <n v="63"/>
    <n v="1357"/>
  </r>
  <r>
    <x v="33"/>
    <x v="2"/>
    <n v="1399"/>
    <n v="49"/>
    <n v="1350"/>
  </r>
  <r>
    <x v="34"/>
    <x v="1"/>
    <n v="1534"/>
    <n v="200"/>
    <n v="1334"/>
  </r>
  <r>
    <x v="10"/>
    <x v="1"/>
    <n v="1710"/>
    <n v="378"/>
    <n v="1332"/>
  </r>
  <r>
    <x v="34"/>
    <x v="0"/>
    <n v="1528"/>
    <n v="203"/>
    <n v="1325"/>
  </r>
  <r>
    <x v="35"/>
    <x v="2"/>
    <n v="1701"/>
    <n v="385"/>
    <n v="1316"/>
  </r>
  <r>
    <x v="36"/>
    <x v="0"/>
    <n v="1371"/>
    <n v="56"/>
    <n v="1315"/>
  </r>
  <r>
    <x v="31"/>
    <x v="2"/>
    <n v="1335"/>
    <n v="40"/>
    <n v="1295"/>
  </r>
  <r>
    <x v="37"/>
    <x v="1"/>
    <n v="1697"/>
    <n v="414"/>
    <n v="1283"/>
  </r>
  <r>
    <x v="38"/>
    <x v="0"/>
    <n v="1429"/>
    <n v="182"/>
    <n v="1247"/>
  </r>
  <r>
    <x v="33"/>
    <x v="3"/>
    <n v="1658"/>
    <n v="416"/>
    <n v="1242"/>
  </r>
  <r>
    <x v="19"/>
    <x v="2"/>
    <n v="1300"/>
    <n v="71"/>
    <n v="1229"/>
  </r>
  <r>
    <x v="29"/>
    <x v="3"/>
    <n v="1411"/>
    <n v="186"/>
    <n v="1225"/>
  </r>
  <r>
    <x v="39"/>
    <x v="0"/>
    <n v="1527"/>
    <n v="303"/>
    <n v="1224"/>
  </r>
  <r>
    <x v="5"/>
    <x v="2"/>
    <n v="1587"/>
    <n v="385"/>
    <n v="1202"/>
  </r>
  <r>
    <x v="40"/>
    <x v="2"/>
    <n v="1633"/>
    <n v="445"/>
    <n v="1188"/>
  </r>
  <r>
    <x v="21"/>
    <x v="3"/>
    <n v="1662"/>
    <n v="487"/>
    <n v="1175"/>
  </r>
  <r>
    <x v="9"/>
    <x v="2"/>
    <n v="1441"/>
    <n v="268"/>
    <n v="1173"/>
  </r>
  <r>
    <x v="41"/>
    <x v="2"/>
    <n v="1487"/>
    <n v="337"/>
    <n v="1150"/>
  </r>
  <r>
    <x v="42"/>
    <x v="2"/>
    <n v="1472"/>
    <n v="347"/>
    <n v="1125"/>
  </r>
  <r>
    <x v="4"/>
    <x v="0"/>
    <n v="1494"/>
    <n v="375"/>
    <n v="1119"/>
  </r>
  <r>
    <x v="30"/>
    <x v="1"/>
    <n v="1358"/>
    <n v="242"/>
    <n v="1116"/>
  </r>
  <r>
    <x v="23"/>
    <x v="3"/>
    <n v="1409"/>
    <n v="309"/>
    <n v="1100"/>
  </r>
  <r>
    <x v="43"/>
    <x v="3"/>
    <n v="1535"/>
    <n v="445"/>
    <n v="1090"/>
  </r>
  <r>
    <x v="44"/>
    <x v="0"/>
    <n v="1556"/>
    <n v="476"/>
    <n v="1080"/>
  </r>
  <r>
    <x v="15"/>
    <x v="1"/>
    <n v="1078"/>
    <n v="20"/>
    <n v="1058"/>
  </r>
  <r>
    <x v="43"/>
    <x v="0"/>
    <n v="1135"/>
    <n v="88"/>
    <n v="1047"/>
  </r>
  <r>
    <x v="38"/>
    <x v="1"/>
    <n v="1520"/>
    <n v="475"/>
    <n v="1045"/>
  </r>
  <r>
    <x v="18"/>
    <x v="1"/>
    <n v="1375"/>
    <n v="330"/>
    <n v="1045"/>
  </r>
  <r>
    <x v="20"/>
    <x v="3"/>
    <n v="1507"/>
    <n v="463"/>
    <n v="1044"/>
  </r>
  <r>
    <x v="34"/>
    <x v="3"/>
    <n v="1210"/>
    <n v="178"/>
    <n v="1032"/>
  </r>
  <r>
    <x v="45"/>
    <x v="1"/>
    <n v="1307"/>
    <n v="278"/>
    <n v="1029"/>
  </r>
  <r>
    <x v="8"/>
    <x v="0"/>
    <n v="1433"/>
    <n v="408"/>
    <n v="1025"/>
  </r>
  <r>
    <x v="7"/>
    <x v="3"/>
    <n v="1063"/>
    <n v="47"/>
    <n v="1016"/>
  </r>
  <r>
    <x v="45"/>
    <x v="2"/>
    <n v="1432"/>
    <n v="425"/>
    <n v="1007"/>
  </r>
  <r>
    <x v="11"/>
    <x v="3"/>
    <n v="1218"/>
    <n v="212"/>
    <n v="1006"/>
  </r>
  <r>
    <x v="43"/>
    <x v="1"/>
    <n v="1312"/>
    <n v="310"/>
    <n v="1002"/>
  </r>
  <r>
    <x v="37"/>
    <x v="3"/>
    <n v="1197"/>
    <n v="203"/>
    <n v="994"/>
  </r>
  <r>
    <x v="21"/>
    <x v="0"/>
    <n v="1138"/>
    <n v="173"/>
    <n v="965"/>
  </r>
  <r>
    <x v="35"/>
    <x v="1"/>
    <n v="1391"/>
    <n v="430"/>
    <n v="961"/>
  </r>
  <r>
    <x v="25"/>
    <x v="2"/>
    <n v="1222"/>
    <n v="274"/>
    <n v="948"/>
  </r>
  <r>
    <x v="5"/>
    <x v="1"/>
    <n v="1294"/>
    <n v="382"/>
    <n v="912"/>
  </r>
  <r>
    <x v="22"/>
    <x v="2"/>
    <n v="1137"/>
    <n v="226"/>
    <n v="911"/>
  </r>
  <r>
    <x v="33"/>
    <x v="1"/>
    <n v="1098"/>
    <n v="190"/>
    <n v="908"/>
  </r>
  <r>
    <x v="40"/>
    <x v="0"/>
    <n v="1013"/>
    <n v="110"/>
    <n v="903"/>
  </r>
  <r>
    <x v="41"/>
    <x v="0"/>
    <n v="1075"/>
    <n v="173"/>
    <n v="902"/>
  </r>
  <r>
    <x v="6"/>
    <x v="3"/>
    <n v="1331"/>
    <n v="430"/>
    <n v="901"/>
  </r>
  <r>
    <x v="36"/>
    <x v="2"/>
    <n v="946"/>
    <n v="47"/>
    <n v="899"/>
  </r>
  <r>
    <x v="29"/>
    <x v="1"/>
    <n v="1249"/>
    <n v="351"/>
    <n v="898"/>
  </r>
  <r>
    <x v="31"/>
    <x v="0"/>
    <n v="1048"/>
    <n v="155"/>
    <n v="893"/>
  </r>
  <r>
    <x v="24"/>
    <x v="2"/>
    <n v="1040"/>
    <n v="149"/>
    <n v="891"/>
  </r>
  <r>
    <x v="10"/>
    <x v="3"/>
    <n v="1293"/>
    <n v="408"/>
    <n v="885"/>
  </r>
  <r>
    <x v="28"/>
    <x v="3"/>
    <n v="1004"/>
    <n v="128"/>
    <n v="876"/>
  </r>
  <r>
    <x v="0"/>
    <x v="3"/>
    <n v="1035"/>
    <n v="171"/>
    <n v="864"/>
  </r>
  <r>
    <x v="30"/>
    <x v="2"/>
    <n v="1077"/>
    <n v="216"/>
    <n v="861"/>
  </r>
  <r>
    <x v="40"/>
    <x v="3"/>
    <n v="891"/>
    <n v="45"/>
    <n v="846"/>
  </r>
  <r>
    <x v="14"/>
    <x v="2"/>
    <n v="1238"/>
    <n v="403"/>
    <n v="835"/>
  </r>
  <r>
    <x v="18"/>
    <x v="2"/>
    <n v="1147"/>
    <n v="388"/>
    <n v="759"/>
  </r>
  <r>
    <x v="44"/>
    <x v="1"/>
    <n v="1159"/>
    <n v="411"/>
    <n v="748"/>
  </r>
  <r>
    <x v="22"/>
    <x v="1"/>
    <n v="1155"/>
    <n v="425"/>
    <n v="730"/>
  </r>
  <r>
    <x v="24"/>
    <x v="3"/>
    <n v="1166"/>
    <n v="442"/>
    <n v="724"/>
  </r>
  <r>
    <x v="7"/>
    <x v="2"/>
    <n v="861"/>
    <n v="153"/>
    <n v="708"/>
  </r>
  <r>
    <x v="22"/>
    <x v="0"/>
    <n v="1092"/>
    <n v="408"/>
    <n v="684"/>
  </r>
  <r>
    <x v="30"/>
    <x v="0"/>
    <n v="1102"/>
    <n v="422"/>
    <n v="680"/>
  </r>
  <r>
    <x v="11"/>
    <x v="0"/>
    <n v="817"/>
    <n v="151"/>
    <n v="666"/>
  </r>
  <r>
    <x v="12"/>
    <x v="0"/>
    <n v="1033"/>
    <n v="392"/>
    <n v="641"/>
  </r>
  <r>
    <x v="25"/>
    <x v="3"/>
    <n v="777"/>
    <n v="140"/>
    <n v="637"/>
  </r>
  <r>
    <x v="27"/>
    <x v="2"/>
    <n v="697"/>
    <n v="61"/>
    <n v="636"/>
  </r>
  <r>
    <x v="14"/>
    <x v="0"/>
    <n v="911"/>
    <n v="282"/>
    <n v="629"/>
  </r>
  <r>
    <x v="40"/>
    <x v="1"/>
    <n v="816"/>
    <n v="196"/>
    <n v="620"/>
  </r>
  <r>
    <x v="18"/>
    <x v="0"/>
    <n v="961"/>
    <n v="358"/>
    <n v="603"/>
  </r>
  <r>
    <x v="8"/>
    <x v="2"/>
    <n v="752"/>
    <n v="153"/>
    <n v="599"/>
  </r>
  <r>
    <x v="16"/>
    <x v="0"/>
    <n v="642"/>
    <n v="66"/>
    <n v="576"/>
  </r>
  <r>
    <x v="4"/>
    <x v="3"/>
    <n v="736"/>
    <n v="163"/>
    <n v="573"/>
  </r>
  <r>
    <x v="44"/>
    <x v="2"/>
    <n v="927"/>
    <n v="358"/>
    <n v="569"/>
  </r>
  <r>
    <x v="13"/>
    <x v="2"/>
    <n v="987"/>
    <n v="440"/>
    <n v="547"/>
  </r>
  <r>
    <x v="26"/>
    <x v="0"/>
    <n v="653"/>
    <n v="112"/>
    <n v="541"/>
  </r>
  <r>
    <x v="20"/>
    <x v="1"/>
    <n v="947"/>
    <n v="407"/>
    <n v="540"/>
  </r>
  <r>
    <x v="37"/>
    <x v="0"/>
    <n v="656"/>
    <n v="139"/>
    <n v="517"/>
  </r>
  <r>
    <x v="13"/>
    <x v="3"/>
    <n v="883"/>
    <n v="369"/>
    <n v="514"/>
  </r>
  <r>
    <x v="12"/>
    <x v="1"/>
    <n v="988"/>
    <n v="474"/>
    <n v="514"/>
  </r>
  <r>
    <x v="26"/>
    <x v="3"/>
    <n v="576"/>
    <n v="101"/>
    <n v="475"/>
  </r>
  <r>
    <x v="46"/>
    <x v="1"/>
    <n v="609"/>
    <n v="135"/>
    <n v="474"/>
  </r>
  <r>
    <x v="46"/>
    <x v="0"/>
    <n v="490"/>
    <n v="29"/>
    <n v="461"/>
  </r>
  <r>
    <x v="25"/>
    <x v="1"/>
    <n v="833"/>
    <n v="380"/>
    <n v="453"/>
  </r>
  <r>
    <x v="47"/>
    <x v="2"/>
    <n v="628"/>
    <n v="183"/>
    <n v="445"/>
  </r>
  <r>
    <x v="27"/>
    <x v="1"/>
    <n v="508"/>
    <n v="69"/>
    <n v="439"/>
  </r>
  <r>
    <x v="2"/>
    <x v="2"/>
    <n v="704"/>
    <n v="275"/>
    <n v="429"/>
  </r>
  <r>
    <x v="24"/>
    <x v="1"/>
    <n v="663"/>
    <n v="236"/>
    <n v="427"/>
  </r>
  <r>
    <x v="43"/>
    <x v="2"/>
    <n v="584"/>
    <n v="169"/>
    <n v="415"/>
  </r>
  <r>
    <x v="17"/>
    <x v="1"/>
    <n v="837"/>
    <n v="430"/>
    <n v="407"/>
  </r>
  <r>
    <x v="46"/>
    <x v="3"/>
    <n v="442"/>
    <n v="53"/>
    <n v="389"/>
  </r>
  <r>
    <x v="16"/>
    <x v="1"/>
    <n v="859"/>
    <n v="473"/>
    <n v="386"/>
  </r>
  <r>
    <x v="42"/>
    <x v="0"/>
    <n v="778"/>
    <n v="401"/>
    <n v="377"/>
  </r>
  <r>
    <x v="39"/>
    <x v="3"/>
    <n v="414"/>
    <n v="47"/>
    <n v="367"/>
  </r>
  <r>
    <x v="48"/>
    <x v="0"/>
    <n v="645"/>
    <n v="293"/>
    <n v="352"/>
  </r>
  <r>
    <x v="41"/>
    <x v="3"/>
    <n v="454"/>
    <n v="105"/>
    <n v="349"/>
  </r>
  <r>
    <x v="0"/>
    <x v="1"/>
    <n v="405"/>
    <n v="66"/>
    <n v="339"/>
  </r>
  <r>
    <x v="31"/>
    <x v="3"/>
    <n v="403"/>
    <n v="66"/>
    <n v="337"/>
  </r>
  <r>
    <x v="38"/>
    <x v="3"/>
    <n v="728"/>
    <n v="395"/>
    <n v="333"/>
  </r>
  <r>
    <x v="48"/>
    <x v="2"/>
    <n v="826"/>
    <n v="498"/>
    <n v="328"/>
  </r>
  <r>
    <x v="48"/>
    <x v="3"/>
    <n v="460"/>
    <n v="141"/>
    <n v="319"/>
  </r>
  <r>
    <x v="35"/>
    <x v="3"/>
    <n v="804"/>
    <n v="487"/>
    <n v="317"/>
  </r>
  <r>
    <x v="36"/>
    <x v="3"/>
    <n v="510"/>
    <n v="195"/>
    <n v="315"/>
  </r>
  <r>
    <x v="13"/>
    <x v="1"/>
    <n v="350"/>
    <n v="41"/>
    <n v="309"/>
  </r>
  <r>
    <x v="6"/>
    <x v="1"/>
    <n v="651"/>
    <n v="353"/>
    <n v="298"/>
  </r>
  <r>
    <x v="46"/>
    <x v="2"/>
    <n v="364"/>
    <n v="72"/>
    <n v="292"/>
  </r>
  <r>
    <x v="9"/>
    <x v="3"/>
    <n v="452"/>
    <n v="161"/>
    <n v="291"/>
  </r>
  <r>
    <x v="39"/>
    <x v="1"/>
    <n v="643"/>
    <n v="358"/>
    <n v="285"/>
  </r>
  <r>
    <x v="17"/>
    <x v="2"/>
    <n v="337"/>
    <n v="68"/>
    <n v="269"/>
  </r>
  <r>
    <x v="27"/>
    <x v="0"/>
    <n v="703"/>
    <n v="441"/>
    <n v="262"/>
  </r>
  <r>
    <x v="23"/>
    <x v="2"/>
    <n v="751"/>
    <n v="491"/>
    <n v="260"/>
  </r>
  <r>
    <x v="33"/>
    <x v="0"/>
    <n v="393"/>
    <n v="181"/>
    <n v="212"/>
  </r>
  <r>
    <x v="45"/>
    <x v="3"/>
    <n v="623"/>
    <n v="414"/>
    <n v="209"/>
  </r>
  <r>
    <x v="38"/>
    <x v="2"/>
    <n v="557"/>
    <n v="360"/>
    <n v="197"/>
  </r>
  <r>
    <x v="15"/>
    <x v="3"/>
    <n v="221"/>
    <n v="31"/>
    <n v="190"/>
  </r>
  <r>
    <x v="37"/>
    <x v="2"/>
    <n v="436"/>
    <n v="250"/>
    <n v="186"/>
  </r>
  <r>
    <x v="45"/>
    <x v="0"/>
    <n v="559"/>
    <n v="392"/>
    <n v="167"/>
  </r>
  <r>
    <x v="2"/>
    <x v="3"/>
    <n v="224"/>
    <n v="64"/>
    <n v="160"/>
  </r>
  <r>
    <x v="35"/>
    <x v="0"/>
    <n v="508"/>
    <n v="349"/>
    <n v="159"/>
  </r>
  <r>
    <x v="49"/>
    <x v="3"/>
    <n v="520"/>
    <n v="375"/>
    <n v="145"/>
  </r>
  <r>
    <x v="1"/>
    <x v="3"/>
    <n v="307"/>
    <n v="189"/>
    <n v="118"/>
  </r>
  <r>
    <x v="1"/>
    <x v="2"/>
    <n v="437"/>
    <n v="330"/>
    <n v="107"/>
  </r>
  <r>
    <x v="42"/>
    <x v="1"/>
    <n v="443"/>
    <n v="345"/>
    <n v="98"/>
  </r>
  <r>
    <x v="10"/>
    <x v="2"/>
    <n v="330"/>
    <n v="232"/>
    <n v="98"/>
  </r>
  <r>
    <x v="32"/>
    <x v="3"/>
    <n v="144"/>
    <n v="53"/>
    <n v="91"/>
  </r>
  <r>
    <x v="15"/>
    <x v="0"/>
    <n v="215"/>
    <n v="139"/>
    <n v="76"/>
  </r>
  <r>
    <x v="47"/>
    <x v="1"/>
    <n v="513"/>
    <n v="441"/>
    <n v="72"/>
  </r>
  <r>
    <x v="32"/>
    <x v="1"/>
    <n v="505"/>
    <n v="441"/>
    <n v="64"/>
  </r>
  <r>
    <x v="47"/>
    <x v="3"/>
    <n v="278"/>
    <n v="218"/>
    <n v="60"/>
  </r>
  <r>
    <x v="49"/>
    <x v="2"/>
    <n v="353"/>
    <n v="300"/>
    <n v="53"/>
  </r>
  <r>
    <x v="34"/>
    <x v="2"/>
    <n v="485"/>
    <n v="448"/>
    <n v="37"/>
  </r>
  <r>
    <x v="19"/>
    <x v="1"/>
    <n v="248"/>
    <n v="211"/>
    <n v="37"/>
  </r>
  <r>
    <x v="16"/>
    <x v="2"/>
    <n v="191"/>
    <n v="154"/>
    <n v="37"/>
  </r>
  <r>
    <x v="19"/>
    <x v="3"/>
    <n v="422"/>
    <n v="394"/>
    <n v="28"/>
  </r>
  <r>
    <x v="11"/>
    <x v="1"/>
    <n v="198"/>
    <n v="217"/>
    <n v="-19"/>
  </r>
  <r>
    <x v="39"/>
    <x v="2"/>
    <n v="201"/>
    <n v="221"/>
    <n v="-20"/>
  </r>
  <r>
    <x v="42"/>
    <x v="3"/>
    <n v="123"/>
    <n v="155"/>
    <n v="-32"/>
  </r>
  <r>
    <x v="21"/>
    <x v="2"/>
    <n v="362"/>
    <n v="399"/>
    <n v="-37"/>
  </r>
  <r>
    <x v="47"/>
    <x v="0"/>
    <n v="187"/>
    <n v="236"/>
    <n v="-49"/>
  </r>
  <r>
    <x v="41"/>
    <x v="1"/>
    <n v="171"/>
    <n v="277"/>
    <n v="-106"/>
  </r>
  <r>
    <x v="36"/>
    <x v="1"/>
    <n v="345"/>
    <n v="464"/>
    <n v="-119"/>
  </r>
  <r>
    <x v="14"/>
    <x v="3"/>
    <n v="308"/>
    <n v="431"/>
    <n v="-123"/>
  </r>
  <r>
    <x v="6"/>
    <x v="2"/>
    <n v="118"/>
    <n v="262"/>
    <n v="-144"/>
  </r>
  <r>
    <x v="49"/>
    <x v="0"/>
    <n v="198"/>
    <n v="358"/>
    <n v="-160"/>
  </r>
  <r>
    <x v="2"/>
    <x v="1"/>
    <n v="170"/>
    <n v="334"/>
    <n v="-164"/>
  </r>
  <r>
    <x v="29"/>
    <x v="0"/>
    <n v="115"/>
    <n v="281"/>
    <n v="-166"/>
  </r>
  <r>
    <x v="49"/>
    <x v="1"/>
    <n v="198"/>
    <n v="373"/>
    <n v="-175"/>
  </r>
  <r>
    <x v="8"/>
    <x v="1"/>
    <n v="250"/>
    <n v="429"/>
    <n v="-179"/>
  </r>
  <r>
    <x v="48"/>
    <x v="1"/>
    <n v="214"/>
    <n v="411"/>
    <n v="-197"/>
  </r>
  <r>
    <x v="44"/>
    <x v="3"/>
    <n v="152"/>
    <n v="355"/>
    <n v="-203"/>
  </r>
  <r>
    <x v="32"/>
    <x v="0"/>
    <n v="226"/>
    <n v="445"/>
    <n v="-219"/>
  </r>
  <r>
    <x v="26"/>
    <x v="1"/>
    <n v="160"/>
    <n v="478"/>
    <n v="-318"/>
  </r>
  <r>
    <x v="17"/>
    <x v="3"/>
    <n v="119"/>
    <n v="456"/>
    <n v="-337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n v="3371"/>
    <n v="106"/>
    <n v="327"/>
    <n v="50565"/>
    <x v="0"/>
    <n v="7.5229902106199939E-2"/>
    <s v="Before"/>
    <n v="0.14482489478673272"/>
    <n v="0.11864167799537036"/>
    <n v="-0.18079223761853533"/>
  </r>
  <r>
    <x v="1"/>
    <n v="1686"/>
    <n v="904"/>
    <n v="472"/>
    <n v="18546"/>
    <x v="1"/>
    <n v="0.16510298716704411"/>
    <s v="Before"/>
    <n v="0.14504239428247725"/>
    <n v="0.17886135261126598"/>
    <n v="0.23316602360358607"/>
  </r>
  <r>
    <x v="2"/>
    <n v="4551"/>
    <n v="714"/>
    <n v="207"/>
    <n v="68265"/>
    <x v="2"/>
    <n v="8.0158206987475278E-2"/>
    <s v="Before"/>
    <n v="0.15256367270288304"/>
    <n v="0.16960555423327781"/>
    <n v="0.11170340375577967"/>
  </r>
  <r>
    <x v="3"/>
    <n v="3775"/>
    <n v="16"/>
    <n v="239"/>
    <n v="33975"/>
    <x v="1"/>
    <n v="0.11861662987490802"/>
    <s v="During"/>
    <n v="0.13795597140853444"/>
    <n v="0.17032294774867299"/>
    <n v="0.23461816121238382"/>
  </r>
  <r>
    <x v="4"/>
    <n v="3008"/>
    <n v="94"/>
    <n v="37"/>
    <n v="15040"/>
    <x v="3"/>
    <n v="0.20871010638297871"/>
    <s v="N/A"/>
    <n v="0.13941209015200734"/>
    <n v="0.17219692015109977"/>
    <n v="0.23516489827636644"/>
  </r>
  <r>
    <x v="5"/>
    <n v="3655"/>
    <n v="568"/>
    <n v="286"/>
    <n v="32895"/>
    <x v="2"/>
    <n v="0.13707250341997265"/>
    <s v="Before"/>
    <n v="0.14966898308870688"/>
    <n v="0.12317183140433527"/>
    <n v="-0.17703836250873095"/>
  </r>
  <r>
    <x v="6"/>
    <n v="2704"/>
    <n v="752"/>
    <n v="153"/>
    <n v="21632"/>
    <x v="3"/>
    <n v="0.16683616863905326"/>
    <s v="N/A"/>
    <n v="0.13988446812473146"/>
    <n v="0.16650560594743666"/>
    <n v="0.19030803190364065"/>
  </r>
  <r>
    <x v="7"/>
    <n v="80"/>
    <n v="362"/>
    <n v="80"/>
    <n v="1040"/>
    <x v="2"/>
    <n v="0.50192307692307692"/>
    <s v="Before"/>
    <n v="0.14736625095843911"/>
    <n v="0.12777634153456341"/>
    <n v="-0.13293348576398631"/>
  </r>
  <r>
    <x v="8"/>
    <n v="3128"/>
    <n v="211"/>
    <n v="197"/>
    <n v="59432"/>
    <x v="3"/>
    <n v="5.9496567505720827E-2"/>
    <s v="N/A"/>
    <n v="0.14586689717818696"/>
    <n v="0.14947630915548216"/>
    <n v="2.4744558547002193E-2"/>
  </r>
  <r>
    <x v="9"/>
    <n v="1970"/>
    <n v="675"/>
    <n v="478"/>
    <n v="9850"/>
    <x v="3"/>
    <n v="0.31705583756345179"/>
    <s v="N/A"/>
    <n v="0.13586786699724432"/>
    <n v="0.29818054264738869"/>
    <n v="1.1946362244241047"/>
  </r>
  <r>
    <x v="10"/>
    <n v="3601"/>
    <n v="695"/>
    <n v="75"/>
    <n v="21606"/>
    <x v="1"/>
    <n v="0.2023049153013052"/>
    <s v="Before"/>
    <n v="0.15275291169078251"/>
    <n v="0.12405900953579238"/>
    <n v="-0.18784520594327622"/>
  </r>
  <r>
    <x v="11"/>
    <n v="1461"/>
    <n v="184"/>
    <n v="344"/>
    <n v="21915"/>
    <x v="0"/>
    <n v="9.0759753593429152E-2"/>
    <s v="Before"/>
    <n v="0.14571023439468936"/>
    <n v="0.13069247131672229"/>
    <n v="-0.10306594550721836"/>
  </r>
  <r>
    <x v="12"/>
    <n v="84"/>
    <n v="897"/>
    <n v="85"/>
    <n v="588"/>
    <x v="3"/>
    <n v="1.8129251700680271"/>
    <s v="N/A"/>
    <n v="0.14993967076556"/>
    <n v="0.11735833110288131"/>
    <n v="-0.21729632655804373"/>
  </r>
  <r>
    <x v="13"/>
    <n v="3961"/>
    <n v="761"/>
    <n v="131"/>
    <n v="67337"/>
    <x v="2"/>
    <n v="7.2070332803659209E-2"/>
    <s v="Before"/>
    <n v="0.14149489439597032"/>
    <n v="0.16515724956545885"/>
    <n v="0.16723115890860313"/>
  </r>
  <r>
    <x v="14"/>
    <n v="1762"/>
    <n v="405"/>
    <n v="423"/>
    <n v="22906"/>
    <x v="0"/>
    <n v="0.11307081114118571"/>
    <s v="Before"/>
    <n v="0.14510319515346404"/>
    <n v="0.12685871855228623"/>
    <n v="-0.12573449248917012"/>
  </r>
  <r>
    <x v="15"/>
    <n v="904"/>
    <n v="973"/>
    <n v="63"/>
    <n v="11752"/>
    <x v="2"/>
    <n v="0.1650782845473111"/>
    <s v="Before"/>
    <n v="0.14257264911505727"/>
    <n v="0.11658627942753458"/>
    <n v="-0.18226756568541755"/>
  </r>
  <r>
    <x v="16"/>
    <n v="3095"/>
    <n v="39"/>
    <n v="78"/>
    <n v="55710"/>
    <x v="3"/>
    <n v="5.7655717106444085E-2"/>
    <s v="N/A"/>
    <n v="0.14021616885005311"/>
    <n v="0.15816434580350344"/>
    <n v="0.12800361827489434"/>
  </r>
  <r>
    <x v="17"/>
    <n v="1674"/>
    <n v="929"/>
    <n v="37"/>
    <n v="21762"/>
    <x v="4"/>
    <n v="0.12131237937689551"/>
    <s v="Before"/>
    <n v="0.13993958279146226"/>
    <n v="0.1231760447752452"/>
    <n v="-0.11979125335251328"/>
  </r>
  <r>
    <x v="18"/>
    <n v="4661"/>
    <n v="935"/>
    <n v="433"/>
    <n v="23305"/>
    <x v="2"/>
    <n v="0.25869984981763572"/>
    <s v="Before"/>
    <n v="0.14148951262607071"/>
    <n v="0.12597564002222314"/>
    <n v="-0.10964680219690712"/>
  </r>
  <r>
    <x v="19"/>
    <n v="4731"/>
    <n v="173"/>
    <n v="276"/>
    <n v="28386"/>
    <x v="2"/>
    <n v="0.18248432325794406"/>
    <s v="Before"/>
    <n v="0.14210365843338721"/>
    <n v="0.14027523016213284"/>
    <n v="-1.2866862763504929E-2"/>
  </r>
  <r>
    <x v="20"/>
    <n v="4934"/>
    <n v="971"/>
    <n v="156"/>
    <n v="39472"/>
    <x v="4"/>
    <n v="0.15355188488042157"/>
    <s v="Before"/>
    <n v="0.13609895913325223"/>
    <n v="0.127374851667064"/>
    <n v="-6.4101206370333855E-2"/>
  </r>
  <r>
    <x v="21"/>
    <n v="2358"/>
    <n v="784"/>
    <n v="344"/>
    <n v="35370"/>
    <x v="3"/>
    <n v="9.8558100084817649E-2"/>
    <s v="N/A"/>
    <n v="0.14435580420557206"/>
    <n v="0.14094164844074297"/>
    <n v="-2.3650976721151518E-2"/>
  </r>
  <r>
    <x v="19"/>
    <n v="4285"/>
    <n v="886"/>
    <n v="376"/>
    <n v="55705"/>
    <x v="2"/>
    <n v="9.9578134817341346E-2"/>
    <s v="Before"/>
    <n v="0.14004854211141993"/>
    <n v="0.1338829900112444"/>
    <n v="-4.4024393308359687E-2"/>
  </r>
  <r>
    <x v="22"/>
    <n v="4516"/>
    <n v="836"/>
    <n v="169"/>
    <n v="49676"/>
    <x v="4"/>
    <n v="0.11114018842096787"/>
    <s v="Before"/>
    <n v="0.14055147466128018"/>
    <n v="0.16507616777631764"/>
    <n v="0.17448904875697935"/>
  </r>
  <r>
    <x v="23"/>
    <n v="4767"/>
    <n v="190"/>
    <n v="340"/>
    <n v="28602"/>
    <x v="2"/>
    <n v="0.18519683938186141"/>
    <s v="Before"/>
    <n v="0.142835922378516"/>
    <n v="0.18004672920404197"/>
    <n v="0.26051434545237939"/>
  </r>
  <r>
    <x v="24"/>
    <n v="4840"/>
    <n v="658"/>
    <n v="211"/>
    <n v="43560"/>
    <x v="2"/>
    <n v="0.13106060606060607"/>
    <s v="Before"/>
    <n v="0.14659524082194045"/>
    <n v="0.13311888061261737"/>
    <n v="-9.1929043083273917E-2"/>
  </r>
  <r>
    <x v="21"/>
    <n v="249"/>
    <n v="592"/>
    <n v="230"/>
    <n v="1494"/>
    <x v="4"/>
    <n v="0.7168674698795181"/>
    <s v="Before"/>
    <n v="0.1412090196504773"/>
    <n v="0.15772452173718804"/>
    <n v="0.11695784113217525"/>
  </r>
  <r>
    <x v="25"/>
    <n v="59"/>
    <n v="163"/>
    <n v="93"/>
    <n v="590"/>
    <x v="1"/>
    <n v="0.53389830508474578"/>
    <s v="Before"/>
    <n v="0.13833968166585517"/>
    <n v="0.1323947690385899"/>
    <n v="-4.2973299892539653E-2"/>
  </r>
  <r>
    <x v="26"/>
    <n v="2878"/>
    <n v="248"/>
    <n v="416"/>
    <n v="43170"/>
    <x v="2"/>
    <n v="8.2047718322909427E-2"/>
    <s v="Before"/>
    <n v="0.13899519533026208"/>
    <n v="0.14236727582160197"/>
    <n v="2.4260410464747299E-2"/>
  </r>
  <r>
    <x v="27"/>
    <n v="3559"/>
    <n v="59"/>
    <n v="289"/>
    <n v="35590"/>
    <x v="0"/>
    <n v="0.10977802753582468"/>
    <s v="Before"/>
    <n v="0.13647004489924253"/>
    <n v="0.18871031522254803"/>
    <n v="0.3827966083097219"/>
  </r>
  <r>
    <x v="28"/>
    <n v="1263"/>
    <n v="397"/>
    <n v="357"/>
    <n v="25260"/>
    <x v="4"/>
    <n v="7.984956452889945E-2"/>
    <s v="Before"/>
    <n v="0.13755889384117556"/>
    <n v="8.7313958203482409E-2"/>
    <n v="-0.36526126544537041"/>
  </r>
  <r>
    <x v="29"/>
    <n v="1188"/>
    <n v="470"/>
    <n v="174"/>
    <n v="7128"/>
    <x v="4"/>
    <n v="0.25701459034792368"/>
    <s v="Before"/>
    <n v="0.13537157369781452"/>
    <n v="0.11781690458562549"/>
    <n v="-0.1296776615109442"/>
  </r>
  <r>
    <x v="30"/>
    <n v="2946"/>
    <n v="498"/>
    <n v="367"/>
    <n v="29460"/>
    <x v="2"/>
    <n v="0.12936184657162253"/>
    <s v="Before"/>
    <n v="0.13908023271334788"/>
    <n v="0.13096754839520161"/>
    <n v="-5.8330965945872143E-2"/>
  </r>
  <r>
    <x v="31"/>
    <n v="2551"/>
    <n v="915"/>
    <n v="205"/>
    <n v="30612"/>
    <x v="1"/>
    <n v="0.1199202926956749"/>
    <s v="Before"/>
    <n v="0.14475574925216136"/>
    <n v="8.9136009520626183E-2"/>
    <n v="-0.38423164550547007"/>
  </r>
  <r>
    <x v="32"/>
    <n v="2754"/>
    <n v="130"/>
    <n v="90"/>
    <n v="22032"/>
    <x v="2"/>
    <n v="0.13498547567175018"/>
    <s v="Before"/>
    <n v="0.13308646071899635"/>
    <n v="0.16885471751867312"/>
    <n v="0.26875954628622351"/>
  </r>
  <r>
    <x v="33"/>
    <n v="3160"/>
    <n v="204"/>
    <n v="297"/>
    <n v="44240"/>
    <x v="4"/>
    <n v="8.2753164556962022E-2"/>
    <s v="Before"/>
    <n v="0.14237744495533716"/>
    <n v="0.1234105433021129"/>
    <n v="-0.13321563439471784"/>
  </r>
  <r>
    <x v="34"/>
    <n v="2418"/>
    <n v="754"/>
    <n v="54"/>
    <n v="43524"/>
    <x v="0"/>
    <n v="7.412002573292896E-2"/>
    <s v="Before"/>
    <n v="0.14240159228201818"/>
    <n v="0.11165978590260062"/>
    <n v="-0.21588105783631395"/>
  </r>
  <r>
    <x v="35"/>
    <n v="606"/>
    <n v="789"/>
    <n v="470"/>
    <n v="7878"/>
    <x v="2"/>
    <n v="0.23673521198273673"/>
    <s v="Before"/>
    <n v="0.13776742946023768"/>
    <n v="0.15065663081412381"/>
    <n v="9.3557681989023408E-2"/>
  </r>
  <r>
    <x v="36"/>
    <n v="4561"/>
    <n v="51"/>
    <n v="441"/>
    <n v="22805"/>
    <x v="1"/>
    <n v="0.22157421618066214"/>
    <s v="Before"/>
    <n v="0.14096599313669897"/>
    <n v="0.14611352353030621"/>
    <n v="3.6516114837821391E-2"/>
  </r>
  <r>
    <x v="37"/>
    <n v="2692"/>
    <n v="115"/>
    <n v="64"/>
    <n v="21536"/>
    <x v="1"/>
    <n v="0.13331166419019316"/>
    <s v="Before"/>
    <n v="0.13353818987541413"/>
    <n v="0.21675017874832081"/>
    <n v="0.62313252074586445"/>
  </r>
  <r>
    <x v="38"/>
    <n v="736"/>
    <n v="771"/>
    <n v="225"/>
    <n v="5152"/>
    <x v="0"/>
    <n v="0.33618012422360249"/>
    <s v="Before"/>
    <n v="0.14218515802794374"/>
    <n v="0.11454622067989734"/>
    <n v="-0.19438693694467393"/>
  </r>
  <r>
    <x v="39"/>
    <n v="2120"/>
    <n v="158"/>
    <n v="488"/>
    <n v="12720"/>
    <x v="1"/>
    <n v="0.21745283018867925"/>
    <s v="Before"/>
    <n v="0.139311486871216"/>
    <n v="0.11035204615556551"/>
    <n v="-0.20787546932451823"/>
  </r>
  <r>
    <x v="40"/>
    <n v="1556"/>
    <n v="195"/>
    <n v="131"/>
    <n v="9336"/>
    <x v="1"/>
    <n v="0.2015852613538989"/>
    <s v="Before"/>
    <n v="0.1317285113556117"/>
    <n v="0.11970033271888747"/>
    <n v="-9.1310366396331583E-2"/>
  </r>
  <r>
    <x v="41"/>
    <n v="3196"/>
    <n v="941"/>
    <n v="376"/>
    <n v="35156"/>
    <x v="2"/>
    <n v="0.1283706906360223"/>
    <s v="Before"/>
    <n v="0.1334812669054129"/>
    <n v="0.12461769329692948"/>
    <n v="-6.6403127674569462E-2"/>
  </r>
  <r>
    <x v="42"/>
    <n v="4725"/>
    <n v="400"/>
    <n v="362"/>
    <n v="75600"/>
    <x v="4"/>
    <n v="7.2579365079365077E-2"/>
    <s v="Before"/>
    <n v="0.13776548465266131"/>
    <n v="0.11908185638233797"/>
    <n v="-0.13561907989819871"/>
  </r>
  <r>
    <x v="43"/>
    <n v="1257"/>
    <n v="19"/>
    <n v="351"/>
    <n v="12570"/>
    <x v="1"/>
    <n v="0.12943516308671441"/>
    <s v="Before"/>
    <n v="0.14013722746784535"/>
    <n v="0.14906007454183248"/>
    <n v="6.3672210698149365E-2"/>
  </r>
  <r>
    <x v="41"/>
    <n v="1238"/>
    <n v="366"/>
    <n v="444"/>
    <n v="19808"/>
    <x v="3"/>
    <n v="0.10339256865912763"/>
    <s v="N/A"/>
    <n v="0.13776657467747097"/>
    <n v="0.11323673117254116"/>
    <n v="-0.17805366477577955"/>
  </r>
  <r>
    <x v="44"/>
    <n v="4712"/>
    <n v="568"/>
    <n v="127"/>
    <n v="84816"/>
    <x v="2"/>
    <n v="6.3749764195434822E-2"/>
    <s v="Before"/>
    <n v="0.13454762926343961"/>
    <n v="0.13832832373743259"/>
    <n v="2.809930204411492E-2"/>
  </r>
  <r>
    <x v="45"/>
    <n v="4494"/>
    <n v="717"/>
    <n v="45"/>
    <n v="62916"/>
    <x v="0"/>
    <n v="8.3539958039290485E-2"/>
    <s v="Before"/>
    <n v="0.14327687682520662"/>
    <n v="0.11528715546941851"/>
    <n v="-0.19535407231087759"/>
  </r>
  <r>
    <x v="11"/>
    <n v="4054"/>
    <n v="488"/>
    <n v="373"/>
    <n v="77026"/>
    <x v="0"/>
    <n v="6.3809622724794221E-2"/>
    <s v="Before"/>
    <n v="0.1342568389082183"/>
    <n v="0.13372429944618547"/>
    <n v="-3.966572327811814E-3"/>
  </r>
  <r>
    <x v="46"/>
    <n v="432"/>
    <n v="624"/>
    <n v="123"/>
    <n v="6912"/>
    <x v="4"/>
    <n v="0.17057291666666666"/>
    <s v="Before"/>
    <n v="0.13308461183847178"/>
    <n v="0.1480701909451321"/>
    <n v="0.11260189213196715"/>
  </r>
  <r>
    <x v="47"/>
    <n v="2382"/>
    <n v="265"/>
    <n v="134"/>
    <n v="38112"/>
    <x v="4"/>
    <n v="7.2969143576826198E-2"/>
    <s v="Before"/>
    <n v="0.14047240251877849"/>
    <n v="0.11973802321378879"/>
    <n v="-0.14760464641599552"/>
  </r>
  <r>
    <x v="48"/>
    <n v="4182"/>
    <n v="640"/>
    <n v="240"/>
    <n v="50184"/>
    <x v="2"/>
    <n v="0.10086880280567512"/>
    <s v="Before"/>
    <n v="0.13435894833087461"/>
    <n v="0.14794700229155383"/>
    <n v="0.10113248227588868"/>
  </r>
  <r>
    <x v="0"/>
    <n v="1950"/>
    <n v="295"/>
    <n v="478"/>
    <n v="37050"/>
    <x v="3"/>
    <n v="7.349527665317139E-2"/>
    <s v="N/A"/>
    <n v="0.14041262202190685"/>
    <n v="0.10228952773266833"/>
    <n v="-0.27150760195397988"/>
  </r>
  <r>
    <x v="49"/>
    <n v="2164"/>
    <n v="549"/>
    <n v="274"/>
    <n v="28132"/>
    <x v="4"/>
    <n v="0.10617801791554102"/>
    <s v="Before"/>
    <n v="0.14093448632215344"/>
    <n v="0.12849381844243779"/>
    <n v="-8.8272701766395886E-2"/>
  </r>
  <r>
    <x v="50"/>
    <n v="914"/>
    <n v="464"/>
    <n v="246"/>
    <n v="11882"/>
    <x v="4"/>
    <n v="0.13667732704931829"/>
    <s v="Before"/>
    <n v="0.13866026901491552"/>
    <n v="0.1344446947478046"/>
    <n v="-3.0402178627372E-2"/>
  </r>
  <r>
    <x v="51"/>
    <n v="4799"/>
    <n v="694"/>
    <n v="289"/>
    <n v="43191"/>
    <x v="3"/>
    <n v="0.13387048227640017"/>
    <s v="N/A"/>
    <n v="0.13567506206925189"/>
    <n v="0.125624400212795"/>
    <n v="-7.4078918433269539E-2"/>
  </r>
  <r>
    <x v="52"/>
    <n v="3452"/>
    <n v="652"/>
    <n v="442"/>
    <n v="65588"/>
    <x v="2"/>
    <n v="6.9311459413307311E-2"/>
    <s v="Before"/>
    <n v="0.14218846199577481"/>
    <n v="0.14527223136672801"/>
    <n v="2.1687901589686188E-2"/>
  </r>
  <r>
    <x v="53"/>
    <n v="2603"/>
    <n v="690"/>
    <n v="205"/>
    <n v="13015"/>
    <x v="1"/>
    <n v="0.26876680752977333"/>
    <s v="Before"/>
    <n v="0.14060730306038749"/>
    <n v="0.16374216931958532"/>
    <n v="0.1645353104401836"/>
  </r>
  <r>
    <x v="54"/>
    <n v="3704"/>
    <n v="186"/>
    <n v="458"/>
    <n v="25928"/>
    <x v="3"/>
    <n v="0.16769515581610614"/>
    <s v="N/A"/>
    <n v="0.1416426731192727"/>
    <n v="0.13733598864082616"/>
    <n v="-3.0405275356671771E-2"/>
  </r>
  <r>
    <x v="55"/>
    <n v="3784"/>
    <n v="808"/>
    <n v="404"/>
    <n v="56760"/>
    <x v="1"/>
    <n v="8.8019732205778717E-2"/>
    <s v="Before"/>
    <n v="0.14423992407172864"/>
    <n v="0.12215267228159442"/>
    <n v="-0.15312855946284692"/>
  </r>
  <r>
    <x v="56"/>
    <n v="302"/>
    <n v="47"/>
    <n v="430"/>
    <n v="5738"/>
    <x v="4"/>
    <n v="0.13576158940397351"/>
    <s v="Before"/>
    <n v="0.1466485699313986"/>
    <n v="0.11540794599056914"/>
    <n v="-0.21303053930524968"/>
  </r>
  <r>
    <x v="57"/>
    <n v="3770"/>
    <n v="917"/>
    <n v="129"/>
    <n v="71630"/>
    <x v="0"/>
    <n v="6.7234398994834563E-2"/>
    <s v="Before"/>
    <n v="0.13619036127930487"/>
    <n v="0.11984835572218791"/>
    <n v="-0.11999384834292415"/>
  </r>
  <r>
    <x v="58"/>
    <n v="4929"/>
    <n v="749"/>
    <n v="452"/>
    <n v="93651"/>
    <x v="4"/>
    <n v="6.5455787978772245E-2"/>
    <s v="Before"/>
    <n v="0.14183793879409518"/>
    <n v="0.11054551264679638"/>
    <n v="-0.22062098768035343"/>
  </r>
  <r>
    <x v="59"/>
    <n v="4905"/>
    <n v="845"/>
    <n v="129"/>
    <n v="98100"/>
    <x v="1"/>
    <n v="5.9928644240570844E-2"/>
    <s v="Before"/>
    <n v="0.1355150565025536"/>
    <n v="0.16246651004926496"/>
    <n v="0.19888161686449574"/>
  </r>
  <r>
    <x v="42"/>
    <n v="4606"/>
    <n v="931"/>
    <n v="230"/>
    <n v="92120"/>
    <x v="3"/>
    <n v="6.2603126356925748E-2"/>
    <s v="N/A"/>
    <n v="0.14448672718423328"/>
    <n v="0.139560983583283"/>
    <n v="-3.4091322413784875E-2"/>
  </r>
  <r>
    <x v="60"/>
    <n v="3874"/>
    <n v="884"/>
    <n v="19"/>
    <n v="38740"/>
    <x v="1"/>
    <n v="0.123309241094476"/>
    <s v="Before"/>
    <n v="0.14200604840809658"/>
    <n v="0.10887765439648289"/>
    <n v="-0.23328861258366548"/>
  </r>
  <r>
    <x v="61"/>
    <n v="1575"/>
    <n v="771"/>
    <n v="486"/>
    <n v="25200"/>
    <x v="4"/>
    <n v="0.11238095238095239"/>
    <s v="During"/>
    <n v="0.13936950292852368"/>
    <n v="0.13926971121602091"/>
    <n v="-7.160225903506711E-4"/>
  </r>
  <r>
    <x v="62"/>
    <n v="142"/>
    <n v="784"/>
    <n v="183"/>
    <n v="1704"/>
    <x v="4"/>
    <n v="0.6508215962441315"/>
    <s v="Before"/>
    <n v="0.1385063292178077"/>
    <n v="0.1560960934047711"/>
    <n v="0.1269961039780548"/>
  </r>
  <r>
    <x v="63"/>
    <n v="3535"/>
    <n v="494"/>
    <n v="152"/>
    <n v="53025"/>
    <x v="4"/>
    <n v="7.8849599245638849E-2"/>
    <s v="Before"/>
    <n v="0.13732135349581057"/>
    <n v="0.14164632872309776"/>
    <n v="3.1495285454050996E-2"/>
  </r>
  <r>
    <x v="64"/>
    <n v="4419"/>
    <n v="236"/>
    <n v="369"/>
    <n v="44190"/>
    <x v="0"/>
    <n v="0.11369088028965829"/>
    <s v="Before"/>
    <n v="0.13116498843708535"/>
    <n v="0.18953815262977747"/>
    <n v="0.44503617076664792"/>
  </r>
  <r>
    <x v="65"/>
    <n v="4518"/>
    <n v="285"/>
    <n v="383"/>
    <n v="67770"/>
    <x v="1"/>
    <n v="7.6523535487678915E-2"/>
    <s v="Before"/>
    <n v="0.13885329082763245"/>
    <n v="0.16541282893767525"/>
    <n v="0.19127770002234135"/>
  </r>
  <r>
    <x v="66"/>
    <n v="2647"/>
    <n v="304"/>
    <n v="170"/>
    <n v="18529"/>
    <x v="2"/>
    <n v="0.16843866371633656"/>
    <s v="Before"/>
    <n v="0.14082434317232786"/>
    <n v="0.10624083361779491"/>
    <n v="-0.24557905810512351"/>
  </r>
  <r>
    <x v="67"/>
    <n v="4750"/>
    <n v="151"/>
    <n v="415"/>
    <n v="38000"/>
    <x v="4"/>
    <n v="0.13989473684210527"/>
    <s v="Before"/>
    <n v="0.13498635015400751"/>
    <n v="0.17700895342045508"/>
    <n v="0.3113100192612327"/>
  </r>
  <r>
    <x v="68"/>
    <n v="1878"/>
    <n v="62"/>
    <n v="179"/>
    <n v="37560"/>
    <x v="4"/>
    <n v="5.6416400425985093E-2"/>
    <s v="Before"/>
    <n v="0.143388341024456"/>
    <n v="9.3185175600197345E-2"/>
    <n v="-0.35012027523002104"/>
  </r>
  <r>
    <x v="18"/>
    <n v="2107"/>
    <n v="550"/>
    <n v="349"/>
    <n v="35819"/>
    <x v="4"/>
    <n v="8.3921940869371006E-2"/>
    <s v="Before"/>
    <n v="0.13230641467628362"/>
    <n v="0.14363239740562464"/>
    <n v="8.5604184476259088E-2"/>
  </r>
  <r>
    <x v="69"/>
    <n v="1164"/>
    <n v="616"/>
    <n v="324"/>
    <n v="6984"/>
    <x v="0"/>
    <n v="0.30126002290950743"/>
    <s v="Before"/>
    <n v="0.14049402941652736"/>
    <n v="0.10846000741043552"/>
    <n v="-0.2280098459637705"/>
  </r>
  <r>
    <x v="70"/>
    <n v="3099"/>
    <n v="694"/>
    <n v="171"/>
    <n v="43386"/>
    <x v="2"/>
    <n v="9.1365878393951966E-2"/>
    <s v="Before"/>
    <n v="0.138646796016104"/>
    <n v="0.11069212858691957"/>
    <n v="-0.20162505180384738"/>
  </r>
  <r>
    <x v="71"/>
    <n v="1570"/>
    <n v="187"/>
    <n v="260"/>
    <n v="25120"/>
    <x v="4"/>
    <n v="8.0294585987261149E-2"/>
    <s v="Before"/>
    <n v="0.14025491697129189"/>
    <n v="0.12473929943175469"/>
    <n v="-0.1106244107129094"/>
  </r>
  <r>
    <x v="72"/>
    <n v="296"/>
    <n v="60"/>
    <n v="141"/>
    <n v="5624"/>
    <x v="1"/>
    <n v="8.837126600284495E-2"/>
    <s v="Before"/>
    <n v="0.14018313132622706"/>
    <n v="0.14131659691009932"/>
    <n v="8.0856061150076097E-3"/>
  </r>
  <r>
    <x v="73"/>
    <n v="4453"/>
    <n v="111"/>
    <n v="420"/>
    <n v="31171"/>
    <x v="3"/>
    <n v="0.15989220750056141"/>
    <s v="N/A"/>
    <n v="0.13613215738639889"/>
    <n v="0.12386886343516798"/>
    <n v="-9.0083740584692637E-2"/>
  </r>
  <r>
    <x v="44"/>
    <n v="3367"/>
    <n v="302"/>
    <n v="57"/>
    <n v="63973"/>
    <x v="1"/>
    <n v="5.8243321401216137E-2"/>
    <s v="Before"/>
    <n v="0.14476179235243478"/>
    <n v="0.14748133941958672"/>
    <n v="1.878635945962159E-2"/>
  </r>
  <r>
    <x v="74"/>
    <n v="4303"/>
    <n v="451"/>
    <n v="286"/>
    <n v="86060"/>
    <x v="2"/>
    <n v="5.8563792702765516E-2"/>
    <s v="Before"/>
    <n v="0.1404216170809047"/>
    <n v="0.16065370152783898"/>
    <n v="0.1440809817428427"/>
  </r>
  <r>
    <x v="75"/>
    <n v="3428"/>
    <n v="305"/>
    <n v="85"/>
    <n v="58276"/>
    <x v="4"/>
    <n v="6.5515821264328367E-2"/>
    <s v="Before"/>
    <n v="0.14240476667480076"/>
    <n v="0.13482987203952709"/>
    <n v="-5.3192704234205114E-2"/>
  </r>
  <r>
    <x v="76"/>
    <n v="4872"/>
    <n v="925"/>
    <n v="176"/>
    <n v="82824"/>
    <x v="1"/>
    <n v="7.2116777745580993E-2"/>
    <s v="Before"/>
    <n v="0.14150779665412383"/>
    <n v="0.16116296310349851"/>
    <n v="0.13889811666996857"/>
  </r>
  <r>
    <x v="77"/>
    <n v="4671"/>
    <n v="876"/>
    <n v="366"/>
    <n v="51381"/>
    <x v="4"/>
    <n v="0.11508145034156594"/>
    <s v="Before"/>
    <n v="0.13648043687588943"/>
    <n v="0.12894071252403239"/>
    <n v="-5.5243993384292908E-2"/>
  </r>
  <r>
    <x v="78"/>
    <n v="2283"/>
    <n v="210"/>
    <n v="130"/>
    <n v="22830"/>
    <x v="1"/>
    <n v="0.11489268506351293"/>
    <s v="Before"/>
    <n v="0.14409877497624612"/>
    <n v="0.14059706852391532"/>
    <n v="-2.4300737136093223E-2"/>
  </r>
  <r>
    <x v="79"/>
    <n v="1869"/>
    <n v="453"/>
    <n v="490"/>
    <n v="14952"/>
    <x v="4"/>
    <n v="0.18806848582129482"/>
    <s v="Before"/>
    <n v="0.14083422072363033"/>
    <n v="8.6704344435094116E-2"/>
    <n v="-0.3843517293624209"/>
  </r>
  <r>
    <x v="80"/>
    <n v="2825"/>
    <n v="535"/>
    <n v="295"/>
    <n v="45200"/>
    <x v="0"/>
    <n v="8.0862831858407078E-2"/>
    <s v="Before"/>
    <n v="0.13597776002181031"/>
    <n v="0.14639839366927113"/>
    <n v="7.6634838269062464E-2"/>
  </r>
  <r>
    <x v="81"/>
    <n v="1377"/>
    <n v="796"/>
    <n v="387"/>
    <n v="22032"/>
    <x v="3"/>
    <n v="0.11619462599854757"/>
    <s v="N/A"/>
    <n v="0.13873772167049953"/>
    <n v="0.15255852875957554"/>
    <n v="9.9618235925051951E-2"/>
  </r>
  <r>
    <x v="82"/>
    <n v="4663"/>
    <n v="145"/>
    <n v="225"/>
    <n v="69945"/>
    <x v="4"/>
    <n v="7.1956537279290869E-2"/>
    <s v="Before"/>
    <n v="0.14105952363764218"/>
    <n v="0.13908880080680197"/>
    <n v="-1.397085981874333E-2"/>
  </r>
  <r>
    <x v="83"/>
    <n v="4689"/>
    <n v="134"/>
    <n v="403"/>
    <n v="51579"/>
    <x v="4"/>
    <n v="0.10132030477519921"/>
    <s v="Before"/>
    <n v="0.14292679920256687"/>
    <n v="0.11835893687139909"/>
    <n v="-0.17189122311728477"/>
  </r>
  <r>
    <x v="84"/>
    <n v="3774"/>
    <n v="239"/>
    <n v="39"/>
    <n v="60384"/>
    <x v="2"/>
    <n v="6.7103868574456813E-2"/>
    <s v="During"/>
    <n v="0.13781043047349587"/>
    <n v="0.17259737912516637"/>
    <n v="0.2524260938170485"/>
  </r>
  <r>
    <x v="22"/>
    <n v="4441"/>
    <n v="511"/>
    <n v="70"/>
    <n v="53292"/>
    <x v="4"/>
    <n v="9.4235532537716729E-2"/>
    <s v="Before"/>
    <n v="0.13801576396401663"/>
    <n v="0.19170438345201621"/>
    <n v="0.38900353079954864"/>
  </r>
  <r>
    <x v="85"/>
    <n v="3663"/>
    <n v="17"/>
    <n v="295"/>
    <n v="51282"/>
    <x v="2"/>
    <n v="7.7512577512577507E-2"/>
    <s v="Before"/>
    <n v="0.14105542935694093"/>
    <n v="0.11007875991080103"/>
    <n v="-0.21960636033196143"/>
  </r>
  <r>
    <x v="86"/>
    <n v="985"/>
    <n v="932"/>
    <n v="287"/>
    <n v="6895"/>
    <x v="4"/>
    <n v="0.31965192168237855"/>
    <s v="Before"/>
    <n v="0.14830338262623941"/>
    <n v="8.0081064236792274E-2"/>
    <n v="-0.460018626556779"/>
  </r>
  <r>
    <x v="87"/>
    <n v="129"/>
    <n v="643"/>
    <n v="136"/>
    <n v="1290"/>
    <x v="4"/>
    <n v="0.70387596899224802"/>
    <s v="Before"/>
    <n v="0.14408518333335502"/>
    <n v="0.11638223343437969"/>
    <n v="-0.19226786028985279"/>
  </r>
  <r>
    <x v="88"/>
    <n v="3796"/>
    <n v="667"/>
    <n v="395"/>
    <n v="64532"/>
    <x v="3"/>
    <n v="7.5280481001673588E-2"/>
    <s v="N/A"/>
    <n v="0.14161039433354264"/>
    <n v="0.11302600845763197"/>
    <n v="-0.20185231465837397"/>
  </r>
  <r>
    <x v="89"/>
    <n v="3773"/>
    <n v="299"/>
    <n v="38"/>
    <n v="71687"/>
    <x v="0"/>
    <n v="5.7332570758993957E-2"/>
    <s v="Before"/>
    <n v="0.13958264981402113"/>
    <n v="0.14917564253459142"/>
    <n v="6.8726254540603174E-2"/>
  </r>
  <r>
    <x v="90"/>
    <n v="305"/>
    <n v="187"/>
    <n v="243"/>
    <n v="4575"/>
    <x v="2"/>
    <n v="0.16065573770491803"/>
    <s v="Before"/>
    <n v="0.14406235021924588"/>
    <n v="0.12186494069718767"/>
    <n v="-0.15408196165255092"/>
  </r>
  <r>
    <x v="43"/>
    <n v="1702"/>
    <n v="750"/>
    <n v="179"/>
    <n v="34040"/>
    <x v="0"/>
    <n v="7.7291421856639245E-2"/>
    <s v="Before"/>
    <n v="0.13180315527214992"/>
    <n v="0.1461265402027537"/>
    <n v="0.10867254961407075"/>
  </r>
  <r>
    <x v="91"/>
    <n v="199"/>
    <n v="772"/>
    <n v="400"/>
    <n v="3582"/>
    <x v="3"/>
    <n v="0.38274706867671693"/>
    <s v="N/A"/>
    <n v="0.13927859079239982"/>
    <n v="0.11896568773925814"/>
    <n v="-0.14584368593604494"/>
  </r>
  <r>
    <x v="92"/>
    <n v="1488"/>
    <n v="417"/>
    <n v="168"/>
    <n v="19344"/>
    <x v="2"/>
    <n v="0.1071650124069479"/>
    <s v="Before"/>
    <n v="0.1401466809374296"/>
    <n v="0.13482517018205653"/>
    <n v="-3.7971008087939892E-2"/>
  </r>
  <r>
    <x v="93"/>
    <n v="754"/>
    <n v="197"/>
    <n v="257"/>
    <n v="6786"/>
    <x v="2"/>
    <n v="0.17801355732390214"/>
    <s v="Before"/>
    <n v="0.13566608481472522"/>
    <n v="0.15579821266254726"/>
    <n v="0.14839469920073117"/>
  </r>
  <r>
    <x v="94"/>
    <n v="3338"/>
    <n v="277"/>
    <n v="118"/>
    <n v="60084"/>
    <x v="3"/>
    <n v="6.2129685107516146E-2"/>
    <s v="N/A"/>
    <n v="0.1388209812505041"/>
    <n v="0.15824880985865963"/>
    <n v="0.13994879184075057"/>
  </r>
  <r>
    <x v="95"/>
    <n v="4321"/>
    <n v="874"/>
    <n v="172"/>
    <n v="30247"/>
    <x v="4"/>
    <n v="0.17743908486792079"/>
    <s v="Before"/>
    <n v="0.13758243317651794"/>
    <n v="0.19841007045968767"/>
    <n v="0.44211776081273407"/>
  </r>
  <r>
    <x v="96"/>
    <n v="1436"/>
    <n v="765"/>
    <n v="496"/>
    <n v="12924"/>
    <x v="2"/>
    <n v="0.20868152274837512"/>
    <s v="Before"/>
    <n v="0.13667197433507083"/>
    <n v="0.15098350231626856"/>
    <n v="0.10471443067114092"/>
  </r>
  <r>
    <x v="84"/>
    <n v="2404"/>
    <n v="363"/>
    <n v="138"/>
    <n v="19232"/>
    <x v="4"/>
    <n v="0.15105033277870217"/>
    <s v="Before"/>
    <n v="0.13805937761262124"/>
    <n v="0.14868542949409852"/>
    <n v="7.6967259053512163E-2"/>
  </r>
  <r>
    <x v="97"/>
    <n v="360"/>
    <n v="590"/>
    <n v="393"/>
    <n v="4680"/>
    <x v="1"/>
    <n v="0.28696581196581195"/>
    <s v="Before"/>
    <n v="0.13635438320039703"/>
    <n v="0.10376938078879426"/>
    <n v="-0.23897290022362763"/>
  </r>
  <r>
    <x v="98"/>
    <n v="2234"/>
    <n v="653"/>
    <n v="432"/>
    <n v="11170"/>
    <x v="2"/>
    <n v="0.29713518352730528"/>
    <s v="Before"/>
    <n v="0.1378551258140974"/>
    <n v="0.11536258569440105"/>
    <n v="-0.16316070938144397"/>
  </r>
  <r>
    <x v="32"/>
    <n v="1652"/>
    <n v="89"/>
    <n v="357"/>
    <n v="29736"/>
    <x v="2"/>
    <n v="7.055421038471886E-2"/>
    <s v="Before"/>
    <n v="0.13538457568524828"/>
    <n v="0.11530282771592618"/>
    <n v="-0.14833113645094687"/>
  </r>
  <r>
    <x v="99"/>
    <n v="2143"/>
    <n v="12"/>
    <n v="204"/>
    <n v="40717"/>
    <x v="1"/>
    <n v="5.7936488444630008E-2"/>
    <s v="Before"/>
    <n v="0.13840746648214033"/>
    <n v="0.1526250895406244"/>
    <n v="0.10272294855074644"/>
  </r>
  <r>
    <x v="100"/>
    <n v="3689"/>
    <n v="48"/>
    <n v="306"/>
    <n v="40579"/>
    <x v="1"/>
    <n v="9.9632815002833983E-2"/>
    <s v="Before"/>
    <n v="0.13959611391161986"/>
    <n v="0.11802035129326716"/>
    <n v="-0.15455847597600461"/>
  </r>
  <r>
    <x v="101"/>
    <n v="3009"/>
    <n v="413"/>
    <n v="358"/>
    <n v="42126"/>
    <x v="1"/>
    <n v="8.9730807577268201E-2"/>
    <s v="Before"/>
    <n v="0.13636684334200022"/>
    <n v="0.1378258498526386"/>
    <n v="1.0699129457585763E-2"/>
  </r>
  <r>
    <x v="102"/>
    <n v="2174"/>
    <n v="658"/>
    <n v="15"/>
    <n v="13044"/>
    <x v="2"/>
    <n v="0.21826126954921804"/>
    <s v="Before"/>
    <n v="0.13710518542936248"/>
    <n v="0.13554439711520408"/>
    <n v="-1.1383875155929313E-2"/>
  </r>
  <r>
    <x v="50"/>
    <n v="3592"/>
    <n v="911"/>
    <n v="375"/>
    <n v="50288"/>
    <x v="4"/>
    <n v="9.7001272669424113E-2"/>
    <s v="Before"/>
    <n v="0.12754569285752712"/>
    <n v="9.9504787225240587E-2"/>
    <n v="-0.21984988284637083"/>
  </r>
  <r>
    <x v="78"/>
    <n v="725"/>
    <n v="88"/>
    <n v="428"/>
    <n v="14500"/>
    <x v="2"/>
    <n v="8.558620689655172E-2"/>
    <s v="Before"/>
    <n v="0.14009765648839834"/>
    <n v="0.17794223130403891"/>
    <n v="0.27012996337147532"/>
  </r>
  <r>
    <x v="103"/>
    <n v="3239"/>
    <n v="43"/>
    <n v="211"/>
    <n v="22673"/>
    <x v="1"/>
    <n v="0.15405989502933004"/>
    <s v="Before"/>
    <n v="0.13870098933617678"/>
    <n v="0.12744119787729122"/>
    <n v="-8.1180325481274102E-2"/>
  </r>
  <r>
    <x v="104"/>
    <n v="1606"/>
    <n v="547"/>
    <n v="316"/>
    <n v="32120"/>
    <x v="1"/>
    <n v="7.6867995018679955E-2"/>
    <s v="Before"/>
    <n v="0.13416851407846878"/>
    <n v="0.15100022185392889"/>
    <n v="0.12545199513513319"/>
  </r>
  <r>
    <x v="26"/>
    <n v="3929"/>
    <n v="262"/>
    <n v="278"/>
    <n v="43219"/>
    <x v="4"/>
    <n v="0.10340359564080613"/>
    <s v="Before"/>
    <n v="0.13551454876651642"/>
    <n v="0.13029192646181051"/>
    <n v="-3.8539200050794399E-2"/>
  </r>
  <r>
    <x v="105"/>
    <n v="929"/>
    <n v="192"/>
    <n v="322"/>
    <n v="16722"/>
    <x v="2"/>
    <n v="8.6293505561535699E-2"/>
    <s v="Before"/>
    <n v="0.13727024395872714"/>
    <n v="0.16150687288867766"/>
    <n v="0.17656141805384792"/>
  </r>
  <r>
    <x v="39"/>
    <n v="1108"/>
    <n v="177"/>
    <n v="212"/>
    <n v="8864"/>
    <x v="4"/>
    <n v="0.16888537906137185"/>
    <s v="Before"/>
    <n v="0.13671769329508443"/>
    <n v="0.13583547350293074"/>
    <n v="-6.4528574970143448E-3"/>
  </r>
  <r>
    <x v="106"/>
    <n v="3888"/>
    <n v="604"/>
    <n v="128"/>
    <n v="77760"/>
    <x v="0"/>
    <n v="5.941358024691358E-2"/>
    <s v="During"/>
    <n v="0.13664273090178733"/>
    <n v="0"/>
    <n v="0"/>
  </r>
  <r>
    <x v="107"/>
    <n v="3523"/>
    <n v="753"/>
    <n v="482"/>
    <n v="38753"/>
    <x v="1"/>
    <n v="0.12277759141227776"/>
    <s v="Before"/>
    <n v="0.13969973738689304"/>
    <n v="0"/>
    <n v="0"/>
  </r>
  <r>
    <x v="108"/>
    <n v="4188"/>
    <n v="942"/>
    <n v="118"/>
    <n v="20940"/>
    <x v="3"/>
    <n v="0.25062082139446035"/>
    <s v="N/A"/>
    <n v="0.13958924836504075"/>
    <n v="0"/>
    <n v="0"/>
  </r>
  <r>
    <x v="109"/>
    <n v="3711"/>
    <n v="352"/>
    <n v="290"/>
    <n v="48243"/>
    <x v="0"/>
    <n v="9.023070704558174E-2"/>
    <s v="Before"/>
    <n v="0.13606878418737359"/>
    <n v="0"/>
    <n v="0"/>
  </r>
  <r>
    <x v="33"/>
    <n v="4332"/>
    <n v="771"/>
    <n v="219"/>
    <n v="60648"/>
    <x v="2"/>
    <n v="8.7752275425405618E-2"/>
    <s v="Before"/>
    <n v="0"/>
    <n v="0"/>
    <n v="0"/>
  </r>
  <r>
    <x v="110"/>
    <n v="2147"/>
    <n v="430"/>
    <n v="393"/>
    <n v="17176"/>
    <x v="3"/>
    <n v="0.17291569632044715"/>
    <s v="N/A"/>
    <n v="0.13407056765259306"/>
    <n v="0.11289090565265376"/>
    <n v="-0.15797398616839275"/>
  </r>
  <r>
    <x v="38"/>
    <n v="2214"/>
    <n v="249"/>
    <n v="152"/>
    <n v="15498"/>
    <x v="3"/>
    <n v="0.16873144921925409"/>
    <s v="N/A"/>
    <n v="0.1328708286211035"/>
    <n v="0.27805910358003622"/>
    <n v="1.092702412302657"/>
  </r>
  <r>
    <x v="42"/>
    <n v="246"/>
    <n v="149"/>
    <n v="130"/>
    <n v="4674"/>
    <x v="2"/>
    <n v="0.11232349165596919"/>
    <s v="Before"/>
    <n v="0.14257004938205781"/>
    <n v="0.13964214882726117"/>
    <n v="-2.053657530096295E-2"/>
  </r>
  <r>
    <x v="19"/>
    <n v="4832"/>
    <n v="893"/>
    <n v="10"/>
    <n v="91808"/>
    <x v="3"/>
    <n v="6.2467323109097243E-2"/>
    <s v="N/A"/>
    <n v="0.13515299105633821"/>
    <n v="0.25578116037917659"/>
    <n v="0.89253051952475693"/>
  </r>
  <r>
    <x v="111"/>
    <n v="103"/>
    <n v="770"/>
    <n v="19"/>
    <n v="1030"/>
    <x v="4"/>
    <n v="0.86601941747572819"/>
    <s v="Before"/>
    <n v="0.14314699012854412"/>
    <n v="0.11041170164518836"/>
    <n v="-0.22868303730284442"/>
  </r>
  <r>
    <x v="112"/>
    <n v="2634"/>
    <n v="726"/>
    <n v="241"/>
    <n v="28974"/>
    <x v="0"/>
    <n v="0.12428384068475185"/>
    <s v="Before"/>
    <n v="0.13535214718209088"/>
    <n v="0.15357107880499343"/>
    <n v="0.1346039350110376"/>
  </r>
  <r>
    <x v="113"/>
    <n v="4808"/>
    <n v="772"/>
    <n v="320"/>
    <n v="72120"/>
    <x v="0"/>
    <n v="8.1808097615085965E-2"/>
    <s v="Before"/>
    <n v="0.135773030321166"/>
    <n v="0.16522583542427988"/>
    <n v="0.21692677134364885"/>
  </r>
  <r>
    <x v="82"/>
    <n v="3564"/>
    <n v="629"/>
    <n v="177"/>
    <n v="60588"/>
    <x v="3"/>
    <n v="7.2126493695121141E-2"/>
    <s v="N/A"/>
    <n v="0.13497271949641595"/>
    <n v="9.6684365048972626E-2"/>
    <n v="-0.28367476472503045"/>
  </r>
  <r>
    <x v="114"/>
    <n v="780"/>
    <n v="928"/>
    <n v="301"/>
    <n v="8580"/>
    <x v="2"/>
    <n v="0.23414918414918415"/>
    <s v="Before"/>
    <n v="0.13622704449895273"/>
    <n v="0.13507796437104305"/>
    <n v="-8.435036758934554E-3"/>
  </r>
  <r>
    <x v="115"/>
    <n v="4886"/>
    <n v="983"/>
    <n v="409"/>
    <n v="43974"/>
    <x v="0"/>
    <n v="0.14276618001546368"/>
    <s v="Before"/>
    <n v="0.1357482727858931"/>
    <n v="0.16096230395380634"/>
    <n v="0.18574108274424739"/>
  </r>
  <r>
    <x v="58"/>
    <n v="3440"/>
    <n v="13"/>
    <n v="20"/>
    <n v="58480"/>
    <x v="4"/>
    <n v="5.9387824897400819E-2"/>
    <s v="Before"/>
    <n v="0.13780082779625799"/>
    <n v="0.13220650227783487"/>
    <n v="-4.0597183688144987E-2"/>
  </r>
  <r>
    <x v="116"/>
    <n v="2089"/>
    <n v="476"/>
    <n v="69"/>
    <n v="16712"/>
    <x v="2"/>
    <n v="0.15761129727142173"/>
    <s v="Before"/>
    <n v="0.13188083296281547"/>
    <n v="8.8539360183014684E-2"/>
    <n v="-0.32864118163418904"/>
  </r>
  <r>
    <x v="117"/>
    <n v="4050"/>
    <n v="871"/>
    <n v="347"/>
    <n v="52650"/>
    <x v="1"/>
    <n v="0.10005698005698006"/>
    <s v="Before"/>
    <n v="0.13342249097785211"/>
    <n v="0.15121067919111167"/>
    <n v="0.13332226135856184"/>
  </r>
  <r>
    <x v="118"/>
    <n v="3861"/>
    <n v="960"/>
    <n v="101"/>
    <n v="69498"/>
    <x v="4"/>
    <n v="7.0822181933293038E-2"/>
    <s v="Before"/>
    <n v="0.13838989935222579"/>
    <n v="0.1046049071595235"/>
    <n v="-0.24412903218257095"/>
  </r>
  <r>
    <x v="119"/>
    <n v="2795"/>
    <n v="105"/>
    <n v="49"/>
    <n v="53105"/>
    <x v="2"/>
    <n v="5.5531494209584788E-2"/>
    <s v="Before"/>
    <n v="0.13046307470745569"/>
    <n v="0.16926087412827745"/>
    <n v="0.29738529087881865"/>
  </r>
  <r>
    <x v="120"/>
    <n v="4274"/>
    <n v="340"/>
    <n v="281"/>
    <n v="34192"/>
    <x v="2"/>
    <n v="0.14316214319138981"/>
    <s v="Before"/>
    <n v="0.14305369211425997"/>
    <n v="9.4219660495602681E-2"/>
    <n v="-0.34136855118463166"/>
  </r>
  <r>
    <x v="121"/>
    <n v="3134"/>
    <n v="888"/>
    <n v="444"/>
    <n v="21938"/>
    <x v="4"/>
    <n v="0.20357370772176134"/>
    <s v="Before"/>
    <n v="0.13820894110956924"/>
    <n v="0.14359011811955663"/>
    <n v="3.8935086013873001E-2"/>
  </r>
  <r>
    <x v="122"/>
    <n v="4782"/>
    <n v="721"/>
    <n v="82"/>
    <n v="86076"/>
    <x v="0"/>
    <n v="6.4884520656164318E-2"/>
    <s v="Before"/>
    <n v="0.13333120155509956"/>
    <n v="0.11631568976338311"/>
    <n v="-0.12761837884349025"/>
  </r>
  <r>
    <x v="123"/>
    <n v="4780"/>
    <n v="691"/>
    <n v="380"/>
    <n v="86040"/>
    <x v="2"/>
    <n v="6.800325430032543E-2"/>
    <s v="Before"/>
    <n v="0.13603513503801457"/>
    <n v="9.4458523260693594E-2"/>
    <n v="-0.30563142210063987"/>
  </r>
  <r>
    <x v="46"/>
    <n v="1606"/>
    <n v="451"/>
    <n v="405"/>
    <n v="20878"/>
    <x v="4"/>
    <n v="0.11792317271769326"/>
    <s v="Before"/>
    <n v="0.14045071887945182"/>
    <n v="0.14147179478526767"/>
    <n v="7.2699941585363742E-3"/>
  </r>
  <r>
    <x v="124"/>
    <n v="1952"/>
    <n v="344"/>
    <n v="287"/>
    <n v="15616"/>
    <x v="1"/>
    <n v="0.16540727459016394"/>
    <s v="Before"/>
    <n v="0.13970014859343083"/>
    <n v="0.11134448688949235"/>
    <n v="-0.20297517210566418"/>
  </r>
  <r>
    <x v="125"/>
    <n v="1082"/>
    <n v="209"/>
    <n v="484"/>
    <n v="19476"/>
    <x v="3"/>
    <n v="9.1137810638734856E-2"/>
    <s v="N/A"/>
    <n v="0.14039372394839444"/>
    <n v="0.11823026313897142"/>
    <n v="-0.15786646429843126"/>
  </r>
  <r>
    <x v="126"/>
    <n v="3860"/>
    <n v="201"/>
    <n v="279"/>
    <n v="61760"/>
    <x v="1"/>
    <n v="7.0272020725388601E-2"/>
    <s v="Before"/>
    <n v="0.13862260802641924"/>
    <n v="0.14097413283423912"/>
    <n v="1.6963501417977402E-2"/>
  </r>
  <r>
    <x v="66"/>
    <n v="456"/>
    <n v="629"/>
    <n v="428"/>
    <n v="8208"/>
    <x v="4"/>
    <n v="0.18433235867446393"/>
    <s v="Before"/>
    <n v="0.13609007605360141"/>
    <n v="0.18669433683856726"/>
    <n v="0.37184387173855721"/>
  </r>
  <r>
    <x v="24"/>
    <n v="1946"/>
    <n v="686"/>
    <n v="377"/>
    <n v="23352"/>
    <x v="2"/>
    <n v="0.12885405960945528"/>
    <s v="Before"/>
    <n v="0.13032631698090527"/>
    <n v="0.12986060378678824"/>
    <n v="-3.5734393858860322E-3"/>
  </r>
  <r>
    <x v="43"/>
    <n v="1071"/>
    <n v="519"/>
    <n v="22"/>
    <n v="16065"/>
    <x v="4"/>
    <n v="0.10034235916588857"/>
    <s v="During"/>
    <n v="0.13929176934840748"/>
    <n v="0.13290525999948485"/>
    <n v="-4.5849868795536569E-2"/>
  </r>
  <r>
    <x v="127"/>
    <n v="3791"/>
    <n v="593"/>
    <n v="228"/>
    <n v="53074"/>
    <x v="3"/>
    <n v="8.6897539284772202E-2"/>
    <s v="N/A"/>
    <n v="0.13403305335323218"/>
    <n v="8.2399217072626055E-2"/>
    <n v="-0.38523211244415767"/>
  </r>
  <r>
    <x v="128"/>
    <n v="3960"/>
    <n v="266"/>
    <n v="8"/>
    <n v="35640"/>
    <x v="3"/>
    <n v="0.11879910213243547"/>
    <s v="N/A"/>
    <n v="0.13479177325787131"/>
    <n v="0.10181375699659959"/>
    <n v="-0.24465896889850389"/>
  </r>
  <r>
    <x v="129"/>
    <n v="3577"/>
    <n v="596"/>
    <n v="493"/>
    <n v="67963"/>
    <x v="2"/>
    <n v="6.8655003457763777E-2"/>
    <s v="Before"/>
    <n v="0.13867311873767993"/>
    <n v="0.12300054667559791"/>
    <n v="-0.11301809755738551"/>
  </r>
  <r>
    <x v="130"/>
    <n v="4619"/>
    <n v="821"/>
    <n v="499"/>
    <n v="69285"/>
    <x v="4"/>
    <n v="8.5718409468138843E-2"/>
    <s v="Before"/>
    <n v="0.13893458266892247"/>
    <n v="0.17377202450498763"/>
    <n v="0.25074708662768208"/>
  </r>
  <r>
    <x v="58"/>
    <n v="4838"/>
    <n v="640"/>
    <n v="128"/>
    <n v="72570"/>
    <x v="4"/>
    <n v="7.7249552156538517E-2"/>
    <s v="Before"/>
    <n v="0.13689906791360518"/>
    <n v="0.13786539404014361"/>
    <n v="7.0586757182910043E-3"/>
  </r>
  <r>
    <x v="131"/>
    <n v="4171"/>
    <n v="548"/>
    <n v="86"/>
    <n v="66736"/>
    <x v="2"/>
    <n v="7.2000119875329657E-2"/>
    <s v="Before"/>
    <n v="0.13985412945463632"/>
    <n v="0.10781004934626258"/>
    <n v="-0.22912501928495216"/>
  </r>
  <r>
    <x v="9"/>
    <n v="521"/>
    <n v="746"/>
    <n v="315"/>
    <n v="4168"/>
    <x v="1"/>
    <n v="0.37955854126679461"/>
    <s v="Before"/>
    <n v="0.14078959957702691"/>
    <n v="0.10310784325884978"/>
    <n v="-0.26764588031633119"/>
  </r>
  <r>
    <x v="132"/>
    <n v="2166"/>
    <n v="354"/>
    <n v="117"/>
    <n v="10830"/>
    <x v="4"/>
    <n v="0.24349030470914126"/>
    <s v="Before"/>
    <n v="0.13711289567900725"/>
    <n v="0.13597107979904574"/>
    <n v="-8.3275601051749151E-3"/>
  </r>
  <r>
    <x v="133"/>
    <n v="2200"/>
    <n v="504"/>
    <n v="239"/>
    <n v="37400"/>
    <x v="1"/>
    <n v="7.8689839572192513E-2"/>
    <s v="Before"/>
    <n v="0.1370088277573995"/>
    <n v="0.12126446105983206"/>
    <n v="-0.11491497997082258"/>
  </r>
  <r>
    <x v="134"/>
    <n v="1841"/>
    <n v="851"/>
    <n v="342"/>
    <n v="34979"/>
    <x v="4"/>
    <n v="8.6737756939878216E-2"/>
    <s v="Before"/>
    <n v="0.13133019931547601"/>
    <n v="0.16326715178656626"/>
    <n v="0.24318056804568311"/>
  </r>
  <r>
    <x v="97"/>
    <n v="3798"/>
    <n v="31"/>
    <n v="279"/>
    <n v="75960"/>
    <x v="0"/>
    <n v="5.4081095313322801E-2"/>
    <s v="Before"/>
    <n v="0.13687631843951653"/>
    <n v="0.18610650137258811"/>
    <n v="0.35966910488482789"/>
  </r>
  <r>
    <x v="101"/>
    <n v="2949"/>
    <n v="476"/>
    <n v="403"/>
    <n v="44235"/>
    <x v="1"/>
    <n v="8.6537809426924378E-2"/>
    <s v="Before"/>
    <n v="0.13710796750563686"/>
    <n v="0.1152109864639979"/>
    <n v="-0.15970611657370476"/>
  </r>
  <r>
    <x v="60"/>
    <n v="3170"/>
    <n v="857"/>
    <n v="379"/>
    <n v="19020"/>
    <x v="3"/>
    <n v="0.2316508937960042"/>
    <s v="N/A"/>
    <n v="0.13639966869238782"/>
    <n v="0.12553693546766692"/>
    <n v="-7.9639000071318508E-2"/>
  </r>
  <r>
    <x v="135"/>
    <n v="400"/>
    <n v="680"/>
    <n v="434"/>
    <n v="6400"/>
    <x v="1"/>
    <n v="0.23656250000000001"/>
    <s v="Before"/>
    <n v="0.13554793033086129"/>
    <n v="0.18753857602884583"/>
    <n v="0.38355912606765491"/>
  </r>
  <r>
    <x v="115"/>
    <n v="4771"/>
    <n v="818"/>
    <n v="56"/>
    <n v="57252"/>
    <x v="3"/>
    <n v="9.859917557465242E-2"/>
    <s v="N/A"/>
    <n v="0.14081320291207675"/>
    <n v="0.15553791482602558"/>
    <n v="0.10456911432618213"/>
  </r>
  <r>
    <x v="136"/>
    <n v="1792"/>
    <n v="614"/>
    <n v="497"/>
    <n v="25088"/>
    <x v="4"/>
    <n v="0.11571269132653061"/>
    <s v="Before"/>
    <n v="0.13743248719296633"/>
    <n v="0.14315393945539956"/>
    <n v="4.163100282395274E-2"/>
  </r>
  <r>
    <x v="137"/>
    <n v="1947"/>
    <n v="842"/>
    <n v="101"/>
    <n v="21417"/>
    <x v="1"/>
    <n v="0.13493953401503478"/>
    <s v="Before"/>
    <n v="0.13744078059373785"/>
    <n v="0.12710957939257697"/>
    <n v="-7.5168382750232965E-2"/>
  </r>
  <r>
    <x v="138"/>
    <n v="2291"/>
    <n v="78"/>
    <n v="485"/>
    <n v="18328"/>
    <x v="1"/>
    <n v="0.15571802706241816"/>
    <s v="Before"/>
    <n v="0.14281269779301695"/>
    <n v="0.12257019775278963"/>
    <n v="-0.14174159828256608"/>
  </r>
  <r>
    <x v="139"/>
    <n v="4236"/>
    <n v="711"/>
    <n v="298"/>
    <n v="21180"/>
    <x v="0"/>
    <n v="0.24763928234183191"/>
    <s v="During"/>
    <n v="0.13454672886085017"/>
    <n v="0.26808954461723311"/>
    <n v="0.99253855435232841"/>
  </r>
  <r>
    <x v="140"/>
    <n v="1813"/>
    <n v="623"/>
    <n v="72"/>
    <n v="19943"/>
    <x v="2"/>
    <n v="0.12575841147269717"/>
    <s v="During"/>
    <n v="0.13840152475149534"/>
    <n v="6.5177133182502248E-2"/>
    <n v="-0.52907214498156707"/>
  </r>
  <r>
    <x v="24"/>
    <n v="1048"/>
    <n v="374"/>
    <n v="450"/>
    <n v="9432"/>
    <x v="2"/>
    <n v="0.19847328244274809"/>
    <s v="Before"/>
    <n v="0.13969639191212968"/>
    <n v="9.8564978528532327E-2"/>
    <n v="-0.29443432876540859"/>
  </r>
  <r>
    <x v="132"/>
    <n v="1000"/>
    <n v="978"/>
    <n v="162"/>
    <n v="6000"/>
    <x v="1"/>
    <n v="0.35666666666666669"/>
    <s v="Before"/>
    <n v="0.13391308514584666"/>
    <n v="0.16091760481466386"/>
    <n v="0.20165706465059924"/>
  </r>
  <r>
    <x v="141"/>
    <n v="3557"/>
    <n v="687"/>
    <n v="424"/>
    <n v="71140"/>
    <x v="0"/>
    <n v="6.5617093055946027E-2"/>
    <s v="Before"/>
    <n v="0.13112764525352638"/>
    <n v="0.18717889177711047"/>
    <n v="0.42745560186955861"/>
  </r>
  <r>
    <x v="19"/>
    <n v="3731"/>
    <n v="115"/>
    <n v="135"/>
    <n v="55965"/>
    <x v="0"/>
    <n v="7.1133744304476013E-2"/>
    <s v="Before"/>
    <n v="0.12887635049552237"/>
    <n v="0.12198347414757139"/>
    <n v="-5.3484416042573014E-2"/>
  </r>
  <r>
    <x v="142"/>
    <n v="2120"/>
    <n v="38"/>
    <n v="212"/>
    <n v="12720"/>
    <x v="4"/>
    <n v="0.18632075471698112"/>
    <s v="Before"/>
    <n v="0.12971436279441434"/>
    <n v="0.1861829439976293"/>
    <n v="0.43533021314465087"/>
  </r>
  <r>
    <x v="143"/>
    <n v="941"/>
    <n v="121"/>
    <n v="458"/>
    <n v="14115"/>
    <x v="0"/>
    <n v="0.10768685795253277"/>
    <s v="Before"/>
    <n v="0.1396224657328021"/>
    <n v="0.14393792388183546"/>
    <n v="3.0908049978804482E-2"/>
  </r>
  <r>
    <x v="144"/>
    <n v="4739"/>
    <n v="527"/>
    <n v="135"/>
    <n v="61607"/>
    <x v="1"/>
    <n v="8.7668609086629767E-2"/>
    <s v="Before"/>
    <n v="0.13743736083472693"/>
    <n v="8.1249365563071552E-2"/>
    <n v="-0.40882620948479464"/>
  </r>
  <r>
    <x v="57"/>
    <n v="804"/>
    <n v="639"/>
    <n v="43"/>
    <n v="4020"/>
    <x v="3"/>
    <n v="0.36965174129353234"/>
    <s v="N/A"/>
    <n v="0.14316448384597977"/>
    <n v="0.11397234775407333"/>
    <n v="-0.20390627135786082"/>
  </r>
  <r>
    <x v="105"/>
    <n v="1877"/>
    <n v="745"/>
    <n v="225"/>
    <n v="11262"/>
    <x v="4"/>
    <n v="0.25279701651571657"/>
    <s v="Before"/>
    <n v="0.132393332469664"/>
    <n v="0.15002750338968604"/>
    <n v="0.13319530969629945"/>
  </r>
  <r>
    <x v="145"/>
    <n v="827"/>
    <n v="77"/>
    <n v="402"/>
    <n v="14886"/>
    <x v="1"/>
    <n v="8.7733440816874911E-2"/>
    <s v="Before"/>
    <n v="0.13665344654798242"/>
    <n v="9.6487839611394746E-2"/>
    <n v="-0.29392311684202221"/>
  </r>
  <r>
    <x v="146"/>
    <n v="3649"/>
    <n v="215"/>
    <n v="413"/>
    <n v="25543"/>
    <x v="2"/>
    <n v="0.16744313510550835"/>
    <s v="Before"/>
    <n v="0.13062500548938133"/>
    <n v="0.10518875846726861"/>
    <n v="-0.19472724174683742"/>
  </r>
  <r>
    <x v="117"/>
    <n v="571"/>
    <n v="190"/>
    <n v="352"/>
    <n v="9707"/>
    <x v="4"/>
    <n v="0.11465952405480581"/>
    <s v="During"/>
    <n v="0.13435112133612445"/>
    <n v="7.9274556406891405E-2"/>
    <n v="-0.4099449590111014"/>
  </r>
  <r>
    <x v="26"/>
    <n v="4213"/>
    <n v="253"/>
    <n v="434"/>
    <n v="75834"/>
    <x v="4"/>
    <n v="6.461481657304112E-2"/>
    <s v="Before"/>
    <n v="0.12751952095200045"/>
    <n v="0.14447579129420965"/>
    <n v="0.13296999718648334"/>
  </r>
  <r>
    <x v="147"/>
    <n v="1766"/>
    <n v="92"/>
    <n v="424"/>
    <n v="24724"/>
    <x v="3"/>
    <n v="9.2298980747451867E-2"/>
    <s v="N/A"/>
    <n v="0.13487226255703927"/>
    <n v="0.1338865466046861"/>
    <n v="-7.3085149879226971E-3"/>
  </r>
  <r>
    <x v="29"/>
    <n v="3452"/>
    <n v="377"/>
    <n v="360"/>
    <n v="55232"/>
    <x v="2"/>
    <n v="7.5843713789107758E-2"/>
    <s v="Before"/>
    <n v="0.13180652993638373"/>
    <n v="9.2815297584325163E-2"/>
    <n v="-0.29582170451553225"/>
  </r>
  <r>
    <x v="32"/>
    <n v="1963"/>
    <n v="213"/>
    <n v="19"/>
    <n v="39260"/>
    <x v="3"/>
    <n v="5.5909322465613857E-2"/>
    <s v="N/A"/>
    <n v="0.12764185504125675"/>
    <n v="0.17725393258114122"/>
    <n v="0.38868189062160469"/>
  </r>
  <r>
    <x v="148"/>
    <n v="3090"/>
    <n v="697"/>
    <n v="164"/>
    <n v="49440"/>
    <x v="1"/>
    <n v="7.9915048543689318E-2"/>
    <s v="Before"/>
    <n v="0.12705587965701851"/>
    <n v="0.14479326963356087"/>
    <n v="0.13960306303355369"/>
  </r>
  <r>
    <x v="69"/>
    <n v="3360"/>
    <n v="525"/>
    <n v="500"/>
    <n v="60480"/>
    <x v="0"/>
    <n v="7.2503306878306875E-2"/>
    <s v="Before"/>
    <n v="0.13750457643756306"/>
    <n v="0.14790911517244271"/>
    <n v="7.5666854183606427E-2"/>
  </r>
  <r>
    <x v="149"/>
    <n v="3138"/>
    <n v="123"/>
    <n v="291"/>
    <n v="28242"/>
    <x v="4"/>
    <n v="0.12577012959422137"/>
    <s v="Before"/>
    <n v="0.13222573451189315"/>
    <n v="9.617748681766565E-2"/>
    <n v="-0.27262656416542813"/>
  </r>
  <r>
    <x v="88"/>
    <n v="4241"/>
    <n v="902"/>
    <n v="47"/>
    <n v="72097"/>
    <x v="1"/>
    <n v="7.198635172059864E-2"/>
    <s v="Before"/>
    <n v="0.13482777555202363"/>
    <n v="0.15634217619871679"/>
    <n v="0.15956949937508816"/>
  </r>
  <r>
    <x v="150"/>
    <n v="4021"/>
    <n v="794"/>
    <n v="77"/>
    <n v="36189"/>
    <x v="3"/>
    <n v="0.13517919809886983"/>
    <s v="N/A"/>
    <n v="0.13829596403553496"/>
    <n v="9.6654404252124612E-2"/>
    <n v="-0.30110466399952646"/>
  </r>
  <r>
    <x v="151"/>
    <n v="1430"/>
    <n v="376"/>
    <n v="33"/>
    <n v="21450"/>
    <x v="0"/>
    <n v="8.5734265734265735E-2"/>
    <s v="Before"/>
    <n v="0.13211051428786752"/>
    <n v="0.23961458451292997"/>
    <n v="0.8137434844195075"/>
  </r>
  <r>
    <x v="147"/>
    <n v="562"/>
    <n v="158"/>
    <n v="149"/>
    <n v="3372"/>
    <x v="0"/>
    <n v="0.25771055753262156"/>
    <s v="During"/>
    <n v="0.14130086666159011"/>
    <n v="0.10380474772605401"/>
    <n v="-0.26536368687205436"/>
  </r>
  <r>
    <x v="30"/>
    <n v="1814"/>
    <n v="653"/>
    <n v="363"/>
    <n v="25396"/>
    <x v="0"/>
    <n v="0.11143487163332809"/>
    <s v="Before"/>
    <n v="0.12749831655623375"/>
    <n v="0.25474549760125192"/>
    <n v="0.9980302837088455"/>
  </r>
  <r>
    <x v="58"/>
    <n v="53"/>
    <n v="81"/>
    <n v="379"/>
    <n v="954"/>
    <x v="2"/>
    <n v="0.53773584905660377"/>
    <s v="Before"/>
    <n v="0.1404989858532685"/>
    <n v="0.16197961487313647"/>
    <n v="0.15288814285322655"/>
  </r>
  <r>
    <x v="152"/>
    <n v="1330"/>
    <n v="925"/>
    <n v="35"/>
    <n v="15960"/>
    <x v="2"/>
    <n v="0.14348370927318296"/>
    <s v="Before"/>
    <n v="0.12908240776525154"/>
    <n v="8.8903120915997738E-2"/>
    <n v="-0.3112684954120441"/>
  </r>
  <r>
    <x v="113"/>
    <n v="1881"/>
    <n v="501"/>
    <n v="99"/>
    <n v="20691"/>
    <x v="3"/>
    <n v="0.11990720603160794"/>
    <s v="N/A"/>
    <n v="0.13092889039333028"/>
    <n v="0.15453195547177476"/>
    <n v="0.1802739258504161"/>
  </r>
  <r>
    <x v="141"/>
    <n v="1543"/>
    <n v="820"/>
    <n v="333"/>
    <n v="12344"/>
    <x v="3"/>
    <n v="0.21840570317563188"/>
    <s v="N/A"/>
    <n v="0.13411120591898015"/>
    <n v="8.4959933245370781E-2"/>
    <n v="-0.36649638884988367"/>
  </r>
  <r>
    <x v="107"/>
    <n v="3641"/>
    <n v="226"/>
    <n v="46"/>
    <n v="40051"/>
    <x v="4"/>
    <n v="9.7700431949264685E-2"/>
    <s v="Before"/>
    <n v="0.13048157814672981"/>
    <n v="0.18508439002331709"/>
    <n v="0.41847142448863583"/>
  </r>
  <r>
    <x v="61"/>
    <n v="3801"/>
    <n v="967"/>
    <n v="401"/>
    <n v="38010"/>
    <x v="2"/>
    <n v="0.13599052880820836"/>
    <s v="Before"/>
    <n v="0.13240929941543517"/>
    <n v="6.3760118868392265E-2"/>
    <n v="-0.51846192714648831"/>
  </r>
  <r>
    <x v="53"/>
    <n v="1407"/>
    <n v="400"/>
    <n v="351"/>
    <n v="16884"/>
    <x v="0"/>
    <n v="0.12781331438047855"/>
    <s v="Before"/>
    <n v="0.13522425256845211"/>
    <n v="0.13458940843372127"/>
    <n v="-4.6947505545239937E-3"/>
  </r>
  <r>
    <x v="153"/>
    <n v="3024"/>
    <n v="925"/>
    <n v="350"/>
    <n v="24192"/>
    <x v="1"/>
    <n v="0.17770337301587302"/>
    <s v="Before"/>
    <n v="0.13206508241532189"/>
    <n v="7.6667207062361478E-2"/>
    <n v="-0.41947405279121136"/>
  </r>
  <r>
    <x v="154"/>
    <n v="954"/>
    <n v="324"/>
    <n v="288"/>
    <n v="19080"/>
    <x v="4"/>
    <n v="8.2075471698113203E-2"/>
    <s v="Before"/>
    <n v="0.13862879906350042"/>
    <n v="0.10600844916852359"/>
    <n v="-0.23530716644262878"/>
  </r>
  <r>
    <x v="155"/>
    <n v="2566"/>
    <n v="118"/>
    <n v="37"/>
    <n v="12830"/>
    <x v="2"/>
    <n v="0.21208106001558846"/>
    <s v="Before"/>
    <n v="0.13375508544627601"/>
    <n v="0.13172404373102042"/>
    <n v="-1.518478126255151E-2"/>
  </r>
  <r>
    <x v="156"/>
    <n v="4450"/>
    <n v="983"/>
    <n v="143"/>
    <n v="75650"/>
    <x v="2"/>
    <n v="7.3707865168539333E-2"/>
    <s v="Before"/>
    <n v="0.12833286771922198"/>
    <n v="0.20540574192970076"/>
    <n v="0.6005700299560488"/>
  </r>
  <r>
    <x v="58"/>
    <n v="4134"/>
    <n v="824"/>
    <n v="99"/>
    <n v="41340"/>
    <x v="0"/>
    <n v="0.12232704402515723"/>
    <s v="Before"/>
    <n v="0.13336695600034618"/>
    <n v="0.1114785096466131"/>
    <n v="-0.16412196101766213"/>
  </r>
  <r>
    <x v="157"/>
    <n v="4295"/>
    <n v="853"/>
    <n v="325"/>
    <n v="85900"/>
    <x v="4"/>
    <n v="6.3713620488940623E-2"/>
    <s v="Before"/>
    <n v="0.13346833206992734"/>
    <n v="7.1664006018552107E-2"/>
    <n v="-0.46306359788024043"/>
  </r>
  <r>
    <x v="59"/>
    <n v="1431"/>
    <n v="951"/>
    <n v="26"/>
    <n v="8586"/>
    <x v="2"/>
    <n v="0.28045655718611695"/>
    <s v="Before"/>
    <n v="0.13257414536613099"/>
    <n v="8.9966996437403413E-2"/>
    <n v="-0.32138354587207862"/>
  </r>
  <r>
    <x v="76"/>
    <n v="3828"/>
    <n v="148"/>
    <n v="253"/>
    <n v="30624"/>
    <x v="3"/>
    <n v="0.13809430512016718"/>
    <s v="N/A"/>
    <n v="0.13552443261357405"/>
    <n v="0.10323405883793124"/>
    <n v="-0.23826237935792416"/>
  </r>
  <r>
    <x v="158"/>
    <n v="1121"/>
    <n v="135"/>
    <n v="18"/>
    <n v="15694"/>
    <x v="4"/>
    <n v="8.1177520071364848E-2"/>
    <s v="Before"/>
    <n v="0.13361103118815765"/>
    <n v="7.9049308207371882E-2"/>
    <n v="-0.40836241211213509"/>
  </r>
  <r>
    <x v="159"/>
    <n v="1816"/>
    <n v="29"/>
    <n v="41"/>
    <n v="19976"/>
    <x v="2"/>
    <n v="9.4413295955146179E-2"/>
    <s v="Before"/>
    <n v="0.12985526960769916"/>
    <n v="0.12422390133567608"/>
    <n v="-4.336649786362768E-2"/>
  </r>
  <r>
    <x v="60"/>
    <n v="4126"/>
    <n v="426"/>
    <n v="486"/>
    <n v="78394"/>
    <x v="4"/>
    <n v="6.4265122330790625E-2"/>
    <s v="Before"/>
    <n v="0.13536313251921303"/>
    <n v="0.11963544789147891"/>
    <n v="-0.11618883469250227"/>
  </r>
  <r>
    <x v="129"/>
    <n v="2103"/>
    <n v="892"/>
    <n v="103"/>
    <n v="39957"/>
    <x v="3"/>
    <n v="7.7533348349475686E-2"/>
    <s v="N/A"/>
    <n v="0.13515799685719926"/>
    <n v="9.0126697558499599E-2"/>
    <n v="-0.33317524930676007"/>
  </r>
  <r>
    <x v="160"/>
    <n v="3809"/>
    <n v="273"/>
    <n v="200"/>
    <n v="34281"/>
    <x v="0"/>
    <n v="0.12490884163239112"/>
    <s v="Before"/>
    <n v="0.13599382997185311"/>
    <n v="0.13685958789222577"/>
    <n v="6.3661558803943478E-3"/>
  </r>
  <r>
    <x v="25"/>
    <n v="2072"/>
    <n v="532"/>
    <n v="71"/>
    <n v="37296"/>
    <x v="4"/>
    <n v="7.172350922350923E-2"/>
    <s v="Before"/>
    <n v="0.13126654302573232"/>
    <n v="0.1163924106291893"/>
    <n v="-0.11331244088318244"/>
  </r>
  <r>
    <x v="7"/>
    <n v="1171"/>
    <n v="286"/>
    <n v="231"/>
    <n v="22249"/>
    <x v="0"/>
    <n v="7.5868578363072495E-2"/>
    <s v="During"/>
    <n v="0.13696758843389972"/>
    <n v="0.14350647616020545"/>
    <n v="4.7740401952549416E-2"/>
  </r>
  <r>
    <x v="161"/>
    <n v="2278"/>
    <n v="10"/>
    <n v="321"/>
    <n v="13668"/>
    <x v="0"/>
    <n v="0.19088381621305239"/>
    <s v="Before"/>
    <n v="0.13683042726627129"/>
    <n v="0.16807520784011451"/>
    <n v="0.22834672958406427"/>
  </r>
  <r>
    <x v="162"/>
    <n v="2936"/>
    <n v="439"/>
    <n v="44"/>
    <n v="38168"/>
    <x v="4"/>
    <n v="8.9577656675749323E-2"/>
    <s v="Before"/>
    <n v="0.13704925050773215"/>
    <n v="7.9137481120208047E-2"/>
    <n v="-0.42256173728040042"/>
  </r>
  <r>
    <x v="16"/>
    <n v="4804"/>
    <n v="550"/>
    <n v="270"/>
    <n v="28824"/>
    <x v="4"/>
    <n v="0.19511518179295032"/>
    <s v="Before"/>
    <n v="0.12934722796663869"/>
    <n v="0.23302491616033932"/>
    <n v="0.80154549752269322"/>
  </r>
  <r>
    <x v="104"/>
    <n v="886"/>
    <n v="126"/>
    <n v="153"/>
    <n v="4430"/>
    <x v="3"/>
    <n v="0.26297968397291194"/>
    <s v="N/A"/>
    <n v="0.1330418599708599"/>
    <n v="0.14108586764673983"/>
    <n v="6.0462231042483938E-2"/>
  </r>
  <r>
    <x v="163"/>
    <n v="2719"/>
    <n v="17"/>
    <n v="285"/>
    <n v="40785"/>
    <x v="1"/>
    <n v="7.4071349760941527E-2"/>
    <s v="Before"/>
    <n v="0.13698480959429069"/>
    <n v="7.1631501314692494E-2"/>
    <n v="-0.47708434587131049"/>
  </r>
  <r>
    <x v="51"/>
    <n v="4242"/>
    <n v="555"/>
    <n v="131"/>
    <n v="33936"/>
    <x v="3"/>
    <n v="0.14521452145214522"/>
    <s v="N/A"/>
    <n v="0.1350617868336812"/>
    <n v="0.1460330523259516"/>
    <n v="8.1231455243374773E-2"/>
  </r>
  <r>
    <x v="164"/>
    <n v="802"/>
    <n v="262"/>
    <n v="244"/>
    <n v="14436"/>
    <x v="0"/>
    <n v="9.0606816292601824E-2"/>
    <s v="Before"/>
    <n v="0.13174757777170551"/>
    <n v="0.10004550669869451"/>
    <n v="-0.24062735428764312"/>
  </r>
  <r>
    <x v="165"/>
    <n v="1509"/>
    <n v="88"/>
    <n v="163"/>
    <n v="30180"/>
    <x v="1"/>
    <n v="5.8316766070245198E-2"/>
    <s v="Before"/>
    <n v="0.12659705617183539"/>
    <n v="0.15700771846509964"/>
    <n v="0.24021618837634429"/>
  </r>
  <r>
    <x v="166"/>
    <n v="1292"/>
    <n v="626"/>
    <n v="496"/>
    <n v="25840"/>
    <x v="2"/>
    <n v="9.3421052631578946E-2"/>
    <s v="Before"/>
    <n v="0.14052759074804505"/>
    <n v="9.5083163169295687E-2"/>
    <n v="-0.32338437837611306"/>
  </r>
  <r>
    <x v="129"/>
    <n v="3215"/>
    <n v="960"/>
    <n v="202"/>
    <n v="32150"/>
    <x v="0"/>
    <n v="0.13614307931570763"/>
    <s v="Before"/>
    <n v="0.13702144925945814"/>
    <n v="8.8168233041364674E-2"/>
    <n v="-0.35653699827380336"/>
  </r>
  <r>
    <x v="142"/>
    <n v="3256"/>
    <n v="459"/>
    <n v="266"/>
    <n v="26048"/>
    <x v="1"/>
    <n v="0.15283323095823095"/>
    <s v="During"/>
    <n v="0.13305204387049899"/>
    <n v="8.5543504808753237E-2"/>
    <n v="-0.35706733755992753"/>
  </r>
  <r>
    <x v="167"/>
    <n v="1855"/>
    <n v="200"/>
    <n v="174"/>
    <n v="16695"/>
    <x v="2"/>
    <n v="0.13351302785265048"/>
    <s v="Before"/>
    <n v="0.13274933439400152"/>
    <n v="0.13357135267133718"/>
    <n v="6.1922591257286656E-3"/>
  </r>
  <r>
    <x v="83"/>
    <n v="2746"/>
    <n v="156"/>
    <n v="203"/>
    <n v="32952"/>
    <x v="0"/>
    <n v="9.422796795338674E-2"/>
    <s v="Before"/>
    <n v="0.13730014743418165"/>
    <n v="0.15102532149845879"/>
    <n v="9.9964743816875076E-2"/>
  </r>
  <r>
    <x v="28"/>
    <n v="1018"/>
    <n v="447"/>
    <n v="332"/>
    <n v="18324"/>
    <x v="1"/>
    <n v="9.8068107400130972E-2"/>
    <s v="During"/>
    <n v="0.12738555583833588"/>
    <n v="0.17325155830045175"/>
    <n v="0.36005653985075109"/>
  </r>
  <r>
    <x v="168"/>
    <n v="1957"/>
    <n v="877"/>
    <n v="238"/>
    <n v="17613"/>
    <x v="2"/>
    <n v="0.17441662408448305"/>
    <s v="Before"/>
    <n v="0.13511891155909245"/>
    <n v="7.6097681302417369E-2"/>
    <n v="-0.43680954483460988"/>
  </r>
  <r>
    <x v="169"/>
    <n v="3575"/>
    <n v="749"/>
    <n v="111"/>
    <n v="21450"/>
    <x v="1"/>
    <n v="0.20675990675990677"/>
    <s v="During"/>
    <n v="0.1260441572105799"/>
    <n v="0.1441326530612245"/>
    <n v="0.14350919749833735"/>
  </r>
  <r>
    <x v="104"/>
    <n v="1206"/>
    <n v="238"/>
    <n v="36"/>
    <n v="9648"/>
    <x v="3"/>
    <n v="0.15339966832504145"/>
    <s v="N/A"/>
    <n v="0.12911886835993824"/>
    <n v="0.23101532992668297"/>
    <n v="0.78916786416291251"/>
  </r>
  <r>
    <x v="130"/>
    <n v="4054"/>
    <n v="389"/>
    <n v="493"/>
    <n v="64864"/>
    <x v="1"/>
    <n v="7.6097681302417369E-2"/>
    <s v="During"/>
    <n v="0.12741831120659053"/>
    <n v="6.246991874522239E-2"/>
    <n v="-0.50972573601343396"/>
  </r>
  <r>
    <x v="170"/>
    <n v="1176"/>
    <n v="464"/>
    <n v="394"/>
    <n v="14112"/>
    <x v="3"/>
    <n v="0.1441326530612245"/>
    <s v="N/A"/>
    <n v="0.13850509226008606"/>
    <n v="0.1569549774407219"/>
    <n v="0.13320726970810925"/>
  </r>
  <r>
    <x v="112"/>
    <n v="4501"/>
    <n v="375"/>
    <n v="323"/>
    <n v="22505"/>
    <x v="1"/>
    <n v="0.23101532992668297"/>
    <s v="Before"/>
    <n v="0.13018145262903152"/>
    <n v="0.25537047673750718"/>
    <n v="0.9616502318899266"/>
  </r>
  <r>
    <x v="58"/>
    <n v="3718"/>
    <n v="385"/>
    <n v="310"/>
    <n v="70642"/>
    <x v="1"/>
    <n v="6.246991874522239E-2"/>
    <s v="During"/>
    <n v="0.13263789676530344"/>
    <n v="0.48518407662376534"/>
    <n v="2.6579596665519802"/>
  </r>
  <r>
    <x v="77"/>
    <n v="947"/>
    <n v="338"/>
    <n v="350"/>
    <n v="10417"/>
    <x v="4"/>
    <n v="0.1569549774407219"/>
    <s v="Before"/>
    <n v="0.13511367465339652"/>
    <n v="8.860696018453515E-2"/>
    <n v="-0.34420434932410648"/>
  </r>
  <r>
    <x v="161"/>
    <n v="1741"/>
    <n v="164"/>
    <n v="318"/>
    <n v="8705"/>
    <x v="3"/>
    <n v="0.25537047673750718"/>
    <s v="N/A"/>
    <n v="0.13966666815129711"/>
    <n v="0.12942500000000001"/>
    <n v="-7.332936545892664E-2"/>
  </r>
  <r>
    <x v="168"/>
    <n v="257"/>
    <n v="966"/>
    <n v="398"/>
    <n v="3341"/>
    <x v="0"/>
    <n v="0.48518407662376534"/>
    <s v="Before"/>
    <n v="0.12965679683729422"/>
    <n v="6.9438087973557078E-2"/>
    <n v="-0.46444698876299834"/>
  </r>
  <r>
    <x v="171"/>
    <n v="3068"/>
    <n v="137"/>
    <n v="329"/>
    <n v="39884"/>
    <x v="1"/>
    <n v="8.860696018453515E-2"/>
    <s v="Before"/>
    <n v="0.12289009567461463"/>
    <n v="7.2739802071170159E-2"/>
    <n v="-0.40809060590392238"/>
  </r>
  <r>
    <x v="154"/>
    <n v="4000"/>
    <n v="689"/>
    <n v="488"/>
    <n v="40000"/>
    <x v="0"/>
    <n v="0.12942500000000001"/>
    <s v="Before"/>
    <n v="0.12484569896782688"/>
    <n v="7.1501685934489398E-2"/>
    <n v="-0.42727954166113802"/>
  </r>
  <r>
    <x v="172"/>
    <n v="2070"/>
    <n v="275"/>
    <n v="386"/>
    <n v="39330"/>
    <x v="4"/>
    <n v="6.9438087973557078E-2"/>
    <s v="Before"/>
    <n v="0.12480439080474534"/>
    <n v="9.9255211647142488E-2"/>
    <n v="-0.20471378444989305"/>
  </r>
  <r>
    <x v="161"/>
    <n v="3073"/>
    <n v="553"/>
    <n v="174"/>
    <n v="52241"/>
    <x v="2"/>
    <n v="7.2739802071170159E-2"/>
    <s v="Before"/>
    <n v="0.12326518214246712"/>
    <n v="8.21914819340199E-2"/>
    <n v="-0.33321412822783292"/>
  </r>
  <r>
    <x v="64"/>
    <n v="2076"/>
    <n v="195"/>
    <n v="104"/>
    <n v="33216"/>
    <x v="4"/>
    <n v="7.1501685934489398E-2"/>
    <s v="Before"/>
    <n v="0.11661328061800315"/>
    <n v="0.13840458048129492"/>
    <n v="0.18686808010036859"/>
  </r>
  <r>
    <x v="49"/>
    <n v="4858"/>
    <n v="317"/>
    <n v="129"/>
    <n v="53438"/>
    <x v="2"/>
    <n v="9.9255211647142488E-2"/>
    <s v="Before"/>
    <n v="0.12873703356502883"/>
    <n v="9.9829463465827106E-2"/>
    <n v="-0.22454743051539763"/>
  </r>
  <r>
    <x v="173"/>
    <n v="2696"/>
    <n v="628"/>
    <n v="443"/>
    <n v="45832"/>
    <x v="4"/>
    <n v="8.21914819340199E-2"/>
    <s v="During"/>
    <n v="0.12292022835732393"/>
    <n v="0.29199735449735448"/>
    <n v="1.3755028639267612"/>
  </r>
  <r>
    <x v="174"/>
    <n v="2581"/>
    <n v="517"/>
    <n v="117"/>
    <n v="23229"/>
    <x v="2"/>
    <n v="0.13840458048129492"/>
    <s v="Before"/>
    <n v="0.13379135062692607"/>
    <n v="0.17954159592529711"/>
    <n v="0.34195218961459245"/>
  </r>
  <r>
    <x v="53"/>
    <n v="4158"/>
    <n v="167"/>
    <n v="241"/>
    <n v="45738"/>
    <x v="3"/>
    <n v="9.9829463465827106E-2"/>
    <s v="N/A"/>
    <n v="0.12637037052296105"/>
    <n v="0.12537731780940059"/>
    <n v="-7.8582717566695812E-3"/>
  </r>
  <r>
    <x v="175"/>
    <n v="432"/>
    <n v="171"/>
    <n v="280"/>
    <n v="3024"/>
    <x v="0"/>
    <n v="0.29199735449735448"/>
    <s v="Before"/>
    <n v="0.12534372411008871"/>
    <n v="0.28245270711024134"/>
    <n v="1.2534252042979406"/>
  </r>
  <r>
    <x v="176"/>
    <n v="2945"/>
    <n v="930"/>
    <n v="355"/>
    <n v="23560"/>
    <x v="1"/>
    <n v="0.17954159592529711"/>
    <s v="Before"/>
    <n v="0.12844406092220426"/>
    <n v="0.19484607062063539"/>
    <n v="0.51697220736931826"/>
  </r>
  <r>
    <x v="84"/>
    <n v="3092"/>
    <n v="106"/>
    <n v="291"/>
    <n v="27828"/>
    <x v="3"/>
    <n v="0.12537731780940059"/>
    <s v="N/A"/>
    <n v="0.12345028078147238"/>
    <n v="0.20416333066453163"/>
    <n v="0.6538101766324439"/>
  </r>
  <r>
    <x v="177"/>
    <n v="438"/>
    <n v="153"/>
    <n v="275"/>
    <n v="3066"/>
    <x v="1"/>
    <n v="0.28245270711024134"/>
    <s v="Before"/>
    <n v="0.1298134525067223"/>
    <n v="0.11996283514733209"/>
    <n v="-7.5882870143062386E-2"/>
  </r>
  <r>
    <x v="178"/>
    <n v="3389"/>
    <n v="344"/>
    <n v="229"/>
    <n v="20334"/>
    <x v="2"/>
    <n v="0.19484607062063539"/>
    <s v="Before"/>
    <n v="0.12836950611168027"/>
    <n v="6.8108806480899509E-2"/>
    <n v="-0.46943157651751433"/>
  </r>
  <r>
    <x v="179"/>
    <n v="1249"/>
    <n v="116"/>
    <n v="420"/>
    <n v="8743"/>
    <x v="3"/>
    <n v="0.20416333066453163"/>
    <s v="N/A"/>
    <n v="0.11622305198498767"/>
    <n v="8.6630570595585168E-2"/>
    <n v="-0.2546180029175702"/>
  </r>
  <r>
    <x v="180"/>
    <n v="3767"/>
    <n v="514"/>
    <n v="238"/>
    <n v="37670"/>
    <x v="4"/>
    <n v="0.11996283514733209"/>
    <s v="Before"/>
    <n v="0.12450406573797498"/>
    <n v="0.10793717277486911"/>
    <n v="-0.13306306798021941"/>
  </r>
  <r>
    <x v="181"/>
    <n v="3182"/>
    <n v="559"/>
    <n v="160"/>
    <n v="57276"/>
    <x v="4"/>
    <n v="6.8108806480899509E-2"/>
    <s v="Before"/>
    <n v="0.11646186200177268"/>
    <n v="8.3726921425504502E-2"/>
    <n v="-0.28107862963559621"/>
  </r>
  <r>
    <x v="182"/>
    <n v="3430"/>
    <n v="566"/>
    <n v="164"/>
    <n v="48020"/>
    <x v="3"/>
    <n v="8.6630570595585168E-2"/>
    <s v="N/A"/>
    <n v="0.11586147313536282"/>
    <n v="0.32349397590361445"/>
    <n v="1.7920754600251909"/>
  </r>
  <r>
    <x v="183"/>
    <n v="4775"/>
    <n v="173"/>
    <n v="206"/>
    <n v="47750"/>
    <x v="1"/>
    <n v="0.10793717277486911"/>
    <s v="Before"/>
    <n v="0.12708372007243482"/>
    <n v="7.5968222442899705E-2"/>
    <n v="-0.40221908518573779"/>
  </r>
  <r>
    <x v="184"/>
    <n v="1644"/>
    <n v="546"/>
    <n v="150"/>
    <n v="27948"/>
    <x v="2"/>
    <n v="8.3726921425504502E-2"/>
    <s v="During"/>
    <n v="0.12176904973452057"/>
    <n v="8.4062694239588759E-2"/>
    <n v="-0.30965467478919118"/>
  </r>
  <r>
    <x v="185"/>
    <n v="498"/>
    <n v="701"/>
    <n v="412"/>
    <n v="4980"/>
    <x v="3"/>
    <n v="0.32349397590361445"/>
    <s v="N/A"/>
    <n v="0.13171626177908224"/>
    <n v="0.12896028558679162"/>
    <n v="-2.0923583428999921E-2"/>
  </r>
  <r>
    <x v="186"/>
    <n v="1272"/>
    <n v="465"/>
    <n v="99"/>
    <n v="24168"/>
    <x v="3"/>
    <n v="7.5968222442899705E-2"/>
    <s v="N/A"/>
    <n v="0.11535707971722135"/>
    <n v="6.3118551273952411E-2"/>
    <n v="-0.45284198049502455"/>
  </r>
  <r>
    <x v="71"/>
    <n v="4579"/>
    <n v="125"/>
    <n v="300"/>
    <n v="59527"/>
    <x v="0"/>
    <n v="8.4062694239588759E-2"/>
    <s v="Before"/>
    <n v="0.11490978511437128"/>
    <n v="0.21636759108210984"/>
    <n v="0.88293443301417918"/>
  </r>
  <r>
    <x v="187"/>
    <n v="498"/>
    <n v="38"/>
    <n v="42"/>
    <n v="4482"/>
    <x v="0"/>
    <n v="0.12896028558679162"/>
    <s v="Before"/>
    <n v="0.1250902119328948"/>
    <n v="5.2551586421122697E-2"/>
    <n v="-0.57989049975137752"/>
  </r>
  <r>
    <x v="124"/>
    <n v="3166"/>
    <n v="90"/>
    <n v="341"/>
    <n v="56988"/>
    <x v="1"/>
    <n v="6.3118551273952411E-2"/>
    <s v="Before"/>
    <n v="0.11546114477912781"/>
    <n v="0.1095786671562328"/>
    <n v="-5.0947681439915883E-2"/>
  </r>
  <r>
    <x v="188"/>
    <n v="3065"/>
    <n v="772"/>
    <n v="142"/>
    <n v="18390"/>
    <x v="3"/>
    <n v="0.21636759108210984"/>
    <s v="N/A"/>
    <n v="0.12286641576726542"/>
    <n v="8.3274853801169585E-2"/>
    <n v="-0.32223257851918219"/>
  </r>
  <r>
    <x v="65"/>
    <n v="4507"/>
    <n v="217"/>
    <n v="13"/>
    <n v="90140"/>
    <x v="2"/>
    <n v="5.2551586421122697E-2"/>
    <s v="Before"/>
    <n v="0.11613891827902049"/>
    <n v="0.10297222222222223"/>
    <n v="-0.11337023154603221"/>
  </r>
  <r>
    <x v="189"/>
    <n v="3352"/>
    <n v="941"/>
    <n v="482"/>
    <n v="43576"/>
    <x v="1"/>
    <n v="0.1095786671562328"/>
    <s v="During"/>
    <n v="0.11703713545989275"/>
    <n v="0.23616777446710979"/>
    <n v="1.017887515266825"/>
  </r>
  <r>
    <x v="70"/>
    <n v="4275"/>
    <n v="680"/>
    <n v="385"/>
    <n v="64125"/>
    <x v="4"/>
    <n v="8.3274853801169585E-2"/>
    <s v="Before"/>
    <n v="0.13128813795031721"/>
    <n v="0.14265722032712325"/>
    <n v="8.6596417271973078E-2"/>
  </r>
  <r>
    <x v="86"/>
    <n v="3000"/>
    <n v="382"/>
    <n v="325"/>
    <n v="36000"/>
    <x v="0"/>
    <n v="0.10297222222222223"/>
    <s v="During"/>
    <n v="0.11081902896533542"/>
    <n v="8.4862714173059003E-2"/>
    <n v="-0.23422254313738522"/>
  </r>
  <r>
    <x v="190"/>
    <n v="4363"/>
    <n v="649"/>
    <n v="140"/>
    <n v="21815"/>
    <x v="0"/>
    <n v="0.23616777446710979"/>
    <s v="Before"/>
    <n v="0.13045531259534601"/>
    <n v="6.2150491965739366E-2"/>
    <n v="-0.5235878805601315"/>
  </r>
  <r>
    <x v="54"/>
    <n v="3811"/>
    <n v="866"/>
    <n v="216"/>
    <n v="34299"/>
    <x v="4"/>
    <n v="0.14265722032712325"/>
    <s v="Before"/>
    <n v="0.12800330650544267"/>
    <n v="8.5520696919660646E-2"/>
    <n v="-0.33188681406425757"/>
  </r>
  <r>
    <x v="191"/>
    <n v="4292"/>
    <n v="51"/>
    <n v="392"/>
    <n v="55796"/>
    <x v="2"/>
    <n v="8.4862714173059003E-2"/>
    <s v="Before"/>
    <n v="0.11575793246792193"/>
    <n v="0.14220299534507186"/>
    <n v="0.22845140988051257"/>
  </r>
  <r>
    <x v="192"/>
    <n v="2493"/>
    <n v="97"/>
    <n v="44"/>
    <n v="42381"/>
    <x v="4"/>
    <n v="6.2150491965739366E-2"/>
    <s v="Before"/>
    <n v="0.11463403571537205"/>
    <n v="8.0565268065268064E-2"/>
    <n v="-0.29719591949719237"/>
  </r>
  <r>
    <x v="193"/>
    <n v="2509"/>
    <n v="324"/>
    <n v="171"/>
    <n v="35126"/>
    <x v="1"/>
    <n v="8.5520696919660646E-2"/>
    <s v="Before"/>
    <n v="0.1204046210694948"/>
    <n v="0.12353896103896105"/>
    <n v="2.6031724875884735E-2"/>
  </r>
  <r>
    <x v="96"/>
    <n v="4941"/>
    <n v="414"/>
    <n v="266"/>
    <n v="39528"/>
    <x v="2"/>
    <n v="0.14220299534507186"/>
    <s v="Before"/>
    <n v="0.12859714245239043"/>
    <n v="0.16754738655944859"/>
    <n v="0.30288576685503277"/>
  </r>
  <r>
    <x v="194"/>
    <n v="3432"/>
    <n v="869"/>
    <n v="123"/>
    <n v="54912"/>
    <x v="1"/>
    <n v="8.0565268065268064E-2"/>
    <s v="Before"/>
    <n v="0.11431880528869084"/>
    <n v="0.1043848167539267"/>
    <n v="-8.6897238907262045E-2"/>
  </r>
  <r>
    <x v="38"/>
    <n v="880"/>
    <n v="297"/>
    <n v="345"/>
    <n v="12320"/>
    <x v="3"/>
    <n v="0.12353896103896105"/>
    <s v="N/A"/>
    <n v="0.11817139263823472"/>
    <n v="8.2835359571399134E-2"/>
    <n v="-0.29902358157876613"/>
  </r>
  <r>
    <x v="144"/>
    <n v="1741"/>
    <n v="831"/>
    <n v="345"/>
    <n v="17410"/>
    <x v="2"/>
    <n v="0.16754738655944859"/>
    <s v="Before"/>
    <n v="0.12596178957568019"/>
    <n v="0.14320716458262928"/>
    <n v="0.1369095744435081"/>
  </r>
  <r>
    <x v="195"/>
    <n v="3820"/>
    <n v="697"/>
    <n v="268"/>
    <n v="45840"/>
    <x v="4"/>
    <n v="0.1043848167539267"/>
    <s v="Before"/>
    <n v="0.1156620856657026"/>
    <n v="9.1897770527460579E-2"/>
    <n v="-0.20546331152049147"/>
  </r>
  <r>
    <x v="31"/>
    <n v="4853"/>
    <n v="837"/>
    <n v="340"/>
    <n v="72795"/>
    <x v="0"/>
    <n v="8.2835359571399134E-2"/>
    <s v="Before"/>
    <n v="0.12025930662796491"/>
    <n v="7.3170731707317069E-2"/>
    <n v="-0.39155867633863389"/>
  </r>
  <r>
    <x v="196"/>
    <n v="1076"/>
    <n v="313"/>
    <n v="306"/>
    <n v="11836"/>
    <x v="0"/>
    <n v="0.14320716458262928"/>
    <s v="Before"/>
    <n v="0.12183677002249567"/>
    <n v="8.4203612479474554E-2"/>
    <n v="-0.30888177301542558"/>
  </r>
  <r>
    <x v="54"/>
    <n v="1226"/>
    <n v="119"/>
    <n v="7"/>
    <n v="14712"/>
    <x v="4"/>
    <n v="9.1897770527460579E-2"/>
    <s v="Before"/>
    <n v="9.3520874468296045E-2"/>
    <n v="0.32083531086853345"/>
    <n v="2.4306277897059005"/>
  </r>
  <r>
    <x v="100"/>
    <n v="3813"/>
    <n v="935"/>
    <n v="274"/>
    <n v="68634"/>
    <x v="3"/>
    <n v="7.3170731707317069E-2"/>
    <s v="N/A"/>
    <n v="0.1496106680998808"/>
    <n v="0.19156491900087783"/>
    <n v="0.28042285643018561"/>
  </r>
  <r>
    <x v="51"/>
    <n v="4350"/>
    <n v="771"/>
    <n v="7"/>
    <n v="60900"/>
    <x v="0"/>
    <n v="8.4203612479474554E-2"/>
    <s v="Before"/>
    <n v="0.12931741320167292"/>
    <n v="8.4946236559139784E-2"/>
    <n v="-0.34311834380212552"/>
  </r>
  <r>
    <x v="156"/>
    <n v="602"/>
    <n v="594"/>
    <n v="156"/>
    <n v="4214"/>
    <x v="2"/>
    <n v="0.32083531086853345"/>
    <s v="Before"/>
    <n v="0.16129019357753355"/>
    <n v="0.19864505202032423"/>
    <n v="0.23160030758369629"/>
  </r>
  <r>
    <x v="109"/>
    <n v="4177"/>
    <n v="569"/>
    <n v="55"/>
    <n v="25062"/>
    <x v="0"/>
    <n v="0.19156491900087783"/>
    <s v="Before"/>
    <n v="0.13298864275992006"/>
    <n v="6.3947934081681396E-2"/>
    <n v="-0.51914740421011396"/>
  </r>
  <r>
    <x v="14"/>
    <n v="2728"/>
    <n v="533"/>
    <n v="215"/>
    <n v="40920"/>
    <x v="1"/>
    <n v="8.4946236559139784E-2"/>
    <s v="Before"/>
    <n v="0.10447476040973588"/>
    <n v="0.16118220597196831"/>
    <n v="0.54278607904754683"/>
  </r>
  <r>
    <x v="196"/>
    <n v="4133"/>
    <n v="466"/>
    <n v="327"/>
    <n v="24798"/>
    <x v="4"/>
    <n v="0.19864505202032423"/>
    <s v="Before"/>
    <n v="0.11841696610567205"/>
    <n v="5.6653298485940883E-2"/>
    <n v="-0.52157785873871287"/>
  </r>
  <r>
    <x v="10"/>
    <n v="4187"/>
    <n v="66"/>
    <n v="31"/>
    <n v="66992"/>
    <x v="3"/>
    <n v="6.3947934081681396E-2"/>
    <s v="N/A"/>
    <n v="0.11352259361472879"/>
    <n v="8.2108498129342594E-2"/>
    <n v="-0.27672108683491553"/>
  </r>
  <r>
    <x v="158"/>
    <n v="1094"/>
    <n v="472"/>
    <n v="21"/>
    <n v="9846"/>
    <x v="3"/>
    <n v="0.16118220597196831"/>
    <s v="N/A"/>
    <n v="9.8808684706065658E-2"/>
    <n v="7.3018902217375503E-2"/>
    <n v="-0.26100724410419135"/>
  </r>
  <r>
    <x v="141"/>
    <n v="4672"/>
    <n v="325"/>
    <n v="32"/>
    <n v="88768"/>
    <x v="3"/>
    <n v="5.6653298485940883E-2"/>
    <s v="N/A"/>
    <n v="0.10122103677713026"/>
    <n v="9.2726081258191345E-2"/>
    <n v="-8.3924802485902381E-2"/>
  </r>
  <r>
    <x v="161"/>
    <n v="1871"/>
    <n v="252"/>
    <n v="335"/>
    <n v="29936"/>
    <x v="2"/>
    <n v="8.2108498129342594E-2"/>
    <s v="Before"/>
    <n v="8.2617827201636476E-2"/>
    <n v="9.5290736237010829E-2"/>
    <n v="0.153391942933151"/>
  </r>
  <r>
    <x v="7"/>
    <n v="2751"/>
    <n v="33"/>
    <n v="430"/>
    <n v="44016"/>
    <x v="3"/>
    <n v="7.3018902217375503E-2"/>
    <s v="N/A"/>
    <n v="8.7011906570859221E-2"/>
    <n v="0.19310344827586207"/>
    <n v="1.2192761414623858"/>
  </r>
  <r>
    <x v="32"/>
    <n v="2180"/>
    <n v="263"/>
    <n v="387"/>
    <n v="30520"/>
    <x v="3"/>
    <n v="9.2726081258191345E-2"/>
    <s v="N/A"/>
    <n v="0.12704008859035473"/>
    <e v="#DIV/0!"/>
    <e v="#DIV/0!"/>
  </r>
  <r>
    <x v="156"/>
    <n v="4523"/>
    <n v="61"/>
    <n v="157"/>
    <n v="49753"/>
    <x v="3"/>
    <n v="9.5290736237010829E-2"/>
    <s v="N/A"/>
    <n v="0.14419709225643645"/>
    <e v="#DIV/0!"/>
    <e v="#DIV/0!"/>
  </r>
  <r>
    <x v="197"/>
    <n v="2610"/>
    <n v="126"/>
    <n v="288"/>
    <n v="15660"/>
    <x v="3"/>
    <n v="0.19310344827586207"/>
    <s v="N/A"/>
    <n v="0.19310344827586207"/>
    <e v="#DIV/0!"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D71D5-B088-4007-93E3-64BF0C4ACCFF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ntent Type" colHeaderCaption="Platform">
  <location ref="G19:S27" firstHeaderRow="1" firstDataRow="3" firstDataCol="1"/>
  <pivotFields count="16">
    <pivotField showAll="0"/>
    <pivotField axis="axisCol" showAll="0">
      <items count="5">
        <item x="3"/>
        <item x="2"/>
        <item x="0"/>
        <item x="1"/>
        <item t="default"/>
      </items>
    </pivotField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numFmtId="1" showAll="0"/>
    <pivotField dataField="1" numFmtId="1" showAll="0"/>
    <pivotField dataField="1"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numFmtId="2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Fields count="2">
    <field x="1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</colItems>
  <dataFields count="3">
    <dataField name="Total Likes" fld="5" baseField="3" baseItem="0" numFmtId="1"/>
    <dataField name="Total Comments" fld="7" baseField="3" baseItem="0" numFmtId="1"/>
    <dataField name="Total Shares" fld="6" baseField="3" baseItem="0" numFmtId="1"/>
  </dataFields>
  <formats count="24">
    <format dxfId="124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1" selected="0">
            <x v="0"/>
          </reference>
        </references>
      </pivotArea>
    </format>
    <format dxfId="123">
      <pivotArea type="origin" dataOnly="0" labelOnly="1" outline="0" fieldPosition="0"/>
    </format>
    <format dxfId="122">
      <pivotArea field="1" type="button" dataOnly="0" labelOnly="1" outline="0" axis="axisCol" fieldPosition="0"/>
    </format>
    <format dxfId="121">
      <pivotArea field="-2" type="button" dataOnly="0" labelOnly="1" outline="0" axis="axisCol" fieldPosition="1"/>
    </format>
    <format dxfId="120">
      <pivotArea type="topRight" dataOnly="0" labelOnly="1" outline="0" offset="A1" fieldPosition="0"/>
    </format>
    <format dxfId="119">
      <pivotArea field="3" type="button" dataOnly="0" labelOnly="1" outline="0" axis="axisRow" fieldPosition="0"/>
    </format>
    <format dxfId="118">
      <pivotArea dataOnly="0" labelOnly="1" fieldPosition="0">
        <references count="1">
          <reference field="3" count="0"/>
        </references>
      </pivotArea>
    </format>
    <format dxfId="11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116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1" selected="0">
            <x v="1"/>
          </reference>
        </references>
      </pivotArea>
    </format>
    <format dxfId="115">
      <pivotArea type="topRight" dataOnly="0" labelOnly="1" outline="0" offset="B1:D1" fieldPosition="0"/>
    </format>
    <format dxfId="114">
      <pivotArea dataOnly="0" labelOnly="1" fieldPosition="0">
        <references count="1">
          <reference field="1" count="1">
            <x v="1"/>
          </reference>
        </references>
      </pivotArea>
    </format>
    <format dxfId="11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112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1" selected="0">
            <x v="2"/>
          </reference>
        </references>
      </pivotArea>
    </format>
    <format dxfId="111">
      <pivotArea type="topRight" dataOnly="0" labelOnly="1" outline="0" offset="E1:G1" fieldPosition="0"/>
    </format>
    <format dxfId="11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109">
      <pivotArea outline="0" collapsedLevelsAreSubtotals="1" fieldPosition="0">
        <references count="1">
          <reference field="1" count="1" selected="0">
            <x v="3"/>
          </reference>
        </references>
      </pivotArea>
    </format>
    <format dxfId="108">
      <pivotArea type="topRight" dataOnly="0" labelOnly="1" outline="0" offset="H1:J1" fieldPosition="0"/>
    </format>
    <format dxfId="10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3"/>
          </reference>
        </references>
      </pivotArea>
    </format>
    <format dxfId="106">
      <pivotArea outline="0" collapsedLevelsAreSubtotals="1" fieldPosition="0"/>
    </format>
    <format dxfId="105">
      <pivotArea dataOnly="0" labelOnly="1" fieldPosition="0">
        <references count="1">
          <reference field="1" count="1">
            <x v="1"/>
          </reference>
        </references>
      </pivotArea>
    </format>
    <format dxfId="104">
      <pivotArea dataOnly="0" labelOnly="1" fieldPosition="0">
        <references count="1">
          <reference field="1" count="1">
            <x v="1"/>
          </reference>
        </references>
      </pivotArea>
    </format>
    <format dxfId="103">
      <pivotArea dataOnly="0" labelOnly="1" fieldPosition="0">
        <references count="1">
          <reference field="1" count="1">
            <x v="0"/>
          </reference>
        </references>
      </pivotArea>
    </format>
    <format dxfId="102">
      <pivotArea dataOnly="0" labelOnly="1" fieldPosition="0">
        <references count="1">
          <reference field="1" count="1">
            <x v="1"/>
          </reference>
        </references>
      </pivotArea>
    </format>
    <format dxfId="101">
      <pivotArea dataOnly="0" labelOnly="1" fieldPosition="0">
        <references count="1">
          <reference field="1" count="1">
            <x v="0"/>
          </reference>
        </references>
      </pivotArea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03C2A-CBF3-4522-8FB5-C2D1E02D3BE3}" name="PivotTable7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Hastags">
  <location ref="H4:I10" firstHeaderRow="1" firstDataRow="1" firstDataCol="1"/>
  <pivotFields count="2">
    <pivotField axis="axisRow" showAll="0">
      <items count="7">
        <item x="3"/>
        <item x="4"/>
        <item x="0"/>
        <item x="1"/>
        <item x="5"/>
        <item x="2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Average of Clicks" fld="1" subtotal="average" baseField="0" baseItem="0"/>
  </dataFields>
  <formats count="11">
    <format dxfId="97">
      <pivotArea dataOnly="0" labelOnly="1" fieldPosition="0">
        <references count="1">
          <reference field="0" count="0"/>
        </references>
      </pivotArea>
    </format>
    <format dxfId="96">
      <pivotArea field="0" type="button" dataOnly="0" labelOnly="1" outline="0" axis="axisRow" fieldPosition="0"/>
    </format>
    <format dxfId="95">
      <pivotArea dataOnly="0" labelOnly="1" outline="0" axis="axisValues" fieldPosition="0"/>
    </format>
    <format dxfId="94">
      <pivotArea dataOnly="0" labelOnly="1" outline="0" axis="axisValues" fieldPosition="0"/>
    </format>
    <format dxfId="93">
      <pivotArea outline="0" collapsedLevelsAreSubtotals="1" fieldPosition="0"/>
    </format>
    <format dxfId="92">
      <pivotArea dataOnly="0" labelOnly="1" outline="0" axis="axisValues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0" type="button" dataOnly="0" labelOnly="1" outline="0" axis="axisRow" fieldPosition="0"/>
    </format>
    <format dxfId="88">
      <pivotArea dataOnly="0" labelOnly="1" fieldPosition="0">
        <references count="1">
          <reference field="0" count="0"/>
        </references>
      </pivotArea>
    </format>
    <format dxfId="87">
      <pivotArea dataOnly="0" labelOnly="1" outline="0" axis="axisValues" fieldPosition="0"/>
    </format>
  </formats>
  <pivotTableStyleInfo name="PivotStyleMedium5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8D65DC-7AED-446E-83F1-D41A2120F210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latform">
  <location ref="M4:N8" firstHeaderRow="1" firstDataRow="1" firstDataCol="1"/>
  <pivotFields count="7">
    <pivotField showAll="0"/>
    <pivotField axis="axisRow" showAll="0" sortType="ascending">
      <items count="5">
        <item x="1"/>
        <item x="0"/>
        <item n="X" x="2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Engagement_Rate" fld="5" subtotal="average" baseField="1" baseItem="0" numFmtId="2"/>
  </dataFields>
  <formats count="2">
    <format dxfId="76">
      <pivotArea outline="0" collapsedLevelsAreSubtotals="1" fieldPosition="0"/>
    </format>
    <format dxfId="75">
      <pivotArea outline="0" collapsedLevelsAreSubtotals="1" fieldPosition="0"/>
    </format>
  </formats>
  <pivotTableStyleInfo name="PivotStyleDark2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6F98E-FA0A-4DEC-8292-F3A052538079}" name="PivotTable3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latform">
  <location ref="V4:W8" firstHeaderRow="1" firstDataRow="1" firstDataCol="1"/>
  <pivotFields count="7">
    <pivotField axis="axisRow" showAll="0">
      <items count="6">
        <item x="1"/>
        <item x="3"/>
        <item m="1" x="4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numFmtId="10" showAll="0"/>
  </pivotFields>
  <rowFields count="1">
    <field x="0"/>
  </rowFields>
  <rowItems count="4">
    <i>
      <x/>
    </i>
    <i>
      <x v="1"/>
    </i>
    <i>
      <x v="3"/>
    </i>
    <i>
      <x v="4"/>
    </i>
  </rowItems>
  <colItems count="1">
    <i/>
  </colItems>
  <dataFields count="1">
    <dataField name="Average of  Growth_Rates" fld="6" subtotal="average" baseField="0" baseItem="0" numFmtId="10"/>
  </dataFields>
  <formats count="4">
    <format dxfId="80">
      <pivotArea outline="0" collapsedLevelsAreSubtotals="1" fieldPosition="0"/>
    </format>
    <format dxfId="79">
      <pivotArea collapsedLevelsAreSubtotals="1" fieldPosition="0">
        <references count="1">
          <reference field="0" count="3">
            <x v="1"/>
            <x v="3"/>
            <x v="4"/>
          </reference>
        </references>
      </pivotArea>
    </format>
    <format dxfId="78">
      <pivotArea collapsedLevelsAreSubtotals="1" fieldPosition="0">
        <references count="1">
          <reference field="0" count="1">
            <x v="0"/>
          </reference>
        </references>
      </pivotArea>
    </format>
    <format dxfId="77">
      <pivotArea outline="0" collapsedLevelsAreSubtotals="1" fieldPosition="0"/>
    </format>
  </formats>
  <pivotTableStyleInfo name="PivotStyleDark2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9F5A81-8AAA-416A-926D-3F69571545D7}" name="PivotTable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Hashtags">
  <location ref="G14:H20" firstHeaderRow="1" firstDataRow="1" firstDataCol="1"/>
  <pivotFields count="3">
    <pivotField axis="axisRow" dataField="1" showAll="0" sortType="descending">
      <items count="7">
        <item x="0"/>
        <item x="4"/>
        <item x="1"/>
        <item x="2"/>
        <item x="5"/>
        <item x="3"/>
        <item t="default"/>
      </items>
    </pivotField>
    <pivotField numFmtId="1" showAll="0"/>
    <pivotField numFmtI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unt of Hashtags Used" fld="0" subtotal="count" baseField="0" baseItem="0"/>
  </dataFields>
  <formats count="1">
    <format dxfId="64">
      <pivotArea outline="0" collapsedLevelsAreSubtotals="1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7E07E-BACB-43EB-AB31-03A6E0D6A386}" name="PivotTable3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Hashtags">
  <location ref="G2:I8" firstHeaderRow="0" firstDataRow="1" firstDataCol="1"/>
  <pivotFields count="3">
    <pivotField axis="axisRow" showAll="0">
      <items count="7">
        <item x="3"/>
        <item x="5"/>
        <item x="2"/>
        <item x="1"/>
        <item x="4"/>
        <item x="0"/>
        <item t="default"/>
      </items>
    </pivotField>
    <pivotField dataField="1" numFmtId="1" showAll="0"/>
    <pivotField dataField="1" numFmtI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Average of Likes" fld="1" subtotal="average" baseField="0" baseItem="0" numFmtId="1"/>
    <dataField name="Average of Comments" fld="2" subtotal="average" baseField="0" baseItem="0" numFmtId="1"/>
  </dataFields>
  <formats count="1">
    <format dxfId="65">
      <pivotArea outline="0" collapsedLevelsAreSubtotals="1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8121A-6AE9-4521-AA57-902E6735FBDC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 rowHeaderCaption="Platform">
  <location ref="B2:F9" firstHeaderRow="1" firstDataRow="2" firstDataCol="1"/>
  <pivotFields count="16">
    <pivotField showAll="0"/>
    <pivotField axis="axisCol" showAll="0">
      <items count="5">
        <item x="3"/>
        <item x="2"/>
        <item x="0"/>
        <item x="1"/>
        <item t="default"/>
      </items>
    </pivotField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dataField="1" numFmtId="2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Average of Engagement_Rate" fld="15" subtotal="average" baseField="3" baseItem="0" numFmtId="2"/>
  </dataFields>
  <formats count="10">
    <format dxfId="63">
      <pivotArea dataOnly="0" labelOnly="1" fieldPosition="0">
        <references count="1">
          <reference field="1" count="1">
            <x v="2"/>
          </reference>
        </references>
      </pivotArea>
    </format>
    <format dxfId="62">
      <pivotArea dataOnly="0" labelOnly="1" fieldPosition="0">
        <references count="1">
          <reference field="1" count="1">
            <x v="3"/>
          </reference>
        </references>
      </pivotArea>
    </format>
    <format dxfId="61">
      <pivotArea dataOnly="0" labelOnly="1" fieldPosition="0">
        <references count="1">
          <reference field="1" count="1">
            <x v="1"/>
          </reference>
        </references>
      </pivotArea>
    </format>
    <format dxfId="60">
      <pivotArea dataOnly="0" labelOnly="1" fieldPosition="0">
        <references count="1">
          <reference field="1" count="1">
            <x v="0"/>
          </reference>
        </references>
      </pivotArea>
    </format>
    <format dxfId="59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58">
      <pivotArea outline="0" collapsedLevelsAreSubtotals="1" fieldPosition="0">
        <references count="1">
          <reference field="1" count="1" selected="0">
            <x v="2"/>
          </reference>
        </references>
      </pivotArea>
    </format>
    <format dxfId="57">
      <pivotArea outline="0" collapsedLevelsAreSubtotals="1" fieldPosition="0">
        <references count="1">
          <reference field="1" count="1" selected="0">
            <x v="3"/>
          </reference>
        </references>
      </pivotArea>
    </format>
    <format dxfId="56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55">
      <pivotArea type="all" dataOnly="0" outline="0" fieldPosition="0"/>
    </format>
    <format dxfId="54">
      <pivotArea type="all" dataOnly="0" outline="0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23664E-A8D4-44FE-A6F5-D777066BA24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3:H8" firstHeaderRow="0" firstDataRow="1" firstDataCol="1"/>
  <pivotFields count="16">
    <pivotField showAll="0"/>
    <pivotField showAll="0"/>
    <pivotField showAll="0"/>
    <pivotField showAll="0"/>
    <pivotField showAll="0"/>
    <pivotField dataField="1" numFmtId="1" showAll="0"/>
    <pivotField numFmtId="1" showAll="0"/>
    <pivotField numFmtId="1" showAll="0"/>
    <pivotField dataField="1" numFmtId="1" showAll="0"/>
    <pivotField numFmtId="1" showAll="0"/>
    <pivotField dataField="1" numFmtId="1" showAll="0"/>
    <pivotField showAll="0"/>
    <pivotField showAll="0"/>
    <pivotField showAll="0"/>
    <pivotField axis="axisRow" showAll="0">
      <items count="6">
        <item x="3"/>
        <item x="1"/>
        <item h="1" x="4"/>
        <item x="2"/>
        <item x="0"/>
        <item t="default"/>
      </items>
    </pivotField>
    <pivotField numFmtId="2" showAll="0"/>
  </pivotFields>
  <rowFields count="1">
    <field x="14"/>
  </rowFields>
  <rowItems count="5">
    <i>
      <x/>
    </i>
    <i>
      <x v="1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mpressions" fld="8" baseField="0" baseItem="0" numFmtId="1"/>
    <dataField name="Sum of Likes" fld="5" baseField="0" baseItem="0" numFmtId="1"/>
    <dataField name="Sum of Clicks" fld="10" baseField="0" baseItem="0" numFmtId="1"/>
  </dataFields>
  <formats count="2">
    <format dxfId="49">
      <pivotArea collapsedLevelsAreSubtotals="1" fieldPosition="0">
        <references count="1">
          <reference field="14" count="0"/>
        </references>
      </pivotArea>
    </format>
    <format dxfId="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5718B-97C7-4830-9C52-18D6472F998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K3:N8" firstHeaderRow="0" firstDataRow="1" firstDataCol="1"/>
  <pivotFields count="16">
    <pivotField showAll="0"/>
    <pivotField showAll="0"/>
    <pivotField showAll="0"/>
    <pivotField showAll="0"/>
    <pivotField showAll="0"/>
    <pivotField dataField="1" numFmtId="1" showAll="0"/>
    <pivotField numFmtId="1" showAll="0"/>
    <pivotField numFmtId="1" showAll="0"/>
    <pivotField dataField="1" numFmtId="1" showAll="0"/>
    <pivotField numFmtId="1" showAll="0"/>
    <pivotField dataField="1" numFmtId="1" showAll="0"/>
    <pivotField showAll="0"/>
    <pivotField showAll="0"/>
    <pivotField showAll="0"/>
    <pivotField axis="axisRow" showAll="0">
      <items count="6">
        <item x="3"/>
        <item x="1"/>
        <item h="1" x="4"/>
        <item x="2"/>
        <item x="0"/>
        <item t="default"/>
      </items>
    </pivotField>
    <pivotField numFmtId="2" showAll="0"/>
  </pivotFields>
  <rowFields count="1">
    <field x="14"/>
  </rowFields>
  <rowItems count="5">
    <i>
      <x/>
    </i>
    <i>
      <x v="1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Impressions" fld="8" subtotal="average" baseField="14" baseItem="0" numFmtId="1"/>
    <dataField name="Average of Clicks" fld="10" subtotal="average" baseField="14" baseItem="0" numFmtId="1"/>
    <dataField name="Average of Likes" fld="5" subtotal="average" baseField="14" baseItem="0" numFmtId="1"/>
  </dataFields>
  <formats count="4">
    <format dxfId="53">
      <pivotArea collapsedLevelsAreSubtotals="1" fieldPosition="0">
        <references count="1">
          <reference field="14" count="0"/>
        </references>
      </pivotArea>
    </format>
    <format dxfId="5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B00B8-75F4-4A2A-AAFF-C150EF2D6EB3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4:N19" firstHeaderRow="1" firstDataRow="1" firstDataCol="1"/>
  <pivotFields count="11">
    <pivotField showAll="0">
      <items count="199">
        <item x="179"/>
        <item x="10"/>
        <item x="4"/>
        <item x="94"/>
        <item x="97"/>
        <item x="134"/>
        <item x="109"/>
        <item x="22"/>
        <item x="79"/>
        <item x="70"/>
        <item x="124"/>
        <item x="163"/>
        <item x="144"/>
        <item x="157"/>
        <item x="29"/>
        <item x="106"/>
        <item x="42"/>
        <item x="152"/>
        <item x="60"/>
        <item x="73"/>
        <item x="99"/>
        <item x="111"/>
        <item x="147"/>
        <item x="86"/>
        <item x="172"/>
        <item x="139"/>
        <item x="183"/>
        <item x="7"/>
        <item x="178"/>
        <item x="38"/>
        <item x="82"/>
        <item x="103"/>
        <item x="95"/>
        <item x="105"/>
        <item x="40"/>
        <item x="26"/>
        <item x="19"/>
        <item x="36"/>
        <item x="91"/>
        <item x="112"/>
        <item x="145"/>
        <item x="116"/>
        <item x="190"/>
        <item x="132"/>
        <item x="186"/>
        <item x="45"/>
        <item x="16"/>
        <item x="164"/>
        <item x="100"/>
        <item x="195"/>
        <item x="150"/>
        <item x="8"/>
        <item x="31"/>
        <item x="129"/>
        <item x="90"/>
        <item x="138"/>
        <item x="50"/>
        <item x="18"/>
        <item x="167"/>
        <item x="62"/>
        <item x="192"/>
        <item x="143"/>
        <item x="74"/>
        <item x="123"/>
        <item x="64"/>
        <item x="44"/>
        <item x="68"/>
        <item x="194"/>
        <item x="32"/>
        <item x="189"/>
        <item x="130"/>
        <item x="3"/>
        <item x="182"/>
        <item x="28"/>
        <item x="121"/>
        <item x="5"/>
        <item x="151"/>
        <item x="98"/>
        <item x="158"/>
        <item x="13"/>
        <item x="58"/>
        <item x="51"/>
        <item x="196"/>
        <item x="169"/>
        <item x="114"/>
        <item x="142"/>
        <item x="128"/>
        <item x="35"/>
        <item x="110"/>
        <item x="77"/>
        <item x="175"/>
        <item x="71"/>
        <item x="53"/>
        <item x="119"/>
        <item x="39"/>
        <item x="176"/>
        <item x="55"/>
        <item x="149"/>
        <item x="12"/>
        <item x="127"/>
        <item x="181"/>
        <item x="156"/>
        <item x="17"/>
        <item x="24"/>
        <item x="23"/>
        <item x="21"/>
        <item x="161"/>
        <item x="67"/>
        <item x="165"/>
        <item x="37"/>
        <item x="66"/>
        <item x="133"/>
        <item x="15"/>
        <item x="89"/>
        <item x="170"/>
        <item x="160"/>
        <item x="102"/>
        <item x="131"/>
        <item x="0"/>
        <item x="14"/>
        <item x="193"/>
        <item x="140"/>
        <item x="184"/>
        <item x="84"/>
        <item x="187"/>
        <item x="162"/>
        <item x="185"/>
        <item x="107"/>
        <item x="166"/>
        <item x="108"/>
        <item x="72"/>
        <item x="49"/>
        <item x="126"/>
        <item x="57"/>
        <item x="120"/>
        <item x="46"/>
        <item x="25"/>
        <item x="6"/>
        <item x="75"/>
        <item x="83"/>
        <item x="2"/>
        <item x="191"/>
        <item x="148"/>
        <item x="154"/>
        <item x="87"/>
        <item x="197"/>
        <item x="30"/>
        <item x="159"/>
        <item x="11"/>
        <item x="180"/>
        <item x="141"/>
        <item x="155"/>
        <item x="115"/>
        <item x="80"/>
        <item x="76"/>
        <item x="104"/>
        <item x="48"/>
        <item x="188"/>
        <item x="1"/>
        <item x="43"/>
        <item x="117"/>
        <item x="171"/>
        <item x="137"/>
        <item x="173"/>
        <item x="52"/>
        <item x="135"/>
        <item x="96"/>
        <item x="101"/>
        <item x="88"/>
        <item x="81"/>
        <item x="78"/>
        <item x="9"/>
        <item x="61"/>
        <item x="146"/>
        <item x="177"/>
        <item x="69"/>
        <item x="85"/>
        <item x="54"/>
        <item x="63"/>
        <item x="136"/>
        <item x="56"/>
        <item x="27"/>
        <item x="33"/>
        <item x="34"/>
        <item x="65"/>
        <item x="174"/>
        <item x="113"/>
        <item x="168"/>
        <item x="93"/>
        <item x="41"/>
        <item x="153"/>
        <item x="122"/>
        <item x="59"/>
        <item x="125"/>
        <item x="47"/>
        <item x="92"/>
        <item x="118"/>
        <item x="20"/>
        <item t="default"/>
      </items>
    </pivotField>
    <pivotField showAll="0"/>
    <pivotField showAll="0"/>
    <pivotField showAll="0"/>
    <pivotField showAll="0"/>
    <pivotField axis="axisRow" showAll="0">
      <items count="6">
        <item x="4"/>
        <item x="1"/>
        <item h="1" x="3"/>
        <item x="2"/>
        <item x="0"/>
        <item t="default"/>
      </items>
    </pivotField>
    <pivotField numFmtId="10" showAll="0"/>
    <pivotField showAll="0"/>
    <pivotField numFmtId="2" showAll="0"/>
    <pivotField showAll="0"/>
    <pivotField dataField="1" showAll="0"/>
  </pivotFields>
  <rowFields count="1">
    <field x="5"/>
  </rowFields>
  <rowItems count="5">
    <i>
      <x/>
    </i>
    <i>
      <x v="1"/>
    </i>
    <i>
      <x v="3"/>
    </i>
    <i>
      <x v="4"/>
    </i>
    <i t="grand">
      <x/>
    </i>
  </rowItems>
  <colItems count="1">
    <i/>
  </colItems>
  <dataFields count="1">
    <dataField name="Average of Engagement_Uplift" fld="10" subtotal="average" baseField="0" baseItem="0"/>
  </dataFields>
  <formats count="1">
    <format dxfId="47">
      <pivotArea collapsedLevelsAreSubtotals="1" fieldPosition="0">
        <references count="1">
          <reference field="5" count="0"/>
        </references>
      </pivotArea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AC3C6C-263F-4B6F-A73A-EA1F84C4E5FD}" name="PivotTable2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 rowHeaderCaption="Campaign_Name">
  <location ref="K2:L6" firstHeaderRow="1" firstDataRow="1" firstDataCol="1"/>
  <pivotFields count="8">
    <pivotField axis="axisRow" showAll="0">
      <items count="6">
        <item x="1"/>
        <item x="2"/>
        <item h="1" x="3"/>
        <item x="0"/>
        <item x="4"/>
        <item t="default"/>
      </items>
    </pivotField>
    <pivotField numFmtId="1" showAll="0"/>
    <pivotField numFmtId="1" showAll="0"/>
    <pivotField numFmtId="1" showAll="0"/>
    <pivotField numFmtId="1" showAll="0"/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3"/>
    </i>
    <i>
      <x v="4"/>
    </i>
  </rowItems>
  <colItems count="1">
    <i/>
  </colItems>
  <dataFields count="1">
    <dataField name="Average of ROI" fld="7" subtotal="average" baseField="0" baseItem="0" numFmtId="165"/>
  </dataFields>
  <formats count="1">
    <format dxfId="28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AEF1E1-E8F2-462B-A4D9-77B4A18375B0}" name="PivotTable2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 rowHeaderCaption="Campaign_Name">
  <location ref="F2:G6" firstHeaderRow="1" firstDataRow="1" firstDataCol="1"/>
  <pivotFields count="4"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Net_follower_Gain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382B0F-7B77-4A48-BA98-8603F20D5AC6}" name="PivotTable4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M29:N79" firstHeaderRow="1" firstDataRow="1" firstDataCol="1"/>
  <pivotFields count="5">
    <pivotField axis="axisRow" showAll="0">
      <items count="51">
        <item x="43"/>
        <item x="37"/>
        <item x="31"/>
        <item x="14"/>
        <item x="32"/>
        <item x="13"/>
        <item x="2"/>
        <item x="35"/>
        <item x="26"/>
        <item x="48"/>
        <item x="34"/>
        <item x="15"/>
        <item x="19"/>
        <item x="38"/>
        <item x="23"/>
        <item x="42"/>
        <item x="11"/>
        <item x="8"/>
        <item x="1"/>
        <item x="39"/>
        <item x="27"/>
        <item x="16"/>
        <item x="20"/>
        <item x="41"/>
        <item x="47"/>
        <item x="10"/>
        <item x="9"/>
        <item x="4"/>
        <item x="28"/>
        <item x="22"/>
        <item x="3"/>
        <item x="40"/>
        <item x="6"/>
        <item x="24"/>
        <item x="29"/>
        <item x="44"/>
        <item x="5"/>
        <item x="21"/>
        <item x="7"/>
        <item x="36"/>
        <item x="33"/>
        <item x="30"/>
        <item x="46"/>
        <item x="12"/>
        <item x="45"/>
        <item x="49"/>
        <item x="18"/>
        <item x="25"/>
        <item x="0"/>
        <item x="17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</rowItems>
  <colItems count="1">
    <i/>
  </colItems>
  <dataFields count="1">
    <dataField name="Sum of Net_follower_Gain" fld="4" baseField="0" baseItem="0"/>
  </dataFields>
  <formats count="1">
    <format dxfId="14">
      <pivotArea dataOnly="0" labelOnly="1" fieldPosition="0">
        <references count="1">
          <reference field="0" count="0"/>
        </references>
      </pivotArea>
    </format>
  </formats>
  <conditionalFormats count="3">
    <conditionalFormat type="all"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type="all"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7E7CD-2065-4B6C-B1D6-25895092F5F6}" name="PivotTable3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G3:K54" firstHeaderRow="1" firstDataRow="2" firstDataCol="1"/>
  <pivotFields count="5">
    <pivotField axis="axisRow" showAll="0">
      <items count="51">
        <item x="43"/>
        <item x="37"/>
        <item x="31"/>
        <item x="14"/>
        <item x="32"/>
        <item x="13"/>
        <item x="2"/>
        <item x="35"/>
        <item x="26"/>
        <item x="48"/>
        <item x="34"/>
        <item x="15"/>
        <item x="19"/>
        <item x="38"/>
        <item x="23"/>
        <item x="42"/>
        <item x="11"/>
        <item x="8"/>
        <item x="1"/>
        <item x="39"/>
        <item x="27"/>
        <item x="16"/>
        <item x="20"/>
        <item x="41"/>
        <item x="47"/>
        <item x="10"/>
        <item x="9"/>
        <item x="4"/>
        <item x="28"/>
        <item x="22"/>
        <item x="3"/>
        <item x="40"/>
        <item x="6"/>
        <item x="24"/>
        <item x="29"/>
        <item x="44"/>
        <item x="5"/>
        <item x="21"/>
        <item x="7"/>
        <item x="36"/>
        <item x="33"/>
        <item x="30"/>
        <item x="46"/>
        <item x="12"/>
        <item x="45"/>
        <item x="49"/>
        <item x="18"/>
        <item x="25"/>
        <item x="0"/>
        <item x="17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Sum of Net_follower_Gain" fld="4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8951DA-DDB0-42AC-9431-03866204A6A3}" name="Table1" displayName="Table1" ref="A1:P301" totalsRowShown="0">
  <autoFilter ref="A1:P301" xr:uid="{6A8951DA-DDB0-42AC-9431-03866204A6A3}"/>
  <sortState xmlns:xlrd2="http://schemas.microsoft.com/office/spreadsheetml/2017/richdata2" ref="A2:P301">
    <sortCondition ref="A1:A301"/>
  </sortState>
  <tableColumns count="16">
    <tableColumn id="1" xr3:uid="{29F28A55-ACFF-417E-B9E8-79667DDDD67E}" name="Post ID" dataDxfId="138"/>
    <tableColumn id="2" xr3:uid="{4B8E9FB9-E492-46DA-A182-DE8B22297AD9}" name="Platform" dataDxfId="137"/>
    <tableColumn id="3" xr3:uid="{B5A3AD1E-CA5B-4AD7-9627-DED61FB89F5B}" name="Date" dataDxfId="136"/>
    <tableColumn id="4" xr3:uid="{50B9D319-1991-4A61-A999-A2516FEE1E66}" name="Content Type" dataDxfId="135"/>
    <tableColumn id="5" xr3:uid="{056E3580-439F-4E2C-8102-65504E19F77C}" name="Post Text" dataDxfId="134"/>
    <tableColumn id="6" xr3:uid="{7AE53E1F-4B40-4C2D-B0E0-C6383DDCB397}" name="Likes" dataDxfId="133"/>
    <tableColumn id="7" xr3:uid="{6E8C19D5-F2EF-413D-8AC3-914271BA7793}" name="Shares" dataDxfId="132"/>
    <tableColumn id="8" xr3:uid="{93A713A7-F6EA-4DB5-9437-3D4CBFD99990}" name="Comments" dataDxfId="131"/>
    <tableColumn id="9" xr3:uid="{920F49BF-DF22-44A4-9F23-4E0C7B0AA96C}" name="Impressions" dataDxfId="130"/>
    <tableColumn id="10" xr3:uid="{7C40DCE4-4E9E-4952-B8D4-CC2C9054EB57}" name="Reach" dataDxfId="129"/>
    <tableColumn id="11" xr3:uid="{0B2F2F30-3670-4F07-87F2-4CBC115B412C}" name="Clicks" dataDxfId="128"/>
    <tableColumn id="12" xr3:uid="{1633A7B8-7018-4040-A423-1F3306A36575}" name="Hashtags Used" dataDxfId="127"/>
    <tableColumn id="13" xr3:uid="{EC7EB8CC-22A6-4233-AB06-344CF05094E8}" name="Hastags 2" dataDxfId="126"/>
    <tableColumn id="14" xr3:uid="{123932DC-58ED-42F2-991C-2CB658FF8613}" name="Hastags 3"/>
    <tableColumn id="15" xr3:uid="{BBD19F98-59B5-4E2D-AD8F-87E3FDF9DEBD}" name="Campaign_Name" dataDxfId="125" dataCellStyle="Normal 2"/>
    <tableColumn id="16" xr3:uid="{DE92F440-010B-4615-B309-0059A86566A8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FC70FF-490E-4E56-B048-2B86802DBCD9}" name="Table4" displayName="Table4" ref="A1:C301" totalsRowShown="0" tableBorderDxfId="100">
  <autoFilter ref="A1:C301" xr:uid="{9CFC70FF-490E-4E56-B048-2B86802DBCD9}"/>
  <tableColumns count="3">
    <tableColumn id="1" xr3:uid="{03D07085-7C7E-48FA-AC30-329F4ACB9998}" name="Engagement_Rate" dataDxfId="99"/>
    <tableColumn id="2" xr3:uid="{0C08770C-E098-416A-B2EF-4C5AEE8DA744}" name="Platform"/>
    <tableColumn id="3" xr3:uid="{F52C96AE-B5E4-433D-A65C-89E159E9C660}" name="Average Engagement_Rate" dataDxfId="98">
      <calculatedColumnFormula>AVERAGE((Table1[[#This Row],[Likes]]+Table1[[#This Row],[Shares]]+Table1[[#This Row],[Comments]])/Table1[[#This Row],[Impressions]])</calculatedColumnFormula>
    </tableColumn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C39C9C-D18B-4C68-88ED-2549742DC2EE}" name="Table3" displayName="Table3" ref="A1:D340" totalsRowShown="0" headerRowBorderDxfId="86" tableBorderDxfId="85">
  <autoFilter ref="A1:D340" xr:uid="{79C39C9C-D18B-4C68-88ED-2549742DC2EE}"/>
  <sortState xmlns:xlrd2="http://schemas.microsoft.com/office/spreadsheetml/2017/richdata2" ref="A2:D340">
    <sortCondition ref="C1:C340"/>
  </sortState>
  <tableColumns count="4">
    <tableColumn id="1" xr3:uid="{32F01B23-A25D-48B6-A87E-F5D263184F1E}" name="Hashtags Used" dataDxfId="84"/>
    <tableColumn id="2" xr3:uid="{4B18B2D5-8196-4F17-895A-580F4D81FED4}" name="Clicks" dataDxfId="83"/>
    <tableColumn id="3" xr3:uid="{82E732A8-D413-4CF9-8301-F7D2893FA63E}" name="Hashtags_rank" dataDxfId="82">
      <calculatedColumnFormula>_xlfn.RANK.EQ(B2, B:B, 0)</calculatedColumnFormula>
    </tableColumn>
    <tableColumn id="4" xr3:uid="{507024CB-6656-4B17-A377-E2942FC280A6}" name="Top_Hastage" dataDxfId="81">
      <calculatedColumnFormula>IF(C2&lt;=10,"Top Performing","Avg Performing")</calculatedColumnFormula>
    </tableColumn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CD90B8-E8BE-47B7-B748-2246BBF914CF}" name="Table2" displayName="Table2" ref="A1:G201" totalsRowShown="0" headerRowDxfId="74" dataDxfId="73">
  <autoFilter ref="A1:G201" xr:uid="{6BCD90B8-E8BE-47B7-B748-2246BBF914CF}"/>
  <tableColumns count="7">
    <tableColumn id="1" xr3:uid="{8EC1808A-909D-45F0-AEDC-110385E586DC}" name="Platform" dataDxfId="72"/>
    <tableColumn id="2" xr3:uid="{00C6AE0A-13FF-4ABD-8607-28012E781A8E}" name="New_Followers" dataDxfId="71"/>
    <tableColumn id="3" xr3:uid="{5765BC6F-84E8-42A5-969A-36892C99BF9E}" name="Unfollows" dataDxfId="70"/>
    <tableColumn id="4" xr3:uid="{333EDBEC-37DF-4E12-ACF8-63B7D25AC96F}" name="Total_Followers" dataDxfId="69"/>
    <tableColumn id="5" xr3:uid="{5D48F849-E871-4A42-BD69-A539BBC11B14}" name="Engagement_Rate" dataDxfId="68"/>
    <tableColumn id="6" xr3:uid="{519139C1-2E0F-4208-96C5-6C01E3679B7D}" name="Ad_Spend" dataDxfId="67"/>
    <tableColumn id="7" xr3:uid="{0D7E6643-74BA-49AA-8F3B-BDAD9CD54F26}" name="Growth_Rate" dataDxfId="66">
      <calculatedColumnFormula>((B2-C2)/D2)</calculatedColumnFormula>
    </tableColumn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2C87BDB-B28F-4A01-B6B0-68A278E23093}" name="Table10" displayName="Table10" ref="A1:C337" totalsRowShown="0">
  <autoFilter ref="A1:C337" xr:uid="{D2C87BDB-B28F-4A01-B6B0-68A278E23093}"/>
  <tableColumns count="3">
    <tableColumn id="1" xr3:uid="{E237841D-84A9-4D9D-83E5-C542F7F1EDCD}" name="Hashtags Used"/>
    <tableColumn id="2" xr3:uid="{7435929E-57AB-4559-8590-B5F38A721DB8}" name="Likes"/>
    <tableColumn id="3" xr3:uid="{2A387317-B794-4C5D-A841-C97A7E1083B1}" name="Comments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C6513CC-EF7E-4A86-B318-100C16CB8636}" name="Table5" displayName="Table5" ref="B4:K304" totalsRowShown="0" headerRowDxfId="46">
  <autoFilter ref="B4:K304" xr:uid="{3C6513CC-EF7E-4A86-B318-100C16CB8636}"/>
  <tableColumns count="10">
    <tableColumn id="1" xr3:uid="{C0B3A784-9BD5-42A6-BD84-CDB8139086C8}" name="Likes"/>
    <tableColumn id="2" xr3:uid="{F885E386-BA51-4BF6-A6CC-A774CFB7652E}" name="Shares"/>
    <tableColumn id="3" xr3:uid="{EC34C9E2-A11D-4DFF-8998-A2930C66B0D2}" name="Comments"/>
    <tableColumn id="4" xr3:uid="{42F6DD15-EAB0-4CD8-BC00-F332F786D3ED}" name="Impressions"/>
    <tableColumn id="5" xr3:uid="{342852EE-43D6-434D-B0E1-C4C2F32D089B}" name="Campaign_Name"/>
    <tableColumn id="6" xr3:uid="{90228B02-0827-4A3B-A5C3-5C755DAD7EAE}" name="Engagement_Rate" dataDxfId="45">
      <calculatedColumnFormula>((B5+C5+D5)/E5)</calculatedColumnFormula>
    </tableColumn>
    <tableColumn id="7" xr3:uid="{AB2B4DD2-C1C2-4667-849C-733F6C668E5D}" name="Period"/>
    <tableColumn id="8" xr3:uid="{5C423A81-E75E-43B0-8DB9-F6B6DFF2160E}" name="Avg_Before" dataDxfId="44">
      <calculatedColumnFormula>AVERAGEIF(Table5[Period],"Before",Table5[[#This Row],[Engagement_Rate]])</calculatedColumnFormula>
    </tableColumn>
    <tableColumn id="9" xr3:uid="{6A5446D1-3566-4266-B042-0E23A3441CFB}" name="Avg_During" dataDxfId="43">
      <calculatedColumnFormula>AVERAGEIF(Table5[Period],"During",Table5[[#This Row],[Engagement_Rate]])</calculatedColumnFormula>
    </tableColumn>
    <tableColumn id="10" xr3:uid="{E0CFCAF0-AD2D-4A94-AA3B-7055494BCE8C}" name="Engagement_Uplift" dataDxfId="42">
      <calculatedColumnFormula>((Table5[[#This Row],[Avg_During]]-Table5[[#This Row],[Avg_Before]])/I5)</calculatedColumnFormula>
    </tableColumn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3EC4CB-DECE-42E6-A773-711D20BF68B3}" name="Table6" displayName="Table6" ref="M4:S8" totalsRowShown="0" headerRowDxfId="41" dataDxfId="39" headerRowBorderDxfId="40" tableBorderDxfId="38" totalsRowBorderDxfId="37">
  <autoFilter ref="M4:S8" xr:uid="{4C3EC4CB-DECE-42E6-A773-711D20BF68B3}"/>
  <tableColumns count="7">
    <tableColumn id="1" xr3:uid="{84DCFDC8-5722-4AC1-9CFE-DF79F64F2E25}" name="Campaign_Name" dataDxfId="36"/>
    <tableColumn id="2" xr3:uid="{183A107C-563C-49AF-A178-65D7F45978AB}" name="Start_Date" dataDxfId="35"/>
    <tableColumn id="3" xr3:uid="{37B5EA59-33D2-4069-BE20-AFD03CB9CC6C}" name="End_Date" dataDxfId="34"/>
    <tableColumn id="4" xr3:uid="{50222450-407C-4CAC-B196-B41813166DF8}" name="Objective" dataDxfId="33"/>
    <tableColumn id="5" xr3:uid="{885AFF90-713A-4675-9459-B33746B140B8}" name="Total_Budget" dataDxfId="32"/>
    <tableColumn id="6" xr3:uid="{ADB3A24F-5C1D-4729-B704-5DBC9BF48246}" name="Target_Platforms" dataDxfId="31"/>
    <tableColumn id="7" xr3:uid="{62A03106-CE39-4D5F-AA91-13B0ABCA47A8}" name="Primary_Hashtags" dataDxfId="30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4CC76EA-E567-4A64-9459-D0A7476DF7C0}" name="Table7" displayName="Table7" ref="A4:A304" totalsRowShown="0" headerRowDxfId="29">
  <autoFilter ref="A4:A304" xr:uid="{D4CC76EA-E567-4A64-9459-D0A7476DF7C0}"/>
  <tableColumns count="1">
    <tableColumn id="1" xr3:uid="{60EED931-23B7-4CC0-A9C2-7811F23F0D5E}" name="Date"/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EFC00D3-56CC-40DF-926C-1F90F23DE70B}" name="Table8" displayName="Table8" ref="A1:H301" totalsRowShown="0" headerRowDxfId="27" dataDxfId="26">
  <autoFilter ref="A1:H301" xr:uid="{8EFC00D3-56CC-40DF-926C-1F90F23DE70B}"/>
  <tableColumns count="8">
    <tableColumn id="1" xr3:uid="{3EC13A3A-A57A-416C-B434-5F4D9B47EE49}" name="Campaign_Name" dataDxfId="25"/>
    <tableColumn id="2" xr3:uid="{A370A94C-6F04-41FF-9D6A-061938E4A6B8}" name="Likes" dataDxfId="24"/>
    <tableColumn id="3" xr3:uid="{4441E802-D13F-4AA4-AC7B-43CEDA20442F}" name="Shares" dataDxfId="23"/>
    <tableColumn id="4" xr3:uid="{E7272A0D-12A3-4451-8765-3828706FC1A1}" name="Comments" dataDxfId="22"/>
    <tableColumn id="5" xr3:uid="{55CA2B76-0314-4646-A606-9448470F8E54}" name="Impressions" dataDxfId="21"/>
    <tableColumn id="6" xr3:uid="{2A53E041-5A7E-43CF-AA71-28C2728656C1}" name="Total Budget" dataDxfId="20"/>
    <tableColumn id="7" xr3:uid="{D8B7160C-4B18-4520-9683-39160014CF12}" name="Engagement_rate" dataDxfId="19">
      <calculatedColumnFormula>((B2+C2+D2)/E2)</calculatedColumnFormula>
    </tableColumn>
    <tableColumn id="8" xr3:uid="{452E2F74-5749-479F-9979-936140D145F8}" name="ROI" dataDxfId="18">
      <calculatedColumnFormula>((B2+C2+D2)/F2)</calculatedColumnFormula>
    </tableColumn>
  </tableColumns>
  <tableStyleInfo name="TableStyleMedium1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4F4BF36-B246-4D8C-B127-AA0DE386B718}" name="Table9" displayName="Table9" ref="A1:D201" totalsRowShown="0">
  <autoFilter ref="A1:D201" xr:uid="{A4F4BF36-B246-4D8C-B127-AA0DE386B718}"/>
  <tableColumns count="4">
    <tableColumn id="1" xr3:uid="{7271C23C-12C2-4EDF-ACAA-9C78E9C9F2C2}" name="Campaign_Name"/>
    <tableColumn id="2" xr3:uid="{53908785-D7E6-45C2-8F7A-35DBA25C4351}" name="New_Followers"/>
    <tableColumn id="3" xr3:uid="{4B45A1D7-D357-437D-BE5E-DB37120E53BC}" name="Unfollows"/>
    <tableColumn id="4" xr3:uid="{809E0B11-66B0-4BE7-BF66-3ABD7A97E5F3}" name="Net_follower_Gain">
      <calculatedColumnFormula>(B2-C2)</calculatedColumnFormula>
    </tableColumn>
  </tableColumns>
  <tableStyleInfo name="TableStyleMedium1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5D89E30-0DAE-4979-AEF3-B7C1B9BC9ACA}" name="Table12" displayName="Table12" ref="A1:E201" totalsRowShown="0" headerRowDxfId="13">
  <autoFilter ref="A1:E201" xr:uid="{15D89E30-0DAE-4979-AEF3-B7C1B9BC9ACA}"/>
  <sortState xmlns:xlrd2="http://schemas.microsoft.com/office/spreadsheetml/2017/richdata2" ref="A2:E201">
    <sortCondition ref="A1:A201"/>
  </sortState>
  <tableColumns count="5">
    <tableColumn id="1" xr3:uid="{41DB37CC-3E83-4CC5-8B39-C3DE750D54DD}" name="Week_Start_Date" dataDxfId="12"/>
    <tableColumn id="2" xr3:uid="{26D5F6D8-548A-45E8-B8CC-26AA9FB40B66}" name="Platform" dataDxfId="11"/>
    <tableColumn id="3" xr3:uid="{5A6C5D66-E6AA-4263-8ACF-652CEEBD73CB}" name="New_Followers"/>
    <tableColumn id="4" xr3:uid="{4F936DED-50A8-4E61-BD4F-FDE66DF0AA55}" name="Unfollows"/>
    <tableColumn id="5" xr3:uid="{6D5C5A08-27DE-4A33-8522-13C651F1566B}" name="Net_follower_Gain">
      <calculatedColumnFormula>((C2-D2))</calculatedColumnFormula>
    </tableColumn>
  </tableColumns>
  <tableStyleInfo name="TableStyleMedium1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6044616-FF60-44C1-A4F3-72A805F41C78}" name="Table11" displayName="Table11" ref="A1:C201" totalsRowShown="0">
  <autoFilter ref="A1:C201" xr:uid="{56044616-FF60-44C1-A4F3-72A805F41C78}"/>
  <tableColumns count="3">
    <tableColumn id="1" xr3:uid="{F81E726E-656E-430C-B1B9-5DA0E901E54A}" name="Week_Start_Date"/>
    <tableColumn id="2" xr3:uid="{3253C3CF-ED9C-49D8-8E56-BDB26B409168}" name="Net_Gain">
      <calculatedColumnFormula>(Table12[[#This Row],[New_Followers]]-Table12[[#This Row],[Unfollows]])</calculatedColumnFormula>
    </tableColumn>
    <tableColumn id="3" xr3:uid="{86C9105C-92B2-4DAC-A5FB-B8377ED14DEC}" name="Moving Average">
      <calculatedColumnFormula>AVERAGE(B2:B201)</calculatedColumnFormula>
    </tableColumn>
  </tableColumns>
  <tableStyleInfo name="TableStyleDark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EFA4A5D-FC42-41F1-B6D1-49BCD8E82E61}" name="Table13" displayName="Table13" ref="A1:E201" totalsRowShown="0" headerRowDxfId="10" dataDxfId="9">
  <autoFilter ref="A1:E201" xr:uid="{CEFA4A5D-FC42-41F1-B6D1-49BCD8E82E61}"/>
  <tableColumns count="5">
    <tableColumn id="1" xr3:uid="{F9FC0B7F-70E3-4999-810C-38F0136C850B}" name="New_Followers" dataDxfId="8"/>
    <tableColumn id="2" xr3:uid="{6D08FC3F-FB03-4303-A8CE-872DF9DA7854}" name="Unfollows" dataDxfId="7"/>
    <tableColumn id="3" xr3:uid="{7514987C-5022-4E8D-B864-E2B9026CDFB0}" name="Net_Gain">
      <calculatedColumnFormula>(A2-B2)</calculatedColumnFormula>
    </tableColumn>
    <tableColumn id="4" xr3:uid="{270C91A5-D223-4C53-A379-E7BC3C37AA1E}" name="Ad_Spend" dataDxfId="6"/>
    <tableColumn id="5" xr3:uid="{E8251759-6F5F-4C0D-AFE7-ADAEA665E162}" name="Correlation" dataDxfId="5">
      <calculatedColumnFormula>CORREL($D$2:$D$201,$C$2:$C$201)</calculatedColumnFormula>
    </tableColumn>
  </tableColumns>
  <tableStyleInfo name="TableStyleDark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10.xml"/><Relationship Id="rId4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4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oom.com/share/cc7b7f2fcbb843d7b15e624c813d82db" TargetMode="External"/><Relationship Id="rId1" Type="http://schemas.openxmlformats.org/officeDocument/2006/relationships/hyperlink" Target="https://www.loom.com/share/cc7b7f2fcbb843d7b15e624c813d82d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0.39997558519241921"/>
  </sheetPr>
  <dimension ref="A1:Z1000"/>
  <sheetViews>
    <sheetView zoomScale="64" zoomScaleNormal="70" workbookViewId="0">
      <selection activeCell="D21" sqref="D21"/>
    </sheetView>
  </sheetViews>
  <sheetFormatPr defaultColWidth="14.44140625" defaultRowHeight="15" customHeight="1" x14ac:dyDescent="0.3"/>
  <cols>
    <col min="1" max="1" width="10.5546875" customWidth="1"/>
    <col min="2" max="2" width="22.6640625" customWidth="1"/>
    <col min="3" max="3" width="24.6640625" customWidth="1"/>
    <col min="4" max="4" width="14.21875" customWidth="1"/>
    <col min="5" max="5" width="11.21875" customWidth="1"/>
    <col min="6" max="7" width="8.6640625" customWidth="1"/>
    <col min="8" max="8" width="12" customWidth="1"/>
    <col min="9" max="9" width="12.88671875" customWidth="1"/>
    <col min="10" max="10" width="8.6640625" customWidth="1"/>
    <col min="11" max="11" width="15.6640625" customWidth="1"/>
    <col min="12" max="12" width="29.44140625" customWidth="1"/>
    <col min="13" max="13" width="31.6640625" style="95" customWidth="1"/>
    <col min="14" max="14" width="18.21875" customWidth="1"/>
    <col min="15" max="15" width="27.21875" customWidth="1"/>
    <col min="16" max="16" width="17.5546875" customWidth="1"/>
    <col min="17" max="26" width="8.6640625" customWidth="1"/>
  </cols>
  <sheetData>
    <row r="1" spans="1:26" ht="14.25" customHeight="1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49" t="s">
        <v>10</v>
      </c>
      <c r="L1" s="1" t="s">
        <v>11</v>
      </c>
      <c r="M1" s="99" t="s">
        <v>599</v>
      </c>
      <c r="N1" s="10" t="s">
        <v>600</v>
      </c>
      <c r="O1" s="12" t="s">
        <v>12</v>
      </c>
      <c r="P1" t="s">
        <v>605</v>
      </c>
    </row>
    <row r="2" spans="1:26" ht="14.25" customHeight="1" x14ac:dyDescent="0.3">
      <c r="A2" s="3" t="s">
        <v>13</v>
      </c>
      <c r="B2" s="3" t="s">
        <v>592</v>
      </c>
      <c r="C2" s="8" t="s">
        <v>15</v>
      </c>
      <c r="D2" s="3" t="s">
        <v>16</v>
      </c>
      <c r="E2" s="3" t="s">
        <v>593</v>
      </c>
      <c r="F2" s="9">
        <v>1461</v>
      </c>
      <c r="G2" s="9">
        <v>184</v>
      </c>
      <c r="H2" s="9">
        <v>344</v>
      </c>
      <c r="I2" s="9">
        <v>21915</v>
      </c>
      <c r="J2" s="9">
        <v>21675</v>
      </c>
      <c r="K2" s="9">
        <v>15</v>
      </c>
      <c r="L2" s="4" t="s">
        <v>57</v>
      </c>
      <c r="M2" s="100" t="s">
        <v>601</v>
      </c>
      <c r="N2" t="s">
        <v>603</v>
      </c>
      <c r="O2" s="13" t="s">
        <v>17</v>
      </c>
    </row>
    <row r="3" spans="1:26" ht="14.25" customHeight="1" x14ac:dyDescent="0.3">
      <c r="A3" s="3" t="s">
        <v>18</v>
      </c>
      <c r="B3" s="3" t="s">
        <v>592</v>
      </c>
      <c r="C3" s="8" t="s">
        <v>19</v>
      </c>
      <c r="D3" s="3" t="s">
        <v>20</v>
      </c>
      <c r="E3" s="3" t="s">
        <v>594</v>
      </c>
      <c r="F3" s="9">
        <v>4054</v>
      </c>
      <c r="G3" s="9">
        <v>389</v>
      </c>
      <c r="H3" s="9">
        <v>493</v>
      </c>
      <c r="I3" s="9">
        <v>64864</v>
      </c>
      <c r="J3" s="9">
        <v>64383</v>
      </c>
      <c r="K3" s="9">
        <v>117</v>
      </c>
      <c r="L3" s="4" t="s">
        <v>26</v>
      </c>
      <c r="M3" s="100" t="s">
        <v>602</v>
      </c>
      <c r="N3" t="s">
        <v>603</v>
      </c>
      <c r="O3" s="13" t="s">
        <v>21</v>
      </c>
    </row>
    <row r="4" spans="1:26" ht="14.25" customHeight="1" x14ac:dyDescent="0.3">
      <c r="A4" s="3" t="s">
        <v>22</v>
      </c>
      <c r="B4" s="3" t="s">
        <v>23</v>
      </c>
      <c r="C4" s="8" t="s">
        <v>24</v>
      </c>
      <c r="D4" s="3" t="s">
        <v>16</v>
      </c>
      <c r="E4" s="3" t="s">
        <v>25</v>
      </c>
      <c r="F4" s="9">
        <v>2795</v>
      </c>
      <c r="G4" s="9">
        <v>105</v>
      </c>
      <c r="H4" s="9">
        <v>49</v>
      </c>
      <c r="I4" s="9">
        <v>53105</v>
      </c>
      <c r="J4" s="9">
        <v>52307</v>
      </c>
      <c r="K4" s="9">
        <v>204</v>
      </c>
      <c r="L4" s="4" t="s">
        <v>26</v>
      </c>
      <c r="M4" s="5" t="s">
        <v>603</v>
      </c>
      <c r="N4" t="s">
        <v>603</v>
      </c>
      <c r="O4" s="13" t="s">
        <v>27</v>
      </c>
    </row>
    <row r="5" spans="1:26" ht="14.4" customHeight="1" x14ac:dyDescent="0.3">
      <c r="A5" s="3" t="s">
        <v>28</v>
      </c>
      <c r="B5" s="3" t="s">
        <v>29</v>
      </c>
      <c r="C5" s="8" t="s">
        <v>30</v>
      </c>
      <c r="D5" s="3" t="s">
        <v>31</v>
      </c>
      <c r="E5" s="3" t="s">
        <v>32</v>
      </c>
      <c r="F5" s="9">
        <v>2404</v>
      </c>
      <c r="G5" s="9">
        <v>363</v>
      </c>
      <c r="H5" s="9">
        <v>138</v>
      </c>
      <c r="I5" s="9">
        <v>19232</v>
      </c>
      <c r="J5" s="9">
        <v>18636</v>
      </c>
      <c r="K5" s="9">
        <v>128</v>
      </c>
      <c r="L5" s="4" t="s">
        <v>33</v>
      </c>
      <c r="M5" s="11" t="s">
        <v>603</v>
      </c>
      <c r="N5" t="s">
        <v>603</v>
      </c>
      <c r="O5" s="13" t="s">
        <v>34</v>
      </c>
    </row>
    <row r="6" spans="1:26" ht="21" customHeight="1" x14ac:dyDescent="0.3">
      <c r="A6" s="3" t="s">
        <v>35</v>
      </c>
      <c r="B6" s="3" t="s">
        <v>23</v>
      </c>
      <c r="C6" s="8" t="s">
        <v>36</v>
      </c>
      <c r="D6" s="3" t="s">
        <v>16</v>
      </c>
      <c r="E6" s="3" t="s">
        <v>25</v>
      </c>
      <c r="F6" s="9">
        <v>3557</v>
      </c>
      <c r="G6" s="9">
        <v>687</v>
      </c>
      <c r="H6" s="9">
        <v>424</v>
      </c>
      <c r="I6" s="9">
        <v>71140</v>
      </c>
      <c r="J6" s="9">
        <v>70701</v>
      </c>
      <c r="K6" s="9">
        <v>224</v>
      </c>
      <c r="L6" s="4" t="s">
        <v>33</v>
      </c>
      <c r="M6" s="100" t="s">
        <v>26</v>
      </c>
      <c r="N6" t="s">
        <v>603</v>
      </c>
      <c r="O6" s="13" t="s">
        <v>17</v>
      </c>
      <c r="S6" s="91" t="s">
        <v>621</v>
      </c>
      <c r="T6" s="92"/>
      <c r="U6" s="92"/>
      <c r="V6" s="92"/>
      <c r="W6" s="92"/>
      <c r="X6" s="92"/>
      <c r="Y6" s="92"/>
    </row>
    <row r="7" spans="1:26" ht="13.8" customHeight="1" x14ac:dyDescent="0.3">
      <c r="A7" s="3" t="s">
        <v>38</v>
      </c>
      <c r="B7" s="3" t="s">
        <v>39</v>
      </c>
      <c r="C7" s="8" t="s">
        <v>40</v>
      </c>
      <c r="D7" s="3" t="s">
        <v>41</v>
      </c>
      <c r="E7" s="3" t="s">
        <v>42</v>
      </c>
      <c r="F7" s="9">
        <v>2945</v>
      </c>
      <c r="G7" s="9">
        <v>930</v>
      </c>
      <c r="H7" s="9">
        <v>355</v>
      </c>
      <c r="I7" s="9">
        <v>23560</v>
      </c>
      <c r="J7" s="9">
        <v>23275</v>
      </c>
      <c r="K7" s="9">
        <v>256</v>
      </c>
      <c r="L7" s="4" t="s">
        <v>26</v>
      </c>
      <c r="M7" s="11" t="s">
        <v>603</v>
      </c>
      <c r="N7" t="s">
        <v>603</v>
      </c>
      <c r="O7" s="13" t="s">
        <v>21</v>
      </c>
      <c r="R7" s="93"/>
      <c r="S7" s="94" t="s">
        <v>616</v>
      </c>
      <c r="T7" s="93"/>
      <c r="U7" s="93"/>
      <c r="V7" s="93"/>
      <c r="W7" s="93"/>
      <c r="X7" s="93"/>
      <c r="Y7" s="93"/>
      <c r="Z7" s="93"/>
    </row>
    <row r="8" spans="1:26" ht="14.25" customHeight="1" x14ac:dyDescent="0.3">
      <c r="A8" s="3" t="s">
        <v>43</v>
      </c>
      <c r="B8" s="3" t="s">
        <v>592</v>
      </c>
      <c r="C8" s="8" t="s">
        <v>44</v>
      </c>
      <c r="D8" s="3" t="s">
        <v>41</v>
      </c>
      <c r="E8" s="3" t="s">
        <v>595</v>
      </c>
      <c r="F8" s="9">
        <v>3860</v>
      </c>
      <c r="G8" s="9">
        <v>201</v>
      </c>
      <c r="H8" s="9">
        <v>279</v>
      </c>
      <c r="I8" s="9">
        <v>61760</v>
      </c>
      <c r="J8" s="9">
        <v>61660</v>
      </c>
      <c r="K8" s="9">
        <v>235</v>
      </c>
      <c r="L8" s="4" t="s">
        <v>26</v>
      </c>
      <c r="M8" s="11" t="s">
        <v>603</v>
      </c>
      <c r="N8" t="s">
        <v>603</v>
      </c>
      <c r="O8" s="13" t="s">
        <v>21</v>
      </c>
      <c r="R8" s="93"/>
      <c r="S8" s="94"/>
      <c r="T8" s="93"/>
      <c r="U8" s="93"/>
      <c r="V8" s="93"/>
      <c r="W8" s="93"/>
      <c r="X8" s="93"/>
      <c r="Y8" s="93"/>
      <c r="Z8" s="93"/>
    </row>
    <row r="9" spans="1:26" ht="14.25" customHeight="1" x14ac:dyDescent="0.3">
      <c r="A9" s="3" t="s">
        <v>45</v>
      </c>
      <c r="B9" s="3" t="s">
        <v>23</v>
      </c>
      <c r="C9" s="8" t="s">
        <v>46</v>
      </c>
      <c r="D9" s="3" t="s">
        <v>47</v>
      </c>
      <c r="E9" s="3" t="s">
        <v>48</v>
      </c>
      <c r="F9" s="9">
        <v>3929</v>
      </c>
      <c r="G9" s="9">
        <v>262</v>
      </c>
      <c r="H9" s="9">
        <v>278</v>
      </c>
      <c r="I9" s="9">
        <v>43219</v>
      </c>
      <c r="J9" s="9">
        <v>42841</v>
      </c>
      <c r="K9" s="9">
        <v>39</v>
      </c>
      <c r="L9" s="4" t="s">
        <v>33</v>
      </c>
      <c r="M9" s="11" t="s">
        <v>603</v>
      </c>
      <c r="N9" t="s">
        <v>603</v>
      </c>
      <c r="O9" s="13" t="s">
        <v>34</v>
      </c>
      <c r="R9" s="93"/>
      <c r="S9" s="94" t="s">
        <v>617</v>
      </c>
      <c r="T9" s="93"/>
      <c r="U9" s="93"/>
      <c r="V9" s="93"/>
      <c r="W9" s="93"/>
      <c r="X9" s="93"/>
      <c r="Y9" s="93"/>
      <c r="Z9" s="93"/>
    </row>
    <row r="10" spans="1:26" ht="14.25" customHeight="1" x14ac:dyDescent="0.3">
      <c r="A10" s="3" t="s">
        <v>49</v>
      </c>
      <c r="B10" s="3" t="s">
        <v>39</v>
      </c>
      <c r="C10" s="8" t="s">
        <v>50</v>
      </c>
      <c r="D10" s="3" t="s">
        <v>20</v>
      </c>
      <c r="E10" s="3" t="s">
        <v>51</v>
      </c>
      <c r="F10" s="9">
        <v>3784</v>
      </c>
      <c r="G10" s="9">
        <v>808</v>
      </c>
      <c r="H10" s="9">
        <v>404</v>
      </c>
      <c r="I10" s="9">
        <v>56760</v>
      </c>
      <c r="J10" s="9">
        <v>56343</v>
      </c>
      <c r="K10" s="9">
        <v>131</v>
      </c>
      <c r="L10" s="4" t="s">
        <v>26</v>
      </c>
      <c r="M10" s="11" t="s">
        <v>603</v>
      </c>
      <c r="N10" t="s">
        <v>603</v>
      </c>
      <c r="O10" s="13" t="s">
        <v>21</v>
      </c>
      <c r="R10" s="93"/>
      <c r="S10" s="94"/>
      <c r="T10" s="93"/>
      <c r="U10" s="93"/>
      <c r="V10" s="93"/>
      <c r="W10" s="93"/>
      <c r="X10" s="93"/>
      <c r="Y10" s="93"/>
      <c r="Z10" s="93"/>
    </row>
    <row r="11" spans="1:26" ht="14.25" customHeight="1" x14ac:dyDescent="0.3">
      <c r="A11" s="3" t="s">
        <v>52</v>
      </c>
      <c r="B11" s="3" t="s">
        <v>39</v>
      </c>
      <c r="C11" s="8" t="s">
        <v>53</v>
      </c>
      <c r="D11" s="3" t="s">
        <v>47</v>
      </c>
      <c r="E11" s="3" t="s">
        <v>54</v>
      </c>
      <c r="F11" s="9">
        <v>4241</v>
      </c>
      <c r="G11" s="9">
        <v>902</v>
      </c>
      <c r="H11" s="9">
        <v>47</v>
      </c>
      <c r="I11" s="9">
        <v>72097</v>
      </c>
      <c r="J11" s="9">
        <v>71598</v>
      </c>
      <c r="K11" s="9">
        <v>167</v>
      </c>
      <c r="L11" s="4" t="s">
        <v>26</v>
      </c>
      <c r="M11" s="11" t="s">
        <v>603</v>
      </c>
      <c r="N11" t="s">
        <v>603</v>
      </c>
      <c r="O11" s="13" t="s">
        <v>21</v>
      </c>
      <c r="R11" s="93"/>
      <c r="S11" s="94" t="s">
        <v>618</v>
      </c>
      <c r="T11" s="93"/>
      <c r="U11" s="93"/>
      <c r="V11" s="93"/>
      <c r="W11" s="93"/>
      <c r="X11" s="93"/>
      <c r="Y11" s="93"/>
      <c r="Z11" s="93"/>
    </row>
    <row r="12" spans="1:26" ht="14.25" customHeight="1" x14ac:dyDescent="0.3">
      <c r="A12" s="3" t="s">
        <v>55</v>
      </c>
      <c r="B12" s="3" t="s">
        <v>29</v>
      </c>
      <c r="C12" s="8" t="s">
        <v>56</v>
      </c>
      <c r="D12" s="3" t="s">
        <v>31</v>
      </c>
      <c r="E12" s="3" t="s">
        <v>32</v>
      </c>
      <c r="F12" s="9">
        <v>1792</v>
      </c>
      <c r="G12" s="9">
        <v>614</v>
      </c>
      <c r="H12" s="9">
        <v>497</v>
      </c>
      <c r="I12" s="9">
        <v>25088</v>
      </c>
      <c r="J12" s="9">
        <v>24675</v>
      </c>
      <c r="K12" s="9">
        <v>65</v>
      </c>
      <c r="L12" s="4" t="s">
        <v>57</v>
      </c>
      <c r="M12" s="11" t="s">
        <v>603</v>
      </c>
      <c r="N12" t="s">
        <v>603</v>
      </c>
      <c r="O12" s="13" t="s">
        <v>34</v>
      </c>
      <c r="R12" s="93"/>
      <c r="S12" s="94"/>
      <c r="T12" s="93"/>
      <c r="U12" s="93"/>
      <c r="V12" s="93"/>
      <c r="W12" s="93"/>
      <c r="X12" s="93"/>
      <c r="Y12" s="93"/>
      <c r="Z12" s="93"/>
    </row>
    <row r="13" spans="1:26" ht="14.25" customHeight="1" x14ac:dyDescent="0.3">
      <c r="A13" s="3" t="s">
        <v>58</v>
      </c>
      <c r="B13" s="3" t="s">
        <v>39</v>
      </c>
      <c r="C13" s="8" t="s">
        <v>59</v>
      </c>
      <c r="D13" s="3" t="s">
        <v>16</v>
      </c>
      <c r="E13" s="3" t="s">
        <v>60</v>
      </c>
      <c r="F13" s="9">
        <v>1946</v>
      </c>
      <c r="G13" s="9">
        <v>686</v>
      </c>
      <c r="H13" s="9">
        <v>377</v>
      </c>
      <c r="I13" s="9">
        <v>23352</v>
      </c>
      <c r="J13" s="9">
        <v>22982</v>
      </c>
      <c r="K13" s="9">
        <v>213</v>
      </c>
      <c r="L13" s="4" t="s">
        <v>57</v>
      </c>
      <c r="M13" s="11" t="s">
        <v>603</v>
      </c>
      <c r="N13" t="s">
        <v>603</v>
      </c>
      <c r="O13" s="13" t="s">
        <v>27</v>
      </c>
      <c r="R13" s="93"/>
      <c r="S13" s="94" t="s">
        <v>619</v>
      </c>
      <c r="T13" s="93"/>
      <c r="U13" s="93"/>
      <c r="V13" s="93"/>
      <c r="W13" s="93"/>
      <c r="X13" s="93"/>
      <c r="Y13" s="93"/>
      <c r="Z13" s="93"/>
    </row>
    <row r="14" spans="1:26" ht="14.25" customHeight="1" x14ac:dyDescent="0.3">
      <c r="A14" s="3" t="s">
        <v>61</v>
      </c>
      <c r="B14" s="3" t="s">
        <v>23</v>
      </c>
      <c r="C14" s="8" t="s">
        <v>62</v>
      </c>
      <c r="D14" s="3" t="s">
        <v>41</v>
      </c>
      <c r="E14" s="3" t="s">
        <v>63</v>
      </c>
      <c r="F14" s="9">
        <v>1171</v>
      </c>
      <c r="G14" s="9">
        <v>286</v>
      </c>
      <c r="H14" s="9">
        <v>231</v>
      </c>
      <c r="I14" s="9">
        <v>22249</v>
      </c>
      <c r="J14" s="9">
        <v>21282</v>
      </c>
      <c r="K14" s="9">
        <v>114</v>
      </c>
      <c r="L14" s="4" t="s">
        <v>33</v>
      </c>
      <c r="M14" s="11" t="s">
        <v>603</v>
      </c>
      <c r="N14" t="s">
        <v>603</v>
      </c>
      <c r="O14" s="13" t="s">
        <v>17</v>
      </c>
      <c r="R14" s="93"/>
      <c r="S14" s="94"/>
      <c r="T14" s="93"/>
      <c r="U14" s="93"/>
      <c r="V14" s="93"/>
      <c r="W14" s="93"/>
      <c r="X14" s="93"/>
      <c r="Y14" s="93"/>
      <c r="Z14" s="93"/>
    </row>
    <row r="15" spans="1:26" ht="14.25" customHeight="1" x14ac:dyDescent="0.3">
      <c r="A15" s="3" t="s">
        <v>64</v>
      </c>
      <c r="B15" s="3" t="s">
        <v>39</v>
      </c>
      <c r="C15" s="8" t="s">
        <v>65</v>
      </c>
      <c r="D15" s="3" t="s">
        <v>31</v>
      </c>
      <c r="E15" s="3" t="s">
        <v>66</v>
      </c>
      <c r="F15" s="9">
        <v>4242</v>
      </c>
      <c r="G15" s="9">
        <v>555</v>
      </c>
      <c r="H15" s="9">
        <v>131</v>
      </c>
      <c r="I15" s="9">
        <v>33936</v>
      </c>
      <c r="J15" s="9">
        <v>33802</v>
      </c>
      <c r="K15" s="9">
        <v>265</v>
      </c>
      <c r="L15" s="4" t="s">
        <v>57</v>
      </c>
      <c r="M15" s="11" t="s">
        <v>603</v>
      </c>
      <c r="N15" t="s">
        <v>603</v>
      </c>
      <c r="O15" s="13" t="s">
        <v>603</v>
      </c>
      <c r="R15" s="93"/>
      <c r="S15" s="94" t="s">
        <v>620</v>
      </c>
      <c r="T15" s="93"/>
      <c r="U15" s="93"/>
      <c r="V15" s="93"/>
      <c r="W15" s="93"/>
      <c r="X15" s="93"/>
      <c r="Y15" s="93"/>
      <c r="Z15" s="93"/>
    </row>
    <row r="16" spans="1:26" ht="14.25" customHeight="1" x14ac:dyDescent="0.3">
      <c r="A16" s="3" t="s">
        <v>67</v>
      </c>
      <c r="B16" s="3" t="s">
        <v>39</v>
      </c>
      <c r="C16" s="8" t="s">
        <v>68</v>
      </c>
      <c r="D16" s="3" t="s">
        <v>69</v>
      </c>
      <c r="E16" s="3" t="s">
        <v>70</v>
      </c>
      <c r="F16" s="9">
        <v>3888</v>
      </c>
      <c r="G16" s="9">
        <v>604</v>
      </c>
      <c r="H16" s="9">
        <v>128</v>
      </c>
      <c r="I16" s="9">
        <v>77760</v>
      </c>
      <c r="J16" s="9">
        <v>77167</v>
      </c>
      <c r="K16" s="9">
        <v>20</v>
      </c>
      <c r="L16" s="4" t="s">
        <v>57</v>
      </c>
      <c r="M16" s="11" t="s">
        <v>603</v>
      </c>
      <c r="N16" t="s">
        <v>603</v>
      </c>
      <c r="O16" s="13" t="s">
        <v>17</v>
      </c>
    </row>
    <row r="17" spans="1:15" ht="14.25" customHeight="1" x14ac:dyDescent="0.3">
      <c r="A17" s="3" t="s">
        <v>71</v>
      </c>
      <c r="B17" s="3" t="s">
        <v>39</v>
      </c>
      <c r="C17" s="8" t="s">
        <v>72</v>
      </c>
      <c r="D17" s="3" t="s">
        <v>20</v>
      </c>
      <c r="E17" s="3" t="s">
        <v>51</v>
      </c>
      <c r="F17" s="9">
        <v>3452</v>
      </c>
      <c r="G17" s="9">
        <v>377</v>
      </c>
      <c r="H17" s="9">
        <v>360</v>
      </c>
      <c r="I17" s="9">
        <v>55232</v>
      </c>
      <c r="J17" s="9">
        <v>55075</v>
      </c>
      <c r="K17" s="9">
        <v>87</v>
      </c>
      <c r="L17" s="4" t="s">
        <v>57</v>
      </c>
      <c r="M17" s="11" t="s">
        <v>603</v>
      </c>
      <c r="N17" t="s">
        <v>603</v>
      </c>
      <c r="O17" s="13" t="s">
        <v>27</v>
      </c>
    </row>
    <row r="18" spans="1:15" ht="14.25" customHeight="1" x14ac:dyDescent="0.3">
      <c r="A18" s="3" t="s">
        <v>73</v>
      </c>
      <c r="B18" s="3" t="s">
        <v>39</v>
      </c>
      <c r="C18" s="8" t="s">
        <v>74</v>
      </c>
      <c r="D18" s="3" t="s">
        <v>20</v>
      </c>
      <c r="E18" s="3" t="s">
        <v>51</v>
      </c>
      <c r="F18" s="9">
        <v>4441</v>
      </c>
      <c r="G18" s="9">
        <v>511</v>
      </c>
      <c r="H18" s="9">
        <v>70</v>
      </c>
      <c r="I18" s="9">
        <v>53292</v>
      </c>
      <c r="J18" s="9">
        <v>53082</v>
      </c>
      <c r="K18" s="9">
        <v>159</v>
      </c>
      <c r="L18" s="4" t="s">
        <v>33</v>
      </c>
      <c r="M18" s="11" t="s">
        <v>603</v>
      </c>
      <c r="N18" t="s">
        <v>603</v>
      </c>
      <c r="O18" s="13" t="s">
        <v>34</v>
      </c>
    </row>
    <row r="19" spans="1:15" ht="14.25" customHeight="1" x14ac:dyDescent="0.3">
      <c r="A19" s="3" t="s">
        <v>75</v>
      </c>
      <c r="B19" s="3" t="s">
        <v>29</v>
      </c>
      <c r="C19" s="8" t="s">
        <v>76</v>
      </c>
      <c r="D19" s="3" t="s">
        <v>16</v>
      </c>
      <c r="E19" s="3" t="s">
        <v>77</v>
      </c>
      <c r="F19" s="9">
        <v>3000</v>
      </c>
      <c r="G19" s="9">
        <v>382</v>
      </c>
      <c r="H19" s="9">
        <v>325</v>
      </c>
      <c r="I19" s="9">
        <v>36000</v>
      </c>
      <c r="J19" s="9">
        <v>35819</v>
      </c>
      <c r="K19" s="9">
        <v>19</v>
      </c>
      <c r="L19" s="4" t="s">
        <v>57</v>
      </c>
      <c r="M19" s="11" t="s">
        <v>603</v>
      </c>
      <c r="N19" t="s">
        <v>603</v>
      </c>
      <c r="O19" s="13" t="s">
        <v>17</v>
      </c>
    </row>
    <row r="20" spans="1:15" ht="14.25" customHeight="1" x14ac:dyDescent="0.3">
      <c r="A20" s="3" t="s">
        <v>78</v>
      </c>
      <c r="B20" s="3" t="s">
        <v>29</v>
      </c>
      <c r="C20" s="8" t="s">
        <v>79</v>
      </c>
      <c r="D20" s="3" t="s">
        <v>69</v>
      </c>
      <c r="E20" s="3" t="s">
        <v>80</v>
      </c>
      <c r="F20" s="9">
        <v>1071</v>
      </c>
      <c r="G20" s="9">
        <v>519</v>
      </c>
      <c r="H20" s="9">
        <v>22</v>
      </c>
      <c r="I20" s="9">
        <v>16065</v>
      </c>
      <c r="J20" s="9">
        <v>15865</v>
      </c>
      <c r="K20" s="9">
        <v>103</v>
      </c>
      <c r="L20" s="4" t="s">
        <v>26</v>
      </c>
      <c r="M20" s="11" t="s">
        <v>603</v>
      </c>
      <c r="N20" t="s">
        <v>603</v>
      </c>
      <c r="O20" s="13" t="s">
        <v>34</v>
      </c>
    </row>
    <row r="21" spans="1:15" ht="14.25" customHeight="1" x14ac:dyDescent="0.3">
      <c r="A21" s="3" t="s">
        <v>81</v>
      </c>
      <c r="B21" s="3" t="s">
        <v>29</v>
      </c>
      <c r="C21" s="8" t="s">
        <v>82</v>
      </c>
      <c r="D21" s="3" t="s">
        <v>41</v>
      </c>
      <c r="E21" s="3" t="s">
        <v>83</v>
      </c>
      <c r="F21" s="9">
        <v>4054</v>
      </c>
      <c r="G21" s="9">
        <v>488</v>
      </c>
      <c r="H21" s="9">
        <v>373</v>
      </c>
      <c r="I21" s="9">
        <v>77026</v>
      </c>
      <c r="J21" s="9">
        <v>76881</v>
      </c>
      <c r="K21" s="9">
        <v>25</v>
      </c>
      <c r="L21" s="4" t="s">
        <v>26</v>
      </c>
      <c r="M21" s="11" t="s">
        <v>603</v>
      </c>
      <c r="N21" t="s">
        <v>603</v>
      </c>
      <c r="O21" s="13" t="s">
        <v>17</v>
      </c>
    </row>
    <row r="22" spans="1:15" ht="14.25" customHeight="1" x14ac:dyDescent="0.3">
      <c r="A22" s="3" t="s">
        <v>84</v>
      </c>
      <c r="B22" s="3" t="s">
        <v>29</v>
      </c>
      <c r="C22" s="8" t="s">
        <v>85</v>
      </c>
      <c r="D22" s="3" t="s">
        <v>16</v>
      </c>
      <c r="E22" s="3" t="s">
        <v>77</v>
      </c>
      <c r="F22" s="9">
        <v>4838</v>
      </c>
      <c r="G22" s="9">
        <v>640</v>
      </c>
      <c r="H22" s="9">
        <v>128</v>
      </c>
      <c r="I22" s="9">
        <v>72570</v>
      </c>
      <c r="J22" s="9">
        <v>72396</v>
      </c>
      <c r="K22" s="9">
        <v>83</v>
      </c>
      <c r="L22" s="4" t="s">
        <v>57</v>
      </c>
      <c r="M22" s="11" t="s">
        <v>603</v>
      </c>
      <c r="N22" t="s">
        <v>603</v>
      </c>
      <c r="O22" s="13" t="s">
        <v>34</v>
      </c>
    </row>
    <row r="23" spans="1:15" ht="14.25" customHeight="1" x14ac:dyDescent="0.3">
      <c r="A23" s="3" t="s">
        <v>86</v>
      </c>
      <c r="B23" s="3" t="s">
        <v>39</v>
      </c>
      <c r="C23" s="8" t="s">
        <v>87</v>
      </c>
      <c r="D23" s="3" t="s">
        <v>20</v>
      </c>
      <c r="E23" s="3" t="s">
        <v>51</v>
      </c>
      <c r="F23" s="9">
        <v>1570</v>
      </c>
      <c r="G23" s="9">
        <v>187</v>
      </c>
      <c r="H23" s="9">
        <v>260</v>
      </c>
      <c r="I23" s="9">
        <v>25120</v>
      </c>
      <c r="J23" s="9">
        <v>24613</v>
      </c>
      <c r="K23" s="9">
        <v>133</v>
      </c>
      <c r="L23" s="4" t="s">
        <v>26</v>
      </c>
      <c r="M23" s="11" t="s">
        <v>603</v>
      </c>
      <c r="N23" t="s">
        <v>603</v>
      </c>
      <c r="O23" s="13" t="s">
        <v>34</v>
      </c>
    </row>
    <row r="24" spans="1:15" ht="14.25" customHeight="1" x14ac:dyDescent="0.3">
      <c r="A24" s="3" t="s">
        <v>88</v>
      </c>
      <c r="B24" s="3" t="s">
        <v>39</v>
      </c>
      <c r="C24" s="8" t="s">
        <v>89</v>
      </c>
      <c r="D24" s="3" t="s">
        <v>69</v>
      </c>
      <c r="E24" s="3" t="s">
        <v>70</v>
      </c>
      <c r="F24" s="9">
        <v>1606</v>
      </c>
      <c r="G24" s="9">
        <v>547</v>
      </c>
      <c r="H24" s="9">
        <v>316</v>
      </c>
      <c r="I24" s="9">
        <v>32120</v>
      </c>
      <c r="J24" s="9">
        <v>31736</v>
      </c>
      <c r="K24" s="9">
        <v>225</v>
      </c>
      <c r="L24" s="4" t="s">
        <v>26</v>
      </c>
      <c r="M24" s="100" t="s">
        <v>601</v>
      </c>
      <c r="N24" t="s">
        <v>603</v>
      </c>
      <c r="O24" s="13" t="s">
        <v>21</v>
      </c>
    </row>
    <row r="25" spans="1:15" ht="14.25" customHeight="1" x14ac:dyDescent="0.3">
      <c r="A25" s="3" t="s">
        <v>90</v>
      </c>
      <c r="B25" s="3" t="s">
        <v>39</v>
      </c>
      <c r="C25" s="8" t="s">
        <v>91</v>
      </c>
      <c r="D25" s="3" t="s">
        <v>69</v>
      </c>
      <c r="E25" s="3" t="s">
        <v>70</v>
      </c>
      <c r="F25" s="9">
        <v>3961</v>
      </c>
      <c r="G25" s="9">
        <v>761</v>
      </c>
      <c r="H25" s="9">
        <v>131</v>
      </c>
      <c r="I25" s="9">
        <v>67337</v>
      </c>
      <c r="J25" s="9">
        <v>66615</v>
      </c>
      <c r="K25" s="9">
        <v>161</v>
      </c>
      <c r="L25" s="4" t="s">
        <v>57</v>
      </c>
      <c r="M25" s="11" t="s">
        <v>603</v>
      </c>
      <c r="N25" t="s">
        <v>603</v>
      </c>
      <c r="O25" s="13" t="s">
        <v>27</v>
      </c>
    </row>
    <row r="26" spans="1:15" ht="14.25" customHeight="1" x14ac:dyDescent="0.3">
      <c r="A26" s="3" t="s">
        <v>92</v>
      </c>
      <c r="B26" s="3" t="s">
        <v>592</v>
      </c>
      <c r="C26" s="8" t="s">
        <v>93</v>
      </c>
      <c r="D26" s="3" t="s">
        <v>41</v>
      </c>
      <c r="E26" s="3" t="s">
        <v>595</v>
      </c>
      <c r="F26" s="9">
        <v>3128</v>
      </c>
      <c r="G26" s="9">
        <v>211</v>
      </c>
      <c r="H26" s="9">
        <v>197</v>
      </c>
      <c r="I26" s="9">
        <v>59432</v>
      </c>
      <c r="J26" s="9">
        <v>59182</v>
      </c>
      <c r="K26" s="9">
        <v>238</v>
      </c>
      <c r="L26" s="4" t="s">
        <v>33</v>
      </c>
      <c r="M26" s="11" t="s">
        <v>603</v>
      </c>
      <c r="N26" t="s">
        <v>603</v>
      </c>
      <c r="O26" s="13" t="s">
        <v>603</v>
      </c>
    </row>
    <row r="27" spans="1:15" ht="14.25" customHeight="1" x14ac:dyDescent="0.3">
      <c r="A27" s="3" t="s">
        <v>94</v>
      </c>
      <c r="B27" s="3" t="s">
        <v>23</v>
      </c>
      <c r="C27" s="8" t="s">
        <v>95</v>
      </c>
      <c r="D27" s="3" t="s">
        <v>16</v>
      </c>
      <c r="E27" s="3" t="s">
        <v>25</v>
      </c>
      <c r="F27" s="9">
        <v>3009</v>
      </c>
      <c r="G27" s="9">
        <v>413</v>
      </c>
      <c r="H27" s="9">
        <v>358</v>
      </c>
      <c r="I27" s="9">
        <v>42126</v>
      </c>
      <c r="J27" s="9">
        <v>41309</v>
      </c>
      <c r="K27" s="9">
        <v>211</v>
      </c>
      <c r="L27" s="4" t="s">
        <v>57</v>
      </c>
      <c r="M27" s="11" t="s">
        <v>603</v>
      </c>
      <c r="N27" t="s">
        <v>603</v>
      </c>
      <c r="O27" s="13" t="s">
        <v>21</v>
      </c>
    </row>
    <row r="28" spans="1:15" ht="14.25" customHeight="1" x14ac:dyDescent="0.3">
      <c r="A28" s="3" t="s">
        <v>96</v>
      </c>
      <c r="B28" s="3" t="s">
        <v>23</v>
      </c>
      <c r="C28" s="8" t="s">
        <v>97</v>
      </c>
      <c r="D28" s="3" t="s">
        <v>20</v>
      </c>
      <c r="E28" s="3" t="s">
        <v>98</v>
      </c>
      <c r="F28" s="9">
        <v>2076</v>
      </c>
      <c r="G28" s="9">
        <v>195</v>
      </c>
      <c r="H28" s="9">
        <v>104</v>
      </c>
      <c r="I28" s="9">
        <v>33216</v>
      </c>
      <c r="J28" s="9">
        <v>32244</v>
      </c>
      <c r="K28" s="9">
        <v>51</v>
      </c>
      <c r="L28" s="4" t="s">
        <v>57</v>
      </c>
      <c r="M28" s="11" t="s">
        <v>603</v>
      </c>
      <c r="N28" t="s">
        <v>603</v>
      </c>
      <c r="O28" s="13" t="s">
        <v>34</v>
      </c>
    </row>
    <row r="29" spans="1:15" ht="14.25" customHeight="1" x14ac:dyDescent="0.3">
      <c r="A29" s="3" t="s">
        <v>99</v>
      </c>
      <c r="B29" s="3" t="s">
        <v>29</v>
      </c>
      <c r="C29" s="8" t="s">
        <v>100</v>
      </c>
      <c r="D29" s="3" t="s">
        <v>69</v>
      </c>
      <c r="E29" s="3" t="s">
        <v>80</v>
      </c>
      <c r="F29" s="9">
        <v>432</v>
      </c>
      <c r="G29" s="9">
        <v>624</v>
      </c>
      <c r="H29" s="9">
        <v>123</v>
      </c>
      <c r="I29" s="9">
        <v>6912</v>
      </c>
      <c r="J29" s="9">
        <v>6259</v>
      </c>
      <c r="K29" s="9">
        <v>79</v>
      </c>
      <c r="L29" s="4" t="s">
        <v>57</v>
      </c>
      <c r="M29" s="11" t="s">
        <v>603</v>
      </c>
      <c r="N29" t="s">
        <v>603</v>
      </c>
      <c r="O29" s="13" t="s">
        <v>34</v>
      </c>
    </row>
    <row r="30" spans="1:15" ht="14.25" customHeight="1" x14ac:dyDescent="0.3">
      <c r="A30" s="3" t="s">
        <v>101</v>
      </c>
      <c r="B30" s="3" t="s">
        <v>29</v>
      </c>
      <c r="C30" s="8" t="s">
        <v>102</v>
      </c>
      <c r="D30" s="3" t="s">
        <v>41</v>
      </c>
      <c r="E30" s="3" t="s">
        <v>83</v>
      </c>
      <c r="F30" s="9">
        <v>2566</v>
      </c>
      <c r="G30" s="9">
        <v>118</v>
      </c>
      <c r="H30" s="9">
        <v>37</v>
      </c>
      <c r="I30" s="9">
        <v>12830</v>
      </c>
      <c r="J30" s="9">
        <v>12264</v>
      </c>
      <c r="K30" s="9">
        <v>221</v>
      </c>
      <c r="L30" s="4" t="s">
        <v>57</v>
      </c>
      <c r="M30" s="11" t="s">
        <v>603</v>
      </c>
      <c r="N30" t="s">
        <v>603</v>
      </c>
      <c r="O30" s="13" t="s">
        <v>27</v>
      </c>
    </row>
    <row r="31" spans="1:15" ht="14.25" customHeight="1" x14ac:dyDescent="0.3">
      <c r="A31" s="3" t="s">
        <v>103</v>
      </c>
      <c r="B31" s="3" t="s">
        <v>29</v>
      </c>
      <c r="C31" s="8" t="s">
        <v>104</v>
      </c>
      <c r="D31" s="3" t="s">
        <v>69</v>
      </c>
      <c r="E31" s="3" t="s">
        <v>80</v>
      </c>
      <c r="F31" s="9">
        <v>3095</v>
      </c>
      <c r="G31" s="9">
        <v>39</v>
      </c>
      <c r="H31" s="9">
        <v>78</v>
      </c>
      <c r="I31" s="9">
        <v>55710</v>
      </c>
      <c r="J31" s="9">
        <v>54808</v>
      </c>
      <c r="K31" s="9">
        <v>93</v>
      </c>
      <c r="L31" s="4" t="s">
        <v>33</v>
      </c>
      <c r="M31" s="11" t="s">
        <v>603</v>
      </c>
      <c r="N31" t="s">
        <v>603</v>
      </c>
      <c r="O31" s="13" t="s">
        <v>603</v>
      </c>
    </row>
    <row r="32" spans="1:15" ht="14.25" customHeight="1" x14ac:dyDescent="0.3">
      <c r="A32" s="3" t="s">
        <v>105</v>
      </c>
      <c r="B32" s="3" t="s">
        <v>29</v>
      </c>
      <c r="C32" s="8" t="s">
        <v>106</v>
      </c>
      <c r="D32" s="3" t="s">
        <v>20</v>
      </c>
      <c r="E32" s="3" t="s">
        <v>107</v>
      </c>
      <c r="F32" s="9">
        <v>438</v>
      </c>
      <c r="G32" s="9">
        <v>153</v>
      </c>
      <c r="H32" s="9">
        <v>275</v>
      </c>
      <c r="I32" s="9">
        <v>3066</v>
      </c>
      <c r="J32" s="9">
        <v>2701</v>
      </c>
      <c r="K32" s="9">
        <v>282</v>
      </c>
      <c r="L32" s="4" t="s">
        <v>26</v>
      </c>
      <c r="M32" s="11" t="s">
        <v>603</v>
      </c>
      <c r="N32" t="s">
        <v>603</v>
      </c>
      <c r="O32" s="13" t="s">
        <v>21</v>
      </c>
    </row>
    <row r="33" spans="1:15" ht="14.25" customHeight="1" x14ac:dyDescent="0.3">
      <c r="A33" s="3" t="s">
        <v>108</v>
      </c>
      <c r="B33" s="3" t="s">
        <v>592</v>
      </c>
      <c r="C33" s="8" t="s">
        <v>109</v>
      </c>
      <c r="D33" s="3" t="s">
        <v>41</v>
      </c>
      <c r="E33" s="3" t="s">
        <v>595</v>
      </c>
      <c r="F33" s="9">
        <v>2278</v>
      </c>
      <c r="G33" s="9">
        <v>10</v>
      </c>
      <c r="H33" s="9">
        <v>321</v>
      </c>
      <c r="I33" s="9">
        <v>13668</v>
      </c>
      <c r="J33" s="9">
        <v>12676</v>
      </c>
      <c r="K33" s="9">
        <v>275</v>
      </c>
      <c r="L33" s="4" t="s">
        <v>33</v>
      </c>
      <c r="M33" s="11" t="s">
        <v>603</v>
      </c>
      <c r="N33" t="s">
        <v>603</v>
      </c>
      <c r="O33" s="13" t="s">
        <v>17</v>
      </c>
    </row>
    <row r="34" spans="1:15" ht="14.25" customHeight="1" x14ac:dyDescent="0.3">
      <c r="A34" s="3" t="s">
        <v>110</v>
      </c>
      <c r="B34" s="3" t="s">
        <v>39</v>
      </c>
      <c r="C34" s="8" t="s">
        <v>111</v>
      </c>
      <c r="D34" s="3" t="s">
        <v>47</v>
      </c>
      <c r="E34" s="3" t="s">
        <v>54</v>
      </c>
      <c r="F34" s="9">
        <v>1407</v>
      </c>
      <c r="G34" s="9">
        <v>400</v>
      </c>
      <c r="H34" s="9">
        <v>351</v>
      </c>
      <c r="I34" s="9">
        <v>16884</v>
      </c>
      <c r="J34" s="9">
        <v>15954</v>
      </c>
      <c r="K34" s="9">
        <v>113</v>
      </c>
      <c r="L34" s="4" t="s">
        <v>26</v>
      </c>
      <c r="M34" s="11" t="s">
        <v>603</v>
      </c>
      <c r="N34" t="s">
        <v>603</v>
      </c>
      <c r="O34" s="13" t="s">
        <v>17</v>
      </c>
    </row>
    <row r="35" spans="1:15" ht="14.25" customHeight="1" x14ac:dyDescent="0.3">
      <c r="A35" s="3" t="s">
        <v>112</v>
      </c>
      <c r="B35" s="3" t="s">
        <v>39</v>
      </c>
      <c r="C35" s="8" t="s">
        <v>113</v>
      </c>
      <c r="D35" s="3" t="s">
        <v>20</v>
      </c>
      <c r="E35" s="3" t="s">
        <v>51</v>
      </c>
      <c r="F35" s="9">
        <v>1652</v>
      </c>
      <c r="G35" s="9">
        <v>89</v>
      </c>
      <c r="H35" s="9">
        <v>357</v>
      </c>
      <c r="I35" s="9">
        <v>29736</v>
      </c>
      <c r="J35" s="9">
        <v>28771</v>
      </c>
      <c r="K35" s="9">
        <v>215</v>
      </c>
      <c r="L35" s="4" t="s">
        <v>26</v>
      </c>
      <c r="M35" s="11" t="s">
        <v>603</v>
      </c>
      <c r="N35" t="s">
        <v>603</v>
      </c>
      <c r="O35" s="13" t="s">
        <v>27</v>
      </c>
    </row>
    <row r="36" spans="1:15" ht="14.25" customHeight="1" x14ac:dyDescent="0.3">
      <c r="A36" s="3" t="s">
        <v>114</v>
      </c>
      <c r="B36" s="3" t="s">
        <v>29</v>
      </c>
      <c r="C36" s="8" t="s">
        <v>115</v>
      </c>
      <c r="D36" s="3" t="s">
        <v>69</v>
      </c>
      <c r="E36" s="3" t="s">
        <v>80</v>
      </c>
      <c r="F36" s="9">
        <v>3775</v>
      </c>
      <c r="G36" s="9">
        <v>16</v>
      </c>
      <c r="H36" s="9">
        <v>239</v>
      </c>
      <c r="I36" s="9">
        <v>33975</v>
      </c>
      <c r="J36" s="9">
        <v>33310</v>
      </c>
      <c r="K36" s="9">
        <v>271</v>
      </c>
      <c r="L36" s="4" t="s">
        <v>57</v>
      </c>
      <c r="M36" s="11" t="s">
        <v>603</v>
      </c>
      <c r="N36" t="s">
        <v>603</v>
      </c>
      <c r="O36" s="13" t="s">
        <v>21</v>
      </c>
    </row>
    <row r="37" spans="1:15" ht="14.25" customHeight="1" x14ac:dyDescent="0.3">
      <c r="A37" s="3" t="s">
        <v>116</v>
      </c>
      <c r="B37" s="3" t="s">
        <v>29</v>
      </c>
      <c r="C37" s="8" t="s">
        <v>117</v>
      </c>
      <c r="D37" s="3" t="s">
        <v>31</v>
      </c>
      <c r="E37" s="3" t="s">
        <v>32</v>
      </c>
      <c r="F37" s="9">
        <v>4518</v>
      </c>
      <c r="G37" s="9">
        <v>285</v>
      </c>
      <c r="H37" s="9">
        <v>383</v>
      </c>
      <c r="I37" s="9">
        <v>67770</v>
      </c>
      <c r="J37" s="9">
        <v>67621</v>
      </c>
      <c r="K37" s="9">
        <v>31</v>
      </c>
      <c r="L37" s="4" t="s">
        <v>33</v>
      </c>
      <c r="M37" s="11" t="s">
        <v>603</v>
      </c>
      <c r="N37" t="s">
        <v>603</v>
      </c>
      <c r="O37" s="13" t="s">
        <v>21</v>
      </c>
    </row>
    <row r="38" spans="1:15" ht="14.25" customHeight="1" x14ac:dyDescent="0.3">
      <c r="A38" s="3" t="s">
        <v>118</v>
      </c>
      <c r="B38" s="3" t="s">
        <v>39</v>
      </c>
      <c r="C38" s="8" t="s">
        <v>119</v>
      </c>
      <c r="D38" s="3" t="s">
        <v>41</v>
      </c>
      <c r="E38" s="3" t="s">
        <v>42</v>
      </c>
      <c r="F38" s="9">
        <v>3024</v>
      </c>
      <c r="G38" s="9">
        <v>925</v>
      </c>
      <c r="H38" s="9">
        <v>350</v>
      </c>
      <c r="I38" s="9">
        <v>24192</v>
      </c>
      <c r="J38" s="9">
        <v>23518</v>
      </c>
      <c r="K38" s="9">
        <v>36</v>
      </c>
      <c r="L38" s="4" t="s">
        <v>33</v>
      </c>
      <c r="M38" s="11" t="s">
        <v>603</v>
      </c>
      <c r="N38" t="s">
        <v>603</v>
      </c>
      <c r="O38" s="13" t="s">
        <v>21</v>
      </c>
    </row>
    <row r="39" spans="1:15" ht="14.25" customHeight="1" x14ac:dyDescent="0.3">
      <c r="A39" s="3" t="s">
        <v>120</v>
      </c>
      <c r="B39" s="3" t="s">
        <v>23</v>
      </c>
      <c r="C39" s="8" t="s">
        <v>121</v>
      </c>
      <c r="D39" s="3" t="s">
        <v>16</v>
      </c>
      <c r="E39" s="3" t="s">
        <v>25</v>
      </c>
      <c r="F39" s="9">
        <v>3138</v>
      </c>
      <c r="G39" s="9">
        <v>123</v>
      </c>
      <c r="H39" s="9">
        <v>291</v>
      </c>
      <c r="I39" s="9">
        <v>28242</v>
      </c>
      <c r="J39" s="9">
        <v>27550</v>
      </c>
      <c r="K39" s="9">
        <v>87</v>
      </c>
      <c r="L39" s="4" t="s">
        <v>26</v>
      </c>
      <c r="M39" s="11" t="s">
        <v>603</v>
      </c>
      <c r="N39" t="s">
        <v>603</v>
      </c>
      <c r="O39" s="13" t="s">
        <v>34</v>
      </c>
    </row>
    <row r="40" spans="1:15" ht="14.25" customHeight="1" x14ac:dyDescent="0.3">
      <c r="A40" s="3" t="s">
        <v>122</v>
      </c>
      <c r="B40" s="3" t="s">
        <v>39</v>
      </c>
      <c r="C40" s="8" t="s">
        <v>123</v>
      </c>
      <c r="D40" s="3" t="s">
        <v>47</v>
      </c>
      <c r="E40" s="3" t="s">
        <v>54</v>
      </c>
      <c r="F40" s="9">
        <v>3564</v>
      </c>
      <c r="G40" s="9">
        <v>629</v>
      </c>
      <c r="H40" s="9">
        <v>177</v>
      </c>
      <c r="I40" s="9">
        <v>60588</v>
      </c>
      <c r="J40" s="9">
        <v>59627</v>
      </c>
      <c r="K40" s="9">
        <v>92</v>
      </c>
      <c r="L40" s="4" t="s">
        <v>26</v>
      </c>
      <c r="M40" s="11" t="s">
        <v>603</v>
      </c>
      <c r="N40" t="s">
        <v>603</v>
      </c>
      <c r="O40" s="13" t="s">
        <v>603</v>
      </c>
    </row>
    <row r="41" spans="1:15" ht="14.25" customHeight="1" x14ac:dyDescent="0.3">
      <c r="A41" s="3" t="s">
        <v>124</v>
      </c>
      <c r="B41" s="3" t="s">
        <v>592</v>
      </c>
      <c r="C41" s="8" t="s">
        <v>125</v>
      </c>
      <c r="D41" s="3" t="s">
        <v>47</v>
      </c>
      <c r="E41" s="3" t="s">
        <v>596</v>
      </c>
      <c r="F41" s="9">
        <v>4750</v>
      </c>
      <c r="G41" s="9">
        <v>151</v>
      </c>
      <c r="H41" s="9">
        <v>415</v>
      </c>
      <c r="I41" s="9">
        <v>38000</v>
      </c>
      <c r="J41" s="9">
        <v>37792</v>
      </c>
      <c r="K41" s="9">
        <v>299</v>
      </c>
      <c r="L41" s="4" t="s">
        <v>33</v>
      </c>
      <c r="M41" s="11" t="s">
        <v>603</v>
      </c>
      <c r="N41" t="s">
        <v>603</v>
      </c>
      <c r="O41" s="13" t="s">
        <v>34</v>
      </c>
    </row>
    <row r="42" spans="1:15" ht="14.25" customHeight="1" x14ac:dyDescent="0.3">
      <c r="A42" s="3" t="s">
        <v>126</v>
      </c>
      <c r="B42" s="3" t="s">
        <v>29</v>
      </c>
      <c r="C42" s="8" t="s">
        <v>127</v>
      </c>
      <c r="D42" s="3" t="s">
        <v>16</v>
      </c>
      <c r="E42" s="3" t="s">
        <v>77</v>
      </c>
      <c r="F42" s="9">
        <v>456</v>
      </c>
      <c r="G42" s="9">
        <v>629</v>
      </c>
      <c r="H42" s="9">
        <v>428</v>
      </c>
      <c r="I42" s="9">
        <v>8208</v>
      </c>
      <c r="J42" s="9">
        <v>7377</v>
      </c>
      <c r="K42" s="9">
        <v>205</v>
      </c>
      <c r="L42" s="4" t="s">
        <v>57</v>
      </c>
      <c r="M42" s="11" t="s">
        <v>603</v>
      </c>
      <c r="N42" t="s">
        <v>603</v>
      </c>
      <c r="O42" s="13" t="s">
        <v>34</v>
      </c>
    </row>
    <row r="43" spans="1:15" ht="14.25" customHeight="1" x14ac:dyDescent="0.3">
      <c r="A43" s="3" t="s">
        <v>128</v>
      </c>
      <c r="B43" s="3" t="s">
        <v>23</v>
      </c>
      <c r="C43" s="8" t="s">
        <v>129</v>
      </c>
      <c r="D43" s="3" t="s">
        <v>16</v>
      </c>
      <c r="E43" s="3" t="s">
        <v>25</v>
      </c>
      <c r="F43" s="9">
        <v>1543</v>
      </c>
      <c r="G43" s="9">
        <v>820</v>
      </c>
      <c r="H43" s="9">
        <v>333</v>
      </c>
      <c r="I43" s="9">
        <v>12344</v>
      </c>
      <c r="J43" s="9">
        <v>11496</v>
      </c>
      <c r="K43" s="9">
        <v>241</v>
      </c>
      <c r="L43" s="4" t="s">
        <v>33</v>
      </c>
      <c r="M43" s="11" t="s">
        <v>603</v>
      </c>
      <c r="N43" t="s">
        <v>603</v>
      </c>
      <c r="O43" s="13" t="s">
        <v>603</v>
      </c>
    </row>
    <row r="44" spans="1:15" ht="14.25" customHeight="1" x14ac:dyDescent="0.3">
      <c r="A44" s="3" t="s">
        <v>130</v>
      </c>
      <c r="B44" s="3" t="s">
        <v>29</v>
      </c>
      <c r="C44" s="8" t="s">
        <v>131</v>
      </c>
      <c r="D44" s="3" t="s">
        <v>41</v>
      </c>
      <c r="E44" s="3" t="s">
        <v>83</v>
      </c>
      <c r="F44" s="9">
        <v>2174</v>
      </c>
      <c r="G44" s="9">
        <v>658</v>
      </c>
      <c r="H44" s="9">
        <v>15</v>
      </c>
      <c r="I44" s="9">
        <v>13044</v>
      </c>
      <c r="J44" s="9">
        <v>12206</v>
      </c>
      <c r="K44" s="9">
        <v>137</v>
      </c>
      <c r="L44" s="4" t="s">
        <v>26</v>
      </c>
      <c r="M44" s="11" t="s">
        <v>603</v>
      </c>
      <c r="N44" t="s">
        <v>603</v>
      </c>
      <c r="O44" s="13" t="s">
        <v>27</v>
      </c>
    </row>
    <row r="45" spans="1:15" ht="14.25" customHeight="1" x14ac:dyDescent="0.3">
      <c r="A45" s="3" t="s">
        <v>132</v>
      </c>
      <c r="B45" s="3" t="s">
        <v>592</v>
      </c>
      <c r="C45" s="8" t="s">
        <v>133</v>
      </c>
      <c r="D45" s="3" t="s">
        <v>47</v>
      </c>
      <c r="E45" s="3" t="s">
        <v>596</v>
      </c>
      <c r="F45" s="9">
        <v>2358</v>
      </c>
      <c r="G45" s="9">
        <v>784</v>
      </c>
      <c r="H45" s="9">
        <v>344</v>
      </c>
      <c r="I45" s="9">
        <v>35370</v>
      </c>
      <c r="J45" s="9">
        <v>34475</v>
      </c>
      <c r="K45" s="9">
        <v>216</v>
      </c>
      <c r="L45" s="4" t="s">
        <v>26</v>
      </c>
      <c r="M45" s="11" t="s">
        <v>603</v>
      </c>
      <c r="N45" t="s">
        <v>603</v>
      </c>
      <c r="O45" s="13" t="s">
        <v>603</v>
      </c>
    </row>
    <row r="46" spans="1:15" ht="14.25" customHeight="1" x14ac:dyDescent="0.3">
      <c r="A46" s="3" t="s">
        <v>134</v>
      </c>
      <c r="B46" s="3" t="s">
        <v>39</v>
      </c>
      <c r="C46" s="8" t="s">
        <v>135</v>
      </c>
      <c r="D46" s="3" t="s">
        <v>69</v>
      </c>
      <c r="E46" s="3" t="s">
        <v>70</v>
      </c>
      <c r="F46" s="9">
        <v>3371</v>
      </c>
      <c r="G46" s="9">
        <v>106</v>
      </c>
      <c r="H46" s="9">
        <v>327</v>
      </c>
      <c r="I46" s="9">
        <v>50565</v>
      </c>
      <c r="J46" s="9">
        <v>49816</v>
      </c>
      <c r="K46" s="9">
        <v>176</v>
      </c>
      <c r="L46" s="4" t="s">
        <v>57</v>
      </c>
      <c r="M46" s="11" t="s">
        <v>603</v>
      </c>
      <c r="N46" t="s">
        <v>603</v>
      </c>
      <c r="O46" s="13" t="s">
        <v>17</v>
      </c>
    </row>
    <row r="47" spans="1:15" ht="14.25" customHeight="1" x14ac:dyDescent="0.3">
      <c r="A47" s="3" t="s">
        <v>136</v>
      </c>
      <c r="B47" s="3" t="s">
        <v>592</v>
      </c>
      <c r="C47" s="8" t="s">
        <v>137</v>
      </c>
      <c r="D47" s="3" t="s">
        <v>69</v>
      </c>
      <c r="E47" s="3" t="s">
        <v>597</v>
      </c>
      <c r="F47" s="9">
        <v>1108</v>
      </c>
      <c r="G47" s="9">
        <v>177</v>
      </c>
      <c r="H47" s="9">
        <v>212</v>
      </c>
      <c r="I47" s="9">
        <v>8864</v>
      </c>
      <c r="J47" s="9">
        <v>8710</v>
      </c>
      <c r="K47" s="9">
        <v>97</v>
      </c>
      <c r="L47" s="4" t="s">
        <v>26</v>
      </c>
      <c r="M47" s="11" t="s">
        <v>603</v>
      </c>
      <c r="N47" t="s">
        <v>603</v>
      </c>
      <c r="O47" s="13" t="s">
        <v>34</v>
      </c>
    </row>
    <row r="48" spans="1:15" ht="14.25" customHeight="1" x14ac:dyDescent="0.3">
      <c r="A48" s="3" t="s">
        <v>138</v>
      </c>
      <c r="B48" s="3" t="s">
        <v>592</v>
      </c>
      <c r="C48" s="8" t="s">
        <v>139</v>
      </c>
      <c r="D48" s="3" t="s">
        <v>41</v>
      </c>
      <c r="E48" s="3" t="s">
        <v>595</v>
      </c>
      <c r="F48" s="9">
        <v>2704</v>
      </c>
      <c r="G48" s="9">
        <v>752</v>
      </c>
      <c r="H48" s="9">
        <v>153</v>
      </c>
      <c r="I48" s="9">
        <v>21632</v>
      </c>
      <c r="J48" s="9">
        <v>20792</v>
      </c>
      <c r="K48" s="9">
        <v>127</v>
      </c>
      <c r="L48" s="4" t="s">
        <v>57</v>
      </c>
      <c r="M48" s="11" t="s">
        <v>603</v>
      </c>
      <c r="N48" t="s">
        <v>603</v>
      </c>
      <c r="O48" s="13" t="s">
        <v>603</v>
      </c>
    </row>
    <row r="49" spans="1:15" ht="14.25" customHeight="1" x14ac:dyDescent="0.3">
      <c r="A49" s="3" t="s">
        <v>140</v>
      </c>
      <c r="B49" s="3" t="s">
        <v>592</v>
      </c>
      <c r="C49" s="8" t="s">
        <v>53</v>
      </c>
      <c r="D49" s="3" t="s">
        <v>31</v>
      </c>
      <c r="E49" s="3" t="s">
        <v>598</v>
      </c>
      <c r="F49" s="9">
        <v>1950</v>
      </c>
      <c r="G49" s="9">
        <v>295</v>
      </c>
      <c r="H49" s="9">
        <v>478</v>
      </c>
      <c r="I49" s="9">
        <v>37050</v>
      </c>
      <c r="J49" s="9">
        <v>36272</v>
      </c>
      <c r="K49" s="9">
        <v>119</v>
      </c>
      <c r="L49" s="4" t="s">
        <v>26</v>
      </c>
      <c r="M49" s="11" t="s">
        <v>603</v>
      </c>
      <c r="N49" t="s">
        <v>603</v>
      </c>
      <c r="O49" s="13" t="s">
        <v>603</v>
      </c>
    </row>
    <row r="50" spans="1:15" ht="14.25" customHeight="1" x14ac:dyDescent="0.3">
      <c r="A50" s="3" t="s">
        <v>141</v>
      </c>
      <c r="B50" s="3" t="s">
        <v>592</v>
      </c>
      <c r="C50" s="8" t="s">
        <v>142</v>
      </c>
      <c r="D50" s="3" t="s">
        <v>31</v>
      </c>
      <c r="E50" s="3" t="s">
        <v>598</v>
      </c>
      <c r="F50" s="9">
        <v>2164</v>
      </c>
      <c r="G50" s="9">
        <v>549</v>
      </c>
      <c r="H50" s="9">
        <v>274</v>
      </c>
      <c r="I50" s="9">
        <v>28132</v>
      </c>
      <c r="J50" s="9">
        <v>27361</v>
      </c>
      <c r="K50" s="9">
        <v>177</v>
      </c>
      <c r="L50" s="4" t="s">
        <v>26</v>
      </c>
      <c r="M50" s="11" t="s">
        <v>603</v>
      </c>
      <c r="N50" t="s">
        <v>603</v>
      </c>
      <c r="O50" s="13" t="s">
        <v>34</v>
      </c>
    </row>
    <row r="51" spans="1:15" ht="14.25" customHeight="1" x14ac:dyDescent="0.3">
      <c r="A51" s="3" t="s">
        <v>143</v>
      </c>
      <c r="B51" s="3" t="s">
        <v>23</v>
      </c>
      <c r="C51" s="8" t="s">
        <v>144</v>
      </c>
      <c r="D51" s="3" t="s">
        <v>31</v>
      </c>
      <c r="E51" s="3" t="s">
        <v>145</v>
      </c>
      <c r="F51" s="9">
        <v>2754</v>
      </c>
      <c r="G51" s="9">
        <v>130</v>
      </c>
      <c r="H51" s="9">
        <v>90</v>
      </c>
      <c r="I51" s="9">
        <v>22032</v>
      </c>
      <c r="J51" s="9">
        <v>21288</v>
      </c>
      <c r="K51" s="9">
        <v>112</v>
      </c>
      <c r="L51" s="4" t="s">
        <v>26</v>
      </c>
      <c r="M51" s="11" t="s">
        <v>603</v>
      </c>
      <c r="N51" t="s">
        <v>603</v>
      </c>
      <c r="O51" s="13" t="s">
        <v>27</v>
      </c>
    </row>
    <row r="52" spans="1:15" ht="14.25" customHeight="1" x14ac:dyDescent="0.3">
      <c r="A52" s="3" t="s">
        <v>146</v>
      </c>
      <c r="B52" s="3" t="s">
        <v>39</v>
      </c>
      <c r="C52" s="8" t="s">
        <v>147</v>
      </c>
      <c r="D52" s="3" t="s">
        <v>41</v>
      </c>
      <c r="E52" s="3" t="s">
        <v>42</v>
      </c>
      <c r="F52" s="9">
        <v>2200</v>
      </c>
      <c r="G52" s="9">
        <v>504</v>
      </c>
      <c r="H52" s="9">
        <v>239</v>
      </c>
      <c r="I52" s="9">
        <v>37400</v>
      </c>
      <c r="J52" s="9">
        <v>36938</v>
      </c>
      <c r="K52" s="9">
        <v>225</v>
      </c>
      <c r="L52" s="4" t="s">
        <v>57</v>
      </c>
      <c r="M52" s="11" t="s">
        <v>603</v>
      </c>
      <c r="N52" t="s">
        <v>603</v>
      </c>
      <c r="O52" s="13" t="s">
        <v>21</v>
      </c>
    </row>
    <row r="53" spans="1:15" ht="14.25" customHeight="1" x14ac:dyDescent="0.3">
      <c r="A53" s="3" t="s">
        <v>148</v>
      </c>
      <c r="B53" s="3" t="s">
        <v>39</v>
      </c>
      <c r="C53" s="8" t="s">
        <v>149</v>
      </c>
      <c r="D53" s="3" t="s">
        <v>47</v>
      </c>
      <c r="E53" s="3" t="s">
        <v>54</v>
      </c>
      <c r="F53" s="9">
        <v>947</v>
      </c>
      <c r="G53" s="9">
        <v>338</v>
      </c>
      <c r="H53" s="9">
        <v>350</v>
      </c>
      <c r="I53" s="9">
        <v>10417</v>
      </c>
      <c r="J53" s="9">
        <v>9730</v>
      </c>
      <c r="K53" s="9">
        <v>34</v>
      </c>
      <c r="L53" s="4" t="s">
        <v>26</v>
      </c>
      <c r="M53" s="11" t="s">
        <v>603</v>
      </c>
      <c r="N53" t="s">
        <v>603</v>
      </c>
      <c r="O53" s="13" t="s">
        <v>34</v>
      </c>
    </row>
    <row r="54" spans="1:15" ht="14.25" customHeight="1" x14ac:dyDescent="0.3">
      <c r="A54" s="3" t="s">
        <v>150</v>
      </c>
      <c r="B54" s="3" t="s">
        <v>23</v>
      </c>
      <c r="C54" s="8" t="s">
        <v>139</v>
      </c>
      <c r="D54" s="3" t="s">
        <v>41</v>
      </c>
      <c r="E54" s="3" t="s">
        <v>63</v>
      </c>
      <c r="F54" s="9">
        <v>804</v>
      </c>
      <c r="G54" s="9">
        <v>639</v>
      </c>
      <c r="H54" s="9">
        <v>43</v>
      </c>
      <c r="I54" s="9">
        <v>4020</v>
      </c>
      <c r="J54" s="9">
        <v>3144</v>
      </c>
      <c r="K54" s="9">
        <v>11</v>
      </c>
      <c r="L54" s="4" t="s">
        <v>33</v>
      </c>
      <c r="M54" s="100" t="s">
        <v>602</v>
      </c>
      <c r="N54" t="s">
        <v>603</v>
      </c>
      <c r="O54" s="13" t="s">
        <v>603</v>
      </c>
    </row>
    <row r="55" spans="1:15" ht="14.25" customHeight="1" x14ac:dyDescent="0.3">
      <c r="A55" s="3" t="s">
        <v>151</v>
      </c>
      <c r="B55" s="3" t="s">
        <v>23</v>
      </c>
      <c r="C55" s="8" t="s">
        <v>152</v>
      </c>
      <c r="D55" s="3" t="s">
        <v>41</v>
      </c>
      <c r="E55" s="3" t="s">
        <v>63</v>
      </c>
      <c r="F55" s="9">
        <v>1686</v>
      </c>
      <c r="G55" s="9">
        <v>904</v>
      </c>
      <c r="H55" s="9">
        <v>472</v>
      </c>
      <c r="I55" s="9">
        <v>18546</v>
      </c>
      <c r="J55" s="9">
        <v>18171</v>
      </c>
      <c r="K55" s="9">
        <v>52</v>
      </c>
      <c r="L55" s="4" t="s">
        <v>57</v>
      </c>
      <c r="M55" s="11" t="s">
        <v>603</v>
      </c>
      <c r="N55" t="s">
        <v>603</v>
      </c>
      <c r="O55" s="13" t="s">
        <v>21</v>
      </c>
    </row>
    <row r="56" spans="1:15" ht="14.25" customHeight="1" x14ac:dyDescent="0.3">
      <c r="A56" s="3" t="s">
        <v>153</v>
      </c>
      <c r="B56" s="3" t="s">
        <v>39</v>
      </c>
      <c r="C56" s="8" t="s">
        <v>154</v>
      </c>
      <c r="D56" s="3" t="s">
        <v>47</v>
      </c>
      <c r="E56" s="3" t="s">
        <v>54</v>
      </c>
      <c r="F56" s="9">
        <v>1226</v>
      </c>
      <c r="G56" s="9">
        <v>119</v>
      </c>
      <c r="H56" s="9">
        <v>7</v>
      </c>
      <c r="I56" s="9">
        <v>14712</v>
      </c>
      <c r="J56" s="9">
        <v>14049</v>
      </c>
      <c r="K56" s="9">
        <v>123</v>
      </c>
      <c r="L56" s="4" t="s">
        <v>33</v>
      </c>
      <c r="M56" s="11" t="s">
        <v>603</v>
      </c>
      <c r="N56" t="s">
        <v>603</v>
      </c>
      <c r="O56" s="13" t="s">
        <v>34</v>
      </c>
    </row>
    <row r="57" spans="1:15" ht="14.25" customHeight="1" x14ac:dyDescent="0.3">
      <c r="A57" s="3" t="s">
        <v>155</v>
      </c>
      <c r="B57" s="3" t="s">
        <v>39</v>
      </c>
      <c r="C57" s="8" t="s">
        <v>156</v>
      </c>
      <c r="D57" s="3" t="s">
        <v>41</v>
      </c>
      <c r="E57" s="3" t="s">
        <v>42</v>
      </c>
      <c r="F57" s="9">
        <v>2946</v>
      </c>
      <c r="G57" s="9">
        <v>498</v>
      </c>
      <c r="H57" s="9">
        <v>367</v>
      </c>
      <c r="I57" s="9">
        <v>29460</v>
      </c>
      <c r="J57" s="9">
        <v>28527</v>
      </c>
      <c r="K57" s="9">
        <v>60</v>
      </c>
      <c r="L57" s="4" t="s">
        <v>57</v>
      </c>
      <c r="M57" s="11" t="s">
        <v>603</v>
      </c>
      <c r="N57" t="s">
        <v>603</v>
      </c>
      <c r="O57" s="13" t="s">
        <v>27</v>
      </c>
    </row>
    <row r="58" spans="1:15" ht="14.25" customHeight="1" x14ac:dyDescent="0.3">
      <c r="A58" s="3" t="s">
        <v>157</v>
      </c>
      <c r="B58" s="3" t="s">
        <v>592</v>
      </c>
      <c r="C58" s="8" t="s">
        <v>158</v>
      </c>
      <c r="D58" s="3" t="s">
        <v>69</v>
      </c>
      <c r="E58" s="3" t="s">
        <v>597</v>
      </c>
      <c r="F58" s="9">
        <v>2825</v>
      </c>
      <c r="G58" s="9">
        <v>535</v>
      </c>
      <c r="H58" s="9">
        <v>295</v>
      </c>
      <c r="I58" s="9">
        <v>45200</v>
      </c>
      <c r="J58" s="9">
        <v>44739</v>
      </c>
      <c r="K58" s="9">
        <v>169</v>
      </c>
      <c r="L58" s="4" t="s">
        <v>26</v>
      </c>
      <c r="M58" s="11" t="s">
        <v>603</v>
      </c>
      <c r="N58" t="s">
        <v>603</v>
      </c>
      <c r="O58" s="13" t="s">
        <v>17</v>
      </c>
    </row>
    <row r="59" spans="1:15" ht="14.25" customHeight="1" x14ac:dyDescent="0.3">
      <c r="A59" s="3" t="s">
        <v>159</v>
      </c>
      <c r="B59" s="3" t="s">
        <v>29</v>
      </c>
      <c r="C59" s="8" t="s">
        <v>160</v>
      </c>
      <c r="D59" s="3" t="s">
        <v>16</v>
      </c>
      <c r="E59" s="3" t="s">
        <v>77</v>
      </c>
      <c r="F59" s="9">
        <v>103</v>
      </c>
      <c r="G59" s="9">
        <v>770</v>
      </c>
      <c r="H59" s="9">
        <v>19</v>
      </c>
      <c r="I59" s="9">
        <v>1030</v>
      </c>
      <c r="J59" s="9">
        <v>410</v>
      </c>
      <c r="K59" s="9">
        <v>262</v>
      </c>
      <c r="L59" s="4" t="s">
        <v>26</v>
      </c>
      <c r="M59" s="11" t="s">
        <v>603</v>
      </c>
      <c r="N59" t="s">
        <v>603</v>
      </c>
      <c r="O59" s="13" t="s">
        <v>34</v>
      </c>
    </row>
    <row r="60" spans="1:15" ht="14.25" customHeight="1" x14ac:dyDescent="0.3">
      <c r="A60" s="3" t="s">
        <v>161</v>
      </c>
      <c r="B60" s="3" t="s">
        <v>29</v>
      </c>
      <c r="C60" s="8" t="s">
        <v>162</v>
      </c>
      <c r="D60" s="3" t="s">
        <v>20</v>
      </c>
      <c r="E60" s="3" t="s">
        <v>107</v>
      </c>
      <c r="F60" s="9">
        <v>2180</v>
      </c>
      <c r="G60" s="9">
        <v>263</v>
      </c>
      <c r="H60" s="9">
        <v>387</v>
      </c>
      <c r="I60" s="9">
        <v>30520</v>
      </c>
      <c r="J60" s="9">
        <v>30059</v>
      </c>
      <c r="K60" s="9">
        <v>174</v>
      </c>
      <c r="L60" s="4" t="s">
        <v>33</v>
      </c>
      <c r="M60" s="11" t="s">
        <v>603</v>
      </c>
      <c r="N60" t="s">
        <v>603</v>
      </c>
      <c r="O60" s="13" t="s">
        <v>603</v>
      </c>
    </row>
    <row r="61" spans="1:15" ht="14.25" customHeight="1" x14ac:dyDescent="0.3">
      <c r="A61" s="3" t="s">
        <v>163</v>
      </c>
      <c r="B61" s="3" t="s">
        <v>29</v>
      </c>
      <c r="C61" s="8" t="s">
        <v>164</v>
      </c>
      <c r="D61" s="3" t="s">
        <v>69</v>
      </c>
      <c r="E61" s="3" t="s">
        <v>80</v>
      </c>
      <c r="F61" s="9">
        <v>904</v>
      </c>
      <c r="G61" s="9">
        <v>973</v>
      </c>
      <c r="H61" s="9">
        <v>63</v>
      </c>
      <c r="I61" s="9">
        <v>11752</v>
      </c>
      <c r="J61" s="9">
        <v>11580</v>
      </c>
      <c r="K61" s="9">
        <v>84</v>
      </c>
      <c r="L61" s="4" t="s">
        <v>33</v>
      </c>
      <c r="M61" s="100" t="s">
        <v>26</v>
      </c>
      <c r="N61" s="100" t="s">
        <v>601</v>
      </c>
      <c r="O61" s="13" t="s">
        <v>27</v>
      </c>
    </row>
    <row r="62" spans="1:15" ht="14.25" customHeight="1" x14ac:dyDescent="0.3">
      <c r="A62" s="3" t="s">
        <v>165</v>
      </c>
      <c r="B62" s="3" t="s">
        <v>592</v>
      </c>
      <c r="C62" s="8" t="s">
        <v>166</v>
      </c>
      <c r="D62" s="3" t="s">
        <v>69</v>
      </c>
      <c r="E62" s="3" t="s">
        <v>597</v>
      </c>
      <c r="F62" s="9">
        <v>4886</v>
      </c>
      <c r="G62" s="9">
        <v>983</v>
      </c>
      <c r="H62" s="9">
        <v>409</v>
      </c>
      <c r="I62" s="9">
        <v>43974</v>
      </c>
      <c r="J62" s="9">
        <v>43239</v>
      </c>
      <c r="K62" s="9">
        <v>65</v>
      </c>
      <c r="L62" s="4" t="s">
        <v>26</v>
      </c>
      <c r="M62" s="11" t="s">
        <v>603</v>
      </c>
      <c r="N62" t="s">
        <v>603</v>
      </c>
      <c r="O62" s="13" t="s">
        <v>17</v>
      </c>
    </row>
    <row r="63" spans="1:15" ht="14.25" customHeight="1" x14ac:dyDescent="0.3">
      <c r="A63" s="3" t="s">
        <v>167</v>
      </c>
      <c r="B63" s="3" t="s">
        <v>592</v>
      </c>
      <c r="C63" s="8" t="s">
        <v>168</v>
      </c>
      <c r="D63" s="3" t="s">
        <v>41</v>
      </c>
      <c r="E63" s="3" t="s">
        <v>595</v>
      </c>
      <c r="F63" s="9">
        <v>53</v>
      </c>
      <c r="G63" s="9">
        <v>81</v>
      </c>
      <c r="H63" s="9">
        <v>379</v>
      </c>
      <c r="I63" s="9">
        <v>954</v>
      </c>
      <c r="J63" s="9">
        <v>7</v>
      </c>
      <c r="K63" s="9">
        <v>148</v>
      </c>
      <c r="L63" s="4" t="s">
        <v>26</v>
      </c>
      <c r="M63" s="11" t="s">
        <v>603</v>
      </c>
      <c r="N63" t="s">
        <v>603</v>
      </c>
      <c r="O63" s="13" t="s">
        <v>27</v>
      </c>
    </row>
    <row r="64" spans="1:15" ht="14.25" customHeight="1" x14ac:dyDescent="0.3">
      <c r="A64" s="3" t="s">
        <v>169</v>
      </c>
      <c r="B64" s="3" t="s">
        <v>592</v>
      </c>
      <c r="C64" s="8" t="s">
        <v>109</v>
      </c>
      <c r="D64" s="3" t="s">
        <v>41</v>
      </c>
      <c r="E64" s="3" t="s">
        <v>595</v>
      </c>
      <c r="F64" s="9">
        <v>4507</v>
      </c>
      <c r="G64" s="9">
        <v>217</v>
      </c>
      <c r="H64" s="9">
        <v>13</v>
      </c>
      <c r="I64" s="9">
        <v>90140</v>
      </c>
      <c r="J64" s="9">
        <v>89591</v>
      </c>
      <c r="K64" s="9">
        <v>125</v>
      </c>
      <c r="L64" s="4" t="s">
        <v>57</v>
      </c>
      <c r="M64" s="11" t="s">
        <v>603</v>
      </c>
      <c r="N64" t="s">
        <v>603</v>
      </c>
      <c r="O64" s="13" t="s">
        <v>27</v>
      </c>
    </row>
    <row r="65" spans="1:15" ht="14.25" customHeight="1" x14ac:dyDescent="0.3">
      <c r="A65" s="3" t="s">
        <v>170</v>
      </c>
      <c r="B65" s="3" t="s">
        <v>39</v>
      </c>
      <c r="C65" s="8" t="s">
        <v>171</v>
      </c>
      <c r="D65" s="3" t="s">
        <v>47</v>
      </c>
      <c r="E65" s="3" t="s">
        <v>54</v>
      </c>
      <c r="F65" s="9">
        <v>2878</v>
      </c>
      <c r="G65" s="9">
        <v>248</v>
      </c>
      <c r="H65" s="9">
        <v>416</v>
      </c>
      <c r="I65" s="9">
        <v>43170</v>
      </c>
      <c r="J65" s="9">
        <v>42667</v>
      </c>
      <c r="K65" s="9">
        <v>75</v>
      </c>
      <c r="L65" s="4" t="s">
        <v>57</v>
      </c>
      <c r="M65" s="11" t="s">
        <v>603</v>
      </c>
      <c r="N65" t="s">
        <v>603</v>
      </c>
      <c r="O65" s="13" t="s">
        <v>27</v>
      </c>
    </row>
    <row r="66" spans="1:15" ht="14.25" customHeight="1" x14ac:dyDescent="0.3">
      <c r="A66" s="3" t="s">
        <v>172</v>
      </c>
      <c r="B66" s="3" t="s">
        <v>29</v>
      </c>
      <c r="C66" s="8" t="s">
        <v>173</v>
      </c>
      <c r="D66" s="3" t="s">
        <v>31</v>
      </c>
      <c r="E66" s="3" t="s">
        <v>32</v>
      </c>
      <c r="F66" s="9">
        <v>1881</v>
      </c>
      <c r="G66" s="9">
        <v>501</v>
      </c>
      <c r="H66" s="9">
        <v>99</v>
      </c>
      <c r="I66" s="9">
        <v>20691</v>
      </c>
      <c r="J66" s="9">
        <v>19987</v>
      </c>
      <c r="K66" s="9">
        <v>289</v>
      </c>
      <c r="L66" s="4" t="s">
        <v>33</v>
      </c>
      <c r="M66" s="11" t="s">
        <v>603</v>
      </c>
      <c r="N66" t="s">
        <v>603</v>
      </c>
      <c r="O66" s="13" t="s">
        <v>603</v>
      </c>
    </row>
    <row r="67" spans="1:15" ht="14.25" customHeight="1" x14ac:dyDescent="0.3">
      <c r="A67" s="3" t="s">
        <v>174</v>
      </c>
      <c r="B67" s="3" t="s">
        <v>592</v>
      </c>
      <c r="C67" s="8" t="s">
        <v>175</v>
      </c>
      <c r="D67" s="3" t="s">
        <v>41</v>
      </c>
      <c r="E67" s="3" t="s">
        <v>595</v>
      </c>
      <c r="F67" s="9">
        <v>432</v>
      </c>
      <c r="G67" s="9">
        <v>171</v>
      </c>
      <c r="H67" s="9">
        <v>280</v>
      </c>
      <c r="I67" s="9">
        <v>3024</v>
      </c>
      <c r="J67" s="9">
        <v>2285</v>
      </c>
      <c r="K67" s="9">
        <v>184</v>
      </c>
      <c r="L67" s="4" t="s">
        <v>33</v>
      </c>
      <c r="M67" s="11" t="s">
        <v>603</v>
      </c>
      <c r="N67" t="s">
        <v>603</v>
      </c>
      <c r="O67" s="13" t="s">
        <v>17</v>
      </c>
    </row>
    <row r="68" spans="1:15" ht="14.25" customHeight="1" x14ac:dyDescent="0.3">
      <c r="A68" s="3" t="s">
        <v>176</v>
      </c>
      <c r="B68" s="3" t="s">
        <v>39</v>
      </c>
      <c r="C68" s="8" t="s">
        <v>177</v>
      </c>
      <c r="D68" s="3" t="s">
        <v>41</v>
      </c>
      <c r="E68" s="3" t="s">
        <v>42</v>
      </c>
      <c r="F68" s="9">
        <v>4712</v>
      </c>
      <c r="G68" s="9">
        <v>568</v>
      </c>
      <c r="H68" s="9">
        <v>127</v>
      </c>
      <c r="I68" s="9">
        <v>84816</v>
      </c>
      <c r="J68" s="9">
        <v>84691</v>
      </c>
      <c r="K68" s="9">
        <v>100</v>
      </c>
      <c r="L68" s="4" t="s">
        <v>33</v>
      </c>
      <c r="M68" s="11" t="s">
        <v>603</v>
      </c>
      <c r="N68" t="s">
        <v>603</v>
      </c>
      <c r="O68" s="13" t="s">
        <v>27</v>
      </c>
    </row>
    <row r="69" spans="1:15" ht="14.25" customHeight="1" x14ac:dyDescent="0.3">
      <c r="A69" s="3" t="s">
        <v>178</v>
      </c>
      <c r="B69" s="3" t="s">
        <v>29</v>
      </c>
      <c r="C69" s="8" t="s">
        <v>179</v>
      </c>
      <c r="D69" s="3" t="s">
        <v>31</v>
      </c>
      <c r="E69" s="3" t="s">
        <v>32</v>
      </c>
      <c r="F69" s="9">
        <v>2610</v>
      </c>
      <c r="G69" s="9">
        <v>126</v>
      </c>
      <c r="H69" s="9">
        <v>288</v>
      </c>
      <c r="I69" s="9">
        <v>15660</v>
      </c>
      <c r="J69" s="9">
        <v>15145</v>
      </c>
      <c r="K69" s="9">
        <v>73</v>
      </c>
      <c r="L69" s="4" t="s">
        <v>33</v>
      </c>
      <c r="M69" s="11" t="s">
        <v>603</v>
      </c>
      <c r="N69" t="s">
        <v>603</v>
      </c>
      <c r="O69" s="13" t="s">
        <v>603</v>
      </c>
    </row>
    <row r="70" spans="1:15" ht="14.25" customHeight="1" x14ac:dyDescent="0.3">
      <c r="A70" s="3" t="s">
        <v>180</v>
      </c>
      <c r="B70" s="3" t="s">
        <v>592</v>
      </c>
      <c r="C70" s="8" t="s">
        <v>127</v>
      </c>
      <c r="D70" s="3" t="s">
        <v>20</v>
      </c>
      <c r="E70" s="3" t="s">
        <v>594</v>
      </c>
      <c r="F70" s="9">
        <v>1292</v>
      </c>
      <c r="G70" s="9">
        <v>626</v>
      </c>
      <c r="H70" s="9">
        <v>496</v>
      </c>
      <c r="I70" s="9">
        <v>25840</v>
      </c>
      <c r="J70" s="9">
        <v>24916</v>
      </c>
      <c r="K70" s="9">
        <v>149</v>
      </c>
      <c r="L70" s="4" t="s">
        <v>57</v>
      </c>
      <c r="M70" s="11" t="s">
        <v>603</v>
      </c>
      <c r="N70" t="s">
        <v>603</v>
      </c>
      <c r="O70" s="13" t="s">
        <v>27</v>
      </c>
    </row>
    <row r="71" spans="1:15" ht="14.25" customHeight="1" x14ac:dyDescent="0.3">
      <c r="A71" s="3" t="s">
        <v>181</v>
      </c>
      <c r="B71" s="3" t="s">
        <v>39</v>
      </c>
      <c r="C71" s="8" t="s">
        <v>182</v>
      </c>
      <c r="D71" s="3" t="s">
        <v>69</v>
      </c>
      <c r="E71" s="3" t="s">
        <v>70</v>
      </c>
      <c r="F71" s="9">
        <v>199</v>
      </c>
      <c r="G71" s="9">
        <v>772</v>
      </c>
      <c r="H71" s="9">
        <v>400</v>
      </c>
      <c r="I71" s="9">
        <v>3582</v>
      </c>
      <c r="J71" s="9">
        <v>2988</v>
      </c>
      <c r="K71" s="9">
        <v>43</v>
      </c>
      <c r="L71" s="4" t="s">
        <v>26</v>
      </c>
      <c r="M71" s="11" t="s">
        <v>603</v>
      </c>
      <c r="N71" t="s">
        <v>603</v>
      </c>
      <c r="O71" s="13" t="s">
        <v>603</v>
      </c>
    </row>
    <row r="72" spans="1:15" ht="14.25" customHeight="1" x14ac:dyDescent="0.3">
      <c r="A72" s="3" t="s">
        <v>183</v>
      </c>
      <c r="B72" s="3" t="s">
        <v>23</v>
      </c>
      <c r="C72" s="8" t="s">
        <v>184</v>
      </c>
      <c r="D72" s="3" t="s">
        <v>41</v>
      </c>
      <c r="E72" s="3" t="s">
        <v>63</v>
      </c>
      <c r="F72" s="9">
        <v>2551</v>
      </c>
      <c r="G72" s="9">
        <v>915</v>
      </c>
      <c r="H72" s="9">
        <v>205</v>
      </c>
      <c r="I72" s="9">
        <v>30612</v>
      </c>
      <c r="J72" s="9">
        <v>30360</v>
      </c>
      <c r="K72" s="9">
        <v>227</v>
      </c>
      <c r="L72" s="4" t="s">
        <v>26</v>
      </c>
      <c r="M72" s="11" t="s">
        <v>603</v>
      </c>
      <c r="N72" t="s">
        <v>603</v>
      </c>
      <c r="O72" s="13" t="s">
        <v>21</v>
      </c>
    </row>
    <row r="73" spans="1:15" ht="14.25" customHeight="1" x14ac:dyDescent="0.3">
      <c r="A73" s="3" t="s">
        <v>185</v>
      </c>
      <c r="B73" s="3" t="s">
        <v>23</v>
      </c>
      <c r="C73" s="8" t="s">
        <v>186</v>
      </c>
      <c r="D73" s="3" t="s">
        <v>16</v>
      </c>
      <c r="E73" s="3" t="s">
        <v>25</v>
      </c>
      <c r="F73" s="9">
        <v>296</v>
      </c>
      <c r="G73" s="9">
        <v>60</v>
      </c>
      <c r="H73" s="9">
        <v>141</v>
      </c>
      <c r="I73" s="9">
        <v>5624</v>
      </c>
      <c r="J73" s="9">
        <v>5239</v>
      </c>
      <c r="K73" s="9">
        <v>88</v>
      </c>
      <c r="L73" s="4" t="s">
        <v>33</v>
      </c>
      <c r="M73" s="11" t="s">
        <v>603</v>
      </c>
      <c r="N73" t="s">
        <v>603</v>
      </c>
      <c r="O73" s="13" t="s">
        <v>21</v>
      </c>
    </row>
    <row r="74" spans="1:15" ht="14.25" customHeight="1" x14ac:dyDescent="0.3">
      <c r="A74" s="3" t="s">
        <v>187</v>
      </c>
      <c r="B74" s="3" t="s">
        <v>39</v>
      </c>
      <c r="C74" s="8" t="s">
        <v>188</v>
      </c>
      <c r="D74" s="3" t="s">
        <v>31</v>
      </c>
      <c r="E74" s="3" t="s">
        <v>66</v>
      </c>
      <c r="F74" s="9">
        <v>4126</v>
      </c>
      <c r="G74" s="9">
        <v>426</v>
      </c>
      <c r="H74" s="9">
        <v>486</v>
      </c>
      <c r="I74" s="9">
        <v>78394</v>
      </c>
      <c r="J74" s="9">
        <v>77798</v>
      </c>
      <c r="K74" s="9">
        <v>88</v>
      </c>
      <c r="L74" s="4" t="s">
        <v>57</v>
      </c>
      <c r="M74" s="11" t="s">
        <v>603</v>
      </c>
      <c r="N74" t="s">
        <v>603</v>
      </c>
      <c r="O74" s="13" t="s">
        <v>34</v>
      </c>
    </row>
    <row r="75" spans="1:15" ht="14.25" customHeight="1" x14ac:dyDescent="0.3">
      <c r="A75" s="3" t="s">
        <v>189</v>
      </c>
      <c r="B75" s="3" t="s">
        <v>23</v>
      </c>
      <c r="C75" s="8" t="s">
        <v>190</v>
      </c>
      <c r="D75" s="3" t="s">
        <v>16</v>
      </c>
      <c r="E75" s="3" t="s">
        <v>25</v>
      </c>
      <c r="F75" s="9">
        <v>1855</v>
      </c>
      <c r="G75" s="9">
        <v>200</v>
      </c>
      <c r="H75" s="9">
        <v>174</v>
      </c>
      <c r="I75" s="9">
        <v>16695</v>
      </c>
      <c r="J75" s="9">
        <v>16330</v>
      </c>
      <c r="K75" s="9">
        <v>123</v>
      </c>
      <c r="L75" s="4" t="s">
        <v>26</v>
      </c>
      <c r="M75" s="11" t="s">
        <v>603</v>
      </c>
      <c r="N75" t="s">
        <v>603</v>
      </c>
      <c r="O75" s="13" t="s">
        <v>27</v>
      </c>
    </row>
    <row r="76" spans="1:15" ht="14.25" customHeight="1" x14ac:dyDescent="0.3">
      <c r="A76" s="3" t="s">
        <v>191</v>
      </c>
      <c r="B76" s="3" t="s">
        <v>29</v>
      </c>
      <c r="C76" s="8" t="s">
        <v>192</v>
      </c>
      <c r="D76" s="3" t="s">
        <v>16</v>
      </c>
      <c r="E76" s="3" t="s">
        <v>77</v>
      </c>
      <c r="F76" s="9">
        <v>1674</v>
      </c>
      <c r="G76" s="9">
        <v>929</v>
      </c>
      <c r="H76" s="9">
        <v>37</v>
      </c>
      <c r="I76" s="9">
        <v>21762</v>
      </c>
      <c r="J76" s="9">
        <v>20998</v>
      </c>
      <c r="K76" s="9">
        <v>255</v>
      </c>
      <c r="L76" s="4" t="s">
        <v>26</v>
      </c>
      <c r="M76" s="11" t="s">
        <v>603</v>
      </c>
      <c r="N76" t="s">
        <v>603</v>
      </c>
      <c r="O76" s="13" t="s">
        <v>34</v>
      </c>
    </row>
    <row r="77" spans="1:15" ht="14.25" customHeight="1" x14ac:dyDescent="0.3">
      <c r="A77" s="3" t="s">
        <v>193</v>
      </c>
      <c r="B77" s="3" t="s">
        <v>592</v>
      </c>
      <c r="C77" s="8" t="s">
        <v>194</v>
      </c>
      <c r="D77" s="3" t="s">
        <v>31</v>
      </c>
      <c r="E77" s="3" t="s">
        <v>598</v>
      </c>
      <c r="F77" s="9">
        <v>1121</v>
      </c>
      <c r="G77" s="9">
        <v>135</v>
      </c>
      <c r="H77" s="9">
        <v>18</v>
      </c>
      <c r="I77" s="9">
        <v>15694</v>
      </c>
      <c r="J77" s="9">
        <v>14957</v>
      </c>
      <c r="K77" s="9">
        <v>99</v>
      </c>
      <c r="L77" s="4" t="s">
        <v>26</v>
      </c>
      <c r="M77" s="11" t="s">
        <v>603</v>
      </c>
      <c r="N77" t="s">
        <v>603</v>
      </c>
      <c r="O77" s="13" t="s">
        <v>34</v>
      </c>
    </row>
    <row r="78" spans="1:15" ht="14.25" customHeight="1" x14ac:dyDescent="0.3">
      <c r="A78" s="3" t="s">
        <v>195</v>
      </c>
      <c r="B78" s="3" t="s">
        <v>39</v>
      </c>
      <c r="C78" s="8" t="s">
        <v>100</v>
      </c>
      <c r="D78" s="3" t="s">
        <v>31</v>
      </c>
      <c r="E78" s="3" t="s">
        <v>66</v>
      </c>
      <c r="F78" s="9">
        <v>1249</v>
      </c>
      <c r="G78" s="9">
        <v>116</v>
      </c>
      <c r="H78" s="9">
        <v>420</v>
      </c>
      <c r="I78" s="9">
        <v>8743</v>
      </c>
      <c r="J78" s="9">
        <v>8538</v>
      </c>
      <c r="K78" s="9">
        <v>63</v>
      </c>
      <c r="L78" s="4" t="s">
        <v>26</v>
      </c>
      <c r="M78" s="11" t="s">
        <v>603</v>
      </c>
      <c r="N78" t="s">
        <v>603</v>
      </c>
      <c r="O78" s="13" t="s">
        <v>603</v>
      </c>
    </row>
    <row r="79" spans="1:15" ht="14.25" customHeight="1" x14ac:dyDescent="0.3">
      <c r="A79" s="3" t="s">
        <v>196</v>
      </c>
      <c r="B79" s="3" t="s">
        <v>592</v>
      </c>
      <c r="C79" s="8" t="s">
        <v>154</v>
      </c>
      <c r="D79" s="3" t="s">
        <v>47</v>
      </c>
      <c r="E79" s="3" t="s">
        <v>596</v>
      </c>
      <c r="F79" s="9">
        <v>954</v>
      </c>
      <c r="G79" s="9">
        <v>324</v>
      </c>
      <c r="H79" s="9">
        <v>288</v>
      </c>
      <c r="I79" s="9">
        <v>19080</v>
      </c>
      <c r="J79" s="9">
        <v>18859</v>
      </c>
      <c r="K79" s="9">
        <v>21</v>
      </c>
      <c r="L79" s="4" t="s">
        <v>57</v>
      </c>
      <c r="M79" s="11" t="s">
        <v>603</v>
      </c>
      <c r="N79" t="s">
        <v>603</v>
      </c>
      <c r="O79" s="13" t="s">
        <v>34</v>
      </c>
    </row>
    <row r="80" spans="1:15" ht="14.25" customHeight="1" x14ac:dyDescent="0.3">
      <c r="A80" s="3" t="s">
        <v>197</v>
      </c>
      <c r="B80" s="3" t="s">
        <v>29</v>
      </c>
      <c r="C80" s="8" t="s">
        <v>198</v>
      </c>
      <c r="D80" s="3" t="s">
        <v>41</v>
      </c>
      <c r="E80" s="3" t="s">
        <v>83</v>
      </c>
      <c r="F80" s="9">
        <v>3068</v>
      </c>
      <c r="G80" s="9">
        <v>137</v>
      </c>
      <c r="H80" s="9">
        <v>329</v>
      </c>
      <c r="I80" s="9">
        <v>39884</v>
      </c>
      <c r="J80" s="9">
        <v>39404</v>
      </c>
      <c r="K80" s="9">
        <v>266</v>
      </c>
      <c r="L80" s="4" t="s">
        <v>33</v>
      </c>
      <c r="M80" s="11" t="s">
        <v>603</v>
      </c>
      <c r="N80" t="s">
        <v>603</v>
      </c>
      <c r="O80" s="13" t="s">
        <v>21</v>
      </c>
    </row>
    <row r="81" spans="1:15" ht="14.25" customHeight="1" x14ac:dyDescent="0.3">
      <c r="A81" s="3" t="s">
        <v>199</v>
      </c>
      <c r="B81" s="3" t="s">
        <v>29</v>
      </c>
      <c r="C81" s="8" t="s">
        <v>147</v>
      </c>
      <c r="D81" s="3" t="s">
        <v>31</v>
      </c>
      <c r="E81" s="3" t="s">
        <v>32</v>
      </c>
      <c r="F81" s="9">
        <v>2103</v>
      </c>
      <c r="G81" s="9">
        <v>892</v>
      </c>
      <c r="H81" s="9">
        <v>103</v>
      </c>
      <c r="I81" s="9">
        <v>39957</v>
      </c>
      <c r="J81" s="9">
        <v>39466</v>
      </c>
      <c r="K81" s="9">
        <v>28</v>
      </c>
      <c r="L81" s="4" t="s">
        <v>57</v>
      </c>
      <c r="M81" s="11" t="s">
        <v>603</v>
      </c>
      <c r="N81" t="s">
        <v>603</v>
      </c>
      <c r="O81" s="13" t="s">
        <v>603</v>
      </c>
    </row>
    <row r="82" spans="1:15" ht="14.25" customHeight="1" x14ac:dyDescent="0.3">
      <c r="A82" s="3" t="s">
        <v>200</v>
      </c>
      <c r="B82" s="3" t="s">
        <v>29</v>
      </c>
      <c r="C82" s="8" t="s">
        <v>201</v>
      </c>
      <c r="D82" s="3" t="s">
        <v>31</v>
      </c>
      <c r="E82" s="3" t="s">
        <v>32</v>
      </c>
      <c r="F82" s="9">
        <v>1816</v>
      </c>
      <c r="G82" s="9">
        <v>29</v>
      </c>
      <c r="H82" s="9">
        <v>41</v>
      </c>
      <c r="I82" s="9">
        <v>19976</v>
      </c>
      <c r="J82" s="9">
        <v>19262</v>
      </c>
      <c r="K82" s="9">
        <v>283</v>
      </c>
      <c r="L82" s="4" t="s">
        <v>26</v>
      </c>
      <c r="M82" s="11" t="s">
        <v>603</v>
      </c>
      <c r="N82" t="s">
        <v>603</v>
      </c>
      <c r="O82" s="13" t="s">
        <v>27</v>
      </c>
    </row>
    <row r="83" spans="1:15" ht="14.25" customHeight="1" x14ac:dyDescent="0.3">
      <c r="A83" s="3" t="s">
        <v>202</v>
      </c>
      <c r="B83" s="3" t="s">
        <v>29</v>
      </c>
      <c r="C83" s="8" t="s">
        <v>203</v>
      </c>
      <c r="D83" s="3" t="s">
        <v>47</v>
      </c>
      <c r="E83" s="3" t="s">
        <v>204</v>
      </c>
      <c r="F83" s="9">
        <v>725</v>
      </c>
      <c r="G83" s="9">
        <v>88</v>
      </c>
      <c r="H83" s="9">
        <v>428</v>
      </c>
      <c r="I83" s="9">
        <v>14500</v>
      </c>
      <c r="J83" s="9">
        <v>13637</v>
      </c>
      <c r="K83" s="9">
        <v>200</v>
      </c>
      <c r="L83" s="4" t="s">
        <v>57</v>
      </c>
      <c r="M83" s="100" t="s">
        <v>26</v>
      </c>
      <c r="N83" s="100" t="s">
        <v>601</v>
      </c>
      <c r="O83" s="13" t="s">
        <v>27</v>
      </c>
    </row>
    <row r="84" spans="1:15" ht="14.25" customHeight="1" x14ac:dyDescent="0.3">
      <c r="A84" s="3" t="s">
        <v>205</v>
      </c>
      <c r="B84" s="3" t="s">
        <v>23</v>
      </c>
      <c r="C84" s="8" t="s">
        <v>206</v>
      </c>
      <c r="D84" s="3" t="s">
        <v>69</v>
      </c>
      <c r="E84" s="3" t="s">
        <v>207</v>
      </c>
      <c r="F84" s="9">
        <v>1094</v>
      </c>
      <c r="G84" s="9">
        <v>472</v>
      </c>
      <c r="H84" s="9">
        <v>21</v>
      </c>
      <c r="I84" s="9">
        <v>9846</v>
      </c>
      <c r="J84" s="9">
        <v>9609</v>
      </c>
      <c r="K84" s="9">
        <v>112</v>
      </c>
      <c r="L84" s="4" t="s">
        <v>33</v>
      </c>
      <c r="M84" s="11" t="s">
        <v>603</v>
      </c>
      <c r="N84" t="s">
        <v>603</v>
      </c>
      <c r="O84" s="13" t="s">
        <v>603</v>
      </c>
    </row>
    <row r="85" spans="1:15" ht="14.25" customHeight="1" x14ac:dyDescent="0.3">
      <c r="A85" s="3" t="s">
        <v>208</v>
      </c>
      <c r="B85" s="3" t="s">
        <v>39</v>
      </c>
      <c r="C85" s="8" t="s">
        <v>209</v>
      </c>
      <c r="D85" s="3" t="s">
        <v>47</v>
      </c>
      <c r="E85" s="3" t="s">
        <v>54</v>
      </c>
      <c r="F85" s="9">
        <v>1841</v>
      </c>
      <c r="G85" s="9">
        <v>851</v>
      </c>
      <c r="H85" s="9">
        <v>342</v>
      </c>
      <c r="I85" s="9">
        <v>34979</v>
      </c>
      <c r="J85" s="9">
        <v>34154</v>
      </c>
      <c r="K85" s="9">
        <v>255</v>
      </c>
      <c r="L85" s="4" t="s">
        <v>57</v>
      </c>
      <c r="M85" s="11" t="s">
        <v>603</v>
      </c>
      <c r="N85" t="s">
        <v>603</v>
      </c>
      <c r="O85" s="13" t="s">
        <v>34</v>
      </c>
    </row>
    <row r="86" spans="1:15" ht="14.25" customHeight="1" x14ac:dyDescent="0.3">
      <c r="A86" s="3" t="s">
        <v>210</v>
      </c>
      <c r="B86" s="3" t="s">
        <v>29</v>
      </c>
      <c r="C86" s="8" t="s">
        <v>117</v>
      </c>
      <c r="D86" s="3" t="s">
        <v>47</v>
      </c>
      <c r="E86" s="3" t="s">
        <v>204</v>
      </c>
      <c r="F86" s="9">
        <v>4177</v>
      </c>
      <c r="G86" s="9">
        <v>569</v>
      </c>
      <c r="H86" s="9">
        <v>55</v>
      </c>
      <c r="I86" s="9">
        <v>25062</v>
      </c>
      <c r="J86" s="9">
        <v>24847</v>
      </c>
      <c r="K86" s="9">
        <v>230</v>
      </c>
      <c r="L86" s="4" t="s">
        <v>57</v>
      </c>
      <c r="M86" s="11" t="s">
        <v>603</v>
      </c>
      <c r="N86" t="s">
        <v>603</v>
      </c>
      <c r="O86" s="13" t="s">
        <v>17</v>
      </c>
    </row>
    <row r="87" spans="1:15" ht="14.25" customHeight="1" x14ac:dyDescent="0.3">
      <c r="A87" s="3" t="s">
        <v>211</v>
      </c>
      <c r="B87" s="3" t="s">
        <v>23</v>
      </c>
      <c r="C87" s="8" t="s">
        <v>212</v>
      </c>
      <c r="D87" s="3" t="s">
        <v>20</v>
      </c>
      <c r="E87" s="3" t="s">
        <v>98</v>
      </c>
      <c r="F87" s="9">
        <v>3428</v>
      </c>
      <c r="G87" s="9">
        <v>305</v>
      </c>
      <c r="H87" s="9">
        <v>85</v>
      </c>
      <c r="I87" s="9">
        <v>58276</v>
      </c>
      <c r="J87" s="9">
        <v>58052</v>
      </c>
      <c r="K87" s="9">
        <v>242</v>
      </c>
      <c r="L87" s="4" t="s">
        <v>33</v>
      </c>
      <c r="M87" s="100" t="s">
        <v>602</v>
      </c>
      <c r="N87" t="s">
        <v>603</v>
      </c>
      <c r="O87" s="13" t="s">
        <v>34</v>
      </c>
    </row>
    <row r="88" spans="1:15" ht="14.25" customHeight="1" x14ac:dyDescent="0.3">
      <c r="A88" s="3" t="s">
        <v>213</v>
      </c>
      <c r="B88" s="3" t="s">
        <v>592</v>
      </c>
      <c r="C88" s="8" t="s">
        <v>214</v>
      </c>
      <c r="D88" s="3" t="s">
        <v>69</v>
      </c>
      <c r="E88" s="3" t="s">
        <v>597</v>
      </c>
      <c r="F88" s="9">
        <v>1436</v>
      </c>
      <c r="G88" s="9">
        <v>765</v>
      </c>
      <c r="H88" s="9">
        <v>496</v>
      </c>
      <c r="I88" s="9">
        <v>12924</v>
      </c>
      <c r="J88" s="9">
        <v>12701</v>
      </c>
      <c r="K88" s="9">
        <v>197</v>
      </c>
      <c r="L88" s="4" t="s">
        <v>57</v>
      </c>
      <c r="M88" s="11" t="s">
        <v>603</v>
      </c>
      <c r="N88" t="s">
        <v>603</v>
      </c>
      <c r="O88" s="13" t="s">
        <v>27</v>
      </c>
    </row>
    <row r="89" spans="1:15" ht="14.25" customHeight="1" x14ac:dyDescent="0.3">
      <c r="A89" s="3" t="s">
        <v>215</v>
      </c>
      <c r="B89" s="3" t="s">
        <v>39</v>
      </c>
      <c r="C89" s="8" t="s">
        <v>216</v>
      </c>
      <c r="D89" s="3" t="s">
        <v>31</v>
      </c>
      <c r="E89" s="3" t="s">
        <v>66</v>
      </c>
      <c r="F89" s="9">
        <v>302</v>
      </c>
      <c r="G89" s="9">
        <v>47</v>
      </c>
      <c r="H89" s="9">
        <v>430</v>
      </c>
      <c r="I89" s="9">
        <v>5738</v>
      </c>
      <c r="J89" s="9">
        <v>4890</v>
      </c>
      <c r="K89" s="9">
        <v>25</v>
      </c>
      <c r="L89" s="4" t="s">
        <v>26</v>
      </c>
      <c r="M89" s="11" t="s">
        <v>603</v>
      </c>
      <c r="N89" t="s">
        <v>603</v>
      </c>
      <c r="O89" s="13" t="s">
        <v>34</v>
      </c>
    </row>
    <row r="90" spans="1:15" ht="14.25" customHeight="1" x14ac:dyDescent="0.3">
      <c r="A90" s="3" t="s">
        <v>217</v>
      </c>
      <c r="B90" s="3" t="s">
        <v>592</v>
      </c>
      <c r="C90" s="8" t="s">
        <v>218</v>
      </c>
      <c r="D90" s="3" t="s">
        <v>47</v>
      </c>
      <c r="E90" s="3" t="s">
        <v>596</v>
      </c>
      <c r="F90" s="9">
        <v>2214</v>
      </c>
      <c r="G90" s="9">
        <v>249</v>
      </c>
      <c r="H90" s="9">
        <v>152</v>
      </c>
      <c r="I90" s="9">
        <v>15498</v>
      </c>
      <c r="J90" s="9">
        <v>14800</v>
      </c>
      <c r="K90" s="9">
        <v>180</v>
      </c>
      <c r="L90" s="4" t="s">
        <v>33</v>
      </c>
      <c r="M90" s="11" t="s">
        <v>603</v>
      </c>
      <c r="N90" t="s">
        <v>603</v>
      </c>
      <c r="O90" s="13" t="s">
        <v>603</v>
      </c>
    </row>
    <row r="91" spans="1:15" ht="14.25" customHeight="1" x14ac:dyDescent="0.3">
      <c r="A91" s="3" t="s">
        <v>219</v>
      </c>
      <c r="B91" s="3" t="s">
        <v>29</v>
      </c>
      <c r="C91" s="8" t="s">
        <v>220</v>
      </c>
      <c r="D91" s="3" t="s">
        <v>47</v>
      </c>
      <c r="E91" s="3" t="s">
        <v>204</v>
      </c>
      <c r="F91" s="9">
        <v>3861</v>
      </c>
      <c r="G91" s="9">
        <v>960</v>
      </c>
      <c r="H91" s="9">
        <v>101</v>
      </c>
      <c r="I91" s="9">
        <v>69498</v>
      </c>
      <c r="J91" s="9">
        <v>68817</v>
      </c>
      <c r="K91" s="9">
        <v>297</v>
      </c>
      <c r="L91" s="4" t="s">
        <v>26</v>
      </c>
      <c r="M91" s="11" t="s">
        <v>603</v>
      </c>
      <c r="N91" t="s">
        <v>603</v>
      </c>
      <c r="O91" s="13" t="s">
        <v>34</v>
      </c>
    </row>
    <row r="92" spans="1:15" ht="14.25" customHeight="1" x14ac:dyDescent="0.3">
      <c r="A92" s="3" t="s">
        <v>221</v>
      </c>
      <c r="B92" s="3" t="s">
        <v>39</v>
      </c>
      <c r="C92" s="8" t="s">
        <v>222</v>
      </c>
      <c r="D92" s="3" t="s">
        <v>47</v>
      </c>
      <c r="E92" s="3" t="s">
        <v>54</v>
      </c>
      <c r="F92" s="9">
        <v>1263</v>
      </c>
      <c r="G92" s="9">
        <v>397</v>
      </c>
      <c r="H92" s="9">
        <v>357</v>
      </c>
      <c r="I92" s="9">
        <v>25260</v>
      </c>
      <c r="J92" s="9">
        <v>24615</v>
      </c>
      <c r="K92" s="9">
        <v>137</v>
      </c>
      <c r="L92" s="4" t="s">
        <v>33</v>
      </c>
      <c r="M92" s="11" t="s">
        <v>603</v>
      </c>
      <c r="N92" t="s">
        <v>603</v>
      </c>
      <c r="O92" s="13" t="s">
        <v>34</v>
      </c>
    </row>
    <row r="93" spans="1:15" ht="14.25" customHeight="1" x14ac:dyDescent="0.3">
      <c r="A93" s="3" t="s">
        <v>223</v>
      </c>
      <c r="B93" s="3" t="s">
        <v>592</v>
      </c>
      <c r="C93" s="8" t="s">
        <v>158</v>
      </c>
      <c r="D93" s="3" t="s">
        <v>31</v>
      </c>
      <c r="E93" s="3" t="s">
        <v>598</v>
      </c>
      <c r="F93" s="9">
        <v>3801</v>
      </c>
      <c r="G93" s="9">
        <v>967</v>
      </c>
      <c r="H93" s="9">
        <v>401</v>
      </c>
      <c r="I93" s="9">
        <v>38010</v>
      </c>
      <c r="J93" s="9">
        <v>37625</v>
      </c>
      <c r="K93" s="9">
        <v>236</v>
      </c>
      <c r="L93" s="4" t="s">
        <v>57</v>
      </c>
      <c r="M93" s="11" t="s">
        <v>603</v>
      </c>
      <c r="N93" t="s">
        <v>603</v>
      </c>
      <c r="O93" s="13" t="s">
        <v>27</v>
      </c>
    </row>
    <row r="94" spans="1:15" ht="14.25" customHeight="1" x14ac:dyDescent="0.3">
      <c r="A94" s="3" t="s">
        <v>224</v>
      </c>
      <c r="B94" s="3" t="s">
        <v>29</v>
      </c>
      <c r="C94" s="8" t="s">
        <v>225</v>
      </c>
      <c r="D94" s="3" t="s">
        <v>69</v>
      </c>
      <c r="E94" s="3" t="s">
        <v>80</v>
      </c>
      <c r="F94" s="9">
        <v>1431</v>
      </c>
      <c r="G94" s="9">
        <v>951</v>
      </c>
      <c r="H94" s="9">
        <v>26</v>
      </c>
      <c r="I94" s="9">
        <v>8586</v>
      </c>
      <c r="J94" s="9">
        <v>8396</v>
      </c>
      <c r="K94" s="9">
        <v>150</v>
      </c>
      <c r="L94" s="4" t="s">
        <v>33</v>
      </c>
      <c r="M94" s="11" t="s">
        <v>603</v>
      </c>
      <c r="N94" t="s">
        <v>603</v>
      </c>
      <c r="O94" s="13" t="s">
        <v>27</v>
      </c>
    </row>
    <row r="95" spans="1:15" ht="14.25" customHeight="1" x14ac:dyDescent="0.3">
      <c r="A95" s="3" t="s">
        <v>226</v>
      </c>
      <c r="B95" s="3" t="s">
        <v>29</v>
      </c>
      <c r="C95" s="8" t="s">
        <v>194</v>
      </c>
      <c r="D95" s="3" t="s">
        <v>47</v>
      </c>
      <c r="E95" s="3" t="s">
        <v>204</v>
      </c>
      <c r="F95" s="9">
        <v>2647</v>
      </c>
      <c r="G95" s="9">
        <v>304</v>
      </c>
      <c r="H95" s="9">
        <v>170</v>
      </c>
      <c r="I95" s="9">
        <v>18529</v>
      </c>
      <c r="J95" s="9">
        <v>17841</v>
      </c>
      <c r="K95" s="9">
        <v>46</v>
      </c>
      <c r="L95" s="4" t="s">
        <v>57</v>
      </c>
      <c r="M95" s="11" t="s">
        <v>603</v>
      </c>
      <c r="N95" t="s">
        <v>603</v>
      </c>
      <c r="O95" s="13" t="s">
        <v>27</v>
      </c>
    </row>
    <row r="96" spans="1:15" ht="14.25" customHeight="1" x14ac:dyDescent="0.3">
      <c r="A96" s="3" t="s">
        <v>227</v>
      </c>
      <c r="B96" s="3" t="s">
        <v>29</v>
      </c>
      <c r="C96" s="8" t="s">
        <v>228</v>
      </c>
      <c r="D96" s="3" t="s">
        <v>20</v>
      </c>
      <c r="E96" s="3" t="s">
        <v>107</v>
      </c>
      <c r="F96" s="9">
        <v>3182</v>
      </c>
      <c r="G96" s="9">
        <v>559</v>
      </c>
      <c r="H96" s="9">
        <v>160</v>
      </c>
      <c r="I96" s="9">
        <v>57276</v>
      </c>
      <c r="J96" s="9">
        <v>56890</v>
      </c>
      <c r="K96" s="9">
        <v>163</v>
      </c>
      <c r="L96" s="4" t="s">
        <v>57</v>
      </c>
      <c r="M96" s="11" t="s">
        <v>603</v>
      </c>
      <c r="N96" t="s">
        <v>603</v>
      </c>
      <c r="O96" s="13" t="s">
        <v>34</v>
      </c>
    </row>
    <row r="97" spans="1:15" ht="14.25" customHeight="1" x14ac:dyDescent="0.3">
      <c r="A97" s="3" t="s">
        <v>229</v>
      </c>
      <c r="B97" s="3" t="s">
        <v>592</v>
      </c>
      <c r="C97" s="8" t="s">
        <v>230</v>
      </c>
      <c r="D97" s="3" t="s">
        <v>47</v>
      </c>
      <c r="E97" s="3" t="s">
        <v>596</v>
      </c>
      <c r="F97" s="9">
        <v>1238</v>
      </c>
      <c r="G97" s="9">
        <v>366</v>
      </c>
      <c r="H97" s="9">
        <v>444</v>
      </c>
      <c r="I97" s="9">
        <v>19808</v>
      </c>
      <c r="J97" s="9">
        <v>19334</v>
      </c>
      <c r="K97" s="9">
        <v>123</v>
      </c>
      <c r="L97" s="4" t="s">
        <v>57</v>
      </c>
      <c r="M97" s="11" t="s">
        <v>603</v>
      </c>
      <c r="N97" t="s">
        <v>603</v>
      </c>
      <c r="O97" s="13" t="s">
        <v>603</v>
      </c>
    </row>
    <row r="98" spans="1:15" ht="14.25" customHeight="1" x14ac:dyDescent="0.3">
      <c r="A98" s="3" t="s">
        <v>231</v>
      </c>
      <c r="B98" s="3" t="s">
        <v>29</v>
      </c>
      <c r="C98" s="8" t="s">
        <v>232</v>
      </c>
      <c r="D98" s="3" t="s">
        <v>47</v>
      </c>
      <c r="E98" s="3" t="s">
        <v>204</v>
      </c>
      <c r="F98" s="9">
        <v>4739</v>
      </c>
      <c r="G98" s="9">
        <v>527</v>
      </c>
      <c r="H98" s="9">
        <v>135</v>
      </c>
      <c r="I98" s="9">
        <v>61607</v>
      </c>
      <c r="J98" s="9">
        <v>61333</v>
      </c>
      <c r="K98" s="9">
        <v>36</v>
      </c>
      <c r="L98" s="4" t="s">
        <v>26</v>
      </c>
      <c r="M98" s="100" t="s">
        <v>601</v>
      </c>
      <c r="N98" t="s">
        <v>603</v>
      </c>
      <c r="O98" s="13" t="s">
        <v>21</v>
      </c>
    </row>
    <row r="99" spans="1:15" ht="14.25" customHeight="1" x14ac:dyDescent="0.3">
      <c r="A99" s="3" t="s">
        <v>233</v>
      </c>
      <c r="B99" s="3" t="s">
        <v>592</v>
      </c>
      <c r="C99" s="8" t="s">
        <v>142</v>
      </c>
      <c r="D99" s="3" t="s">
        <v>31</v>
      </c>
      <c r="E99" s="3" t="s">
        <v>598</v>
      </c>
      <c r="F99" s="9">
        <v>1575</v>
      </c>
      <c r="G99" s="9">
        <v>771</v>
      </c>
      <c r="H99" s="9">
        <v>486</v>
      </c>
      <c r="I99" s="9">
        <v>25200</v>
      </c>
      <c r="J99" s="9">
        <v>24826</v>
      </c>
      <c r="K99" s="9">
        <v>17</v>
      </c>
      <c r="L99" s="4" t="s">
        <v>57</v>
      </c>
      <c r="M99" s="11" t="s">
        <v>603</v>
      </c>
      <c r="N99" t="s">
        <v>603</v>
      </c>
      <c r="O99" s="13" t="s">
        <v>34</v>
      </c>
    </row>
    <row r="100" spans="1:15" ht="14.25" customHeight="1" x14ac:dyDescent="0.3">
      <c r="A100" s="3" t="s">
        <v>234</v>
      </c>
      <c r="B100" s="3" t="s">
        <v>23</v>
      </c>
      <c r="C100" s="8" t="s">
        <v>235</v>
      </c>
      <c r="D100" s="3" t="s">
        <v>41</v>
      </c>
      <c r="E100" s="3" t="s">
        <v>63</v>
      </c>
      <c r="F100" s="9">
        <v>4171</v>
      </c>
      <c r="G100" s="9">
        <v>548</v>
      </c>
      <c r="H100" s="9">
        <v>86</v>
      </c>
      <c r="I100" s="9">
        <v>66736</v>
      </c>
      <c r="J100" s="9">
        <v>66634</v>
      </c>
      <c r="K100" s="9">
        <v>173</v>
      </c>
      <c r="L100" s="4" t="s">
        <v>57</v>
      </c>
      <c r="M100" s="11" t="s">
        <v>603</v>
      </c>
      <c r="N100" t="s">
        <v>603</v>
      </c>
      <c r="O100" s="13" t="s">
        <v>27</v>
      </c>
    </row>
    <row r="101" spans="1:15" ht="14.25" customHeight="1" x14ac:dyDescent="0.3">
      <c r="A101" s="3" t="s">
        <v>236</v>
      </c>
      <c r="B101" s="3" t="s">
        <v>23</v>
      </c>
      <c r="C101" s="8" t="s">
        <v>237</v>
      </c>
      <c r="D101" s="3" t="s">
        <v>69</v>
      </c>
      <c r="E101" s="3" t="s">
        <v>207</v>
      </c>
      <c r="F101" s="9">
        <v>1766</v>
      </c>
      <c r="G101" s="9">
        <v>92</v>
      </c>
      <c r="H101" s="9">
        <v>424</v>
      </c>
      <c r="I101" s="9">
        <v>24724</v>
      </c>
      <c r="J101" s="9">
        <v>24333</v>
      </c>
      <c r="K101" s="9">
        <v>52</v>
      </c>
      <c r="L101" s="4" t="s">
        <v>33</v>
      </c>
      <c r="M101" s="11" t="s">
        <v>603</v>
      </c>
      <c r="N101" t="s">
        <v>603</v>
      </c>
      <c r="O101" s="13" t="s">
        <v>603</v>
      </c>
    </row>
    <row r="102" spans="1:15" ht="14.25" customHeight="1" x14ac:dyDescent="0.3">
      <c r="A102" s="3" t="s">
        <v>238</v>
      </c>
      <c r="B102" s="3" t="s">
        <v>23</v>
      </c>
      <c r="C102" s="8" t="s">
        <v>188</v>
      </c>
      <c r="D102" s="3" t="s">
        <v>69</v>
      </c>
      <c r="E102" s="3" t="s">
        <v>207</v>
      </c>
      <c r="F102" s="9">
        <v>4450</v>
      </c>
      <c r="G102" s="9">
        <v>983</v>
      </c>
      <c r="H102" s="9">
        <v>143</v>
      </c>
      <c r="I102" s="9">
        <v>75650</v>
      </c>
      <c r="J102" s="9">
        <v>75008</v>
      </c>
      <c r="K102" s="9">
        <v>12</v>
      </c>
      <c r="L102" s="4" t="s">
        <v>57</v>
      </c>
      <c r="M102" s="11" t="s">
        <v>603</v>
      </c>
      <c r="N102" t="s">
        <v>603</v>
      </c>
      <c r="O102" s="13" t="s">
        <v>27</v>
      </c>
    </row>
    <row r="103" spans="1:15" ht="14.25" customHeight="1" x14ac:dyDescent="0.3">
      <c r="A103" s="3" t="s">
        <v>239</v>
      </c>
      <c r="B103" s="3" t="s">
        <v>592</v>
      </c>
      <c r="C103" s="8" t="s">
        <v>240</v>
      </c>
      <c r="D103" s="3" t="s">
        <v>16</v>
      </c>
      <c r="E103" s="3" t="s">
        <v>593</v>
      </c>
      <c r="F103" s="9">
        <v>1000</v>
      </c>
      <c r="G103" s="9">
        <v>978</v>
      </c>
      <c r="H103" s="9">
        <v>162</v>
      </c>
      <c r="I103" s="9">
        <v>6000</v>
      </c>
      <c r="J103" s="9">
        <v>5221</v>
      </c>
      <c r="K103" s="9">
        <v>223</v>
      </c>
      <c r="L103" s="4" t="s">
        <v>33</v>
      </c>
      <c r="M103" s="11" t="s">
        <v>603</v>
      </c>
      <c r="N103" t="s">
        <v>603</v>
      </c>
      <c r="O103" s="13" t="s">
        <v>21</v>
      </c>
    </row>
    <row r="104" spans="1:15" ht="14.25" customHeight="1" x14ac:dyDescent="0.3">
      <c r="A104" s="3" t="s">
        <v>241</v>
      </c>
      <c r="B104" s="3" t="s">
        <v>39</v>
      </c>
      <c r="C104" s="8" t="s">
        <v>242</v>
      </c>
      <c r="D104" s="3" t="s">
        <v>47</v>
      </c>
      <c r="E104" s="3" t="s">
        <v>54</v>
      </c>
      <c r="F104" s="9">
        <v>3689</v>
      </c>
      <c r="G104" s="9">
        <v>48</v>
      </c>
      <c r="H104" s="9">
        <v>306</v>
      </c>
      <c r="I104" s="9">
        <v>40579</v>
      </c>
      <c r="J104" s="9">
        <v>39588</v>
      </c>
      <c r="K104" s="9">
        <v>212</v>
      </c>
      <c r="L104" s="4" t="s">
        <v>33</v>
      </c>
      <c r="M104" s="11" t="s">
        <v>603</v>
      </c>
      <c r="N104" t="s">
        <v>603</v>
      </c>
      <c r="O104" s="13" t="s">
        <v>21</v>
      </c>
    </row>
    <row r="105" spans="1:15" ht="14.25" customHeight="1" x14ac:dyDescent="0.3">
      <c r="A105" s="3" t="s">
        <v>243</v>
      </c>
      <c r="B105" s="3" t="s">
        <v>23</v>
      </c>
      <c r="C105" s="8" t="s">
        <v>244</v>
      </c>
      <c r="D105" s="3" t="s">
        <v>31</v>
      </c>
      <c r="E105" s="3" t="s">
        <v>145</v>
      </c>
      <c r="F105" s="9">
        <v>3655</v>
      </c>
      <c r="G105" s="9">
        <v>568</v>
      </c>
      <c r="H105" s="9">
        <v>286</v>
      </c>
      <c r="I105" s="9">
        <v>32895</v>
      </c>
      <c r="J105" s="9">
        <v>32015</v>
      </c>
      <c r="K105" s="9">
        <v>199</v>
      </c>
      <c r="L105" s="4" t="s">
        <v>26</v>
      </c>
      <c r="M105" s="11" t="s">
        <v>603</v>
      </c>
      <c r="N105" t="s">
        <v>603</v>
      </c>
      <c r="O105" s="13" t="s">
        <v>27</v>
      </c>
    </row>
    <row r="106" spans="1:15" ht="14.25" customHeight="1" x14ac:dyDescent="0.3">
      <c r="A106" s="3" t="s">
        <v>245</v>
      </c>
      <c r="B106" s="3" t="s">
        <v>29</v>
      </c>
      <c r="C106" s="8" t="s">
        <v>246</v>
      </c>
      <c r="D106" s="3" t="s">
        <v>41</v>
      </c>
      <c r="E106" s="3" t="s">
        <v>83</v>
      </c>
      <c r="F106" s="9">
        <v>498</v>
      </c>
      <c r="G106" s="9">
        <v>38</v>
      </c>
      <c r="H106" s="9">
        <v>42</v>
      </c>
      <c r="I106" s="9">
        <v>4482</v>
      </c>
      <c r="J106" s="9">
        <v>3647</v>
      </c>
      <c r="K106" s="9">
        <v>32</v>
      </c>
      <c r="L106" s="4" t="s">
        <v>57</v>
      </c>
      <c r="M106" s="11" t="s">
        <v>603</v>
      </c>
      <c r="N106" t="s">
        <v>603</v>
      </c>
      <c r="O106" s="13" t="s">
        <v>17</v>
      </c>
    </row>
    <row r="107" spans="1:15" ht="14.25" customHeight="1" x14ac:dyDescent="0.3">
      <c r="A107" s="3" t="s">
        <v>247</v>
      </c>
      <c r="B107" s="3" t="s">
        <v>29</v>
      </c>
      <c r="C107" s="8" t="s">
        <v>248</v>
      </c>
      <c r="D107" s="3" t="s">
        <v>47</v>
      </c>
      <c r="E107" s="3" t="s">
        <v>204</v>
      </c>
      <c r="F107" s="9">
        <v>4619</v>
      </c>
      <c r="G107" s="9">
        <v>821</v>
      </c>
      <c r="H107" s="9">
        <v>499</v>
      </c>
      <c r="I107" s="9">
        <v>69285</v>
      </c>
      <c r="J107" s="9">
        <v>69141</v>
      </c>
      <c r="K107" s="9">
        <v>298</v>
      </c>
      <c r="L107" s="4" t="s">
        <v>26</v>
      </c>
      <c r="M107" s="11" t="s">
        <v>603</v>
      </c>
      <c r="N107" t="s">
        <v>603</v>
      </c>
      <c r="O107" s="13" t="s">
        <v>34</v>
      </c>
    </row>
    <row r="108" spans="1:15" ht="14.25" customHeight="1" x14ac:dyDescent="0.3">
      <c r="A108" s="3" t="s">
        <v>249</v>
      </c>
      <c r="B108" s="3" t="s">
        <v>23</v>
      </c>
      <c r="C108" s="8" t="s">
        <v>250</v>
      </c>
      <c r="D108" s="3" t="s">
        <v>47</v>
      </c>
      <c r="E108" s="3" t="s">
        <v>48</v>
      </c>
      <c r="F108" s="9">
        <v>4832</v>
      </c>
      <c r="G108" s="9">
        <v>893</v>
      </c>
      <c r="H108" s="9">
        <v>10</v>
      </c>
      <c r="I108" s="9">
        <v>91808</v>
      </c>
      <c r="J108" s="9">
        <v>91296</v>
      </c>
      <c r="K108" s="9">
        <v>182</v>
      </c>
      <c r="L108" s="4" t="s">
        <v>26</v>
      </c>
      <c r="M108" s="11" t="s">
        <v>603</v>
      </c>
      <c r="N108" t="s">
        <v>603</v>
      </c>
      <c r="O108" s="13" t="s">
        <v>603</v>
      </c>
    </row>
    <row r="109" spans="1:15" ht="14.25" customHeight="1" x14ac:dyDescent="0.3">
      <c r="A109" s="3" t="s">
        <v>251</v>
      </c>
      <c r="B109" s="3" t="s">
        <v>592</v>
      </c>
      <c r="C109" s="8" t="s">
        <v>252</v>
      </c>
      <c r="D109" s="3" t="s">
        <v>69</v>
      </c>
      <c r="E109" s="3" t="s">
        <v>597</v>
      </c>
      <c r="F109" s="9">
        <v>4050</v>
      </c>
      <c r="G109" s="9">
        <v>871</v>
      </c>
      <c r="H109" s="9">
        <v>347</v>
      </c>
      <c r="I109" s="9">
        <v>52650</v>
      </c>
      <c r="J109" s="9">
        <v>51755</v>
      </c>
      <c r="K109" s="9">
        <v>209</v>
      </c>
      <c r="L109" s="4" t="s">
        <v>26</v>
      </c>
      <c r="M109" s="11" t="s">
        <v>603</v>
      </c>
      <c r="N109" t="s">
        <v>603</v>
      </c>
      <c r="O109" s="13" t="s">
        <v>21</v>
      </c>
    </row>
    <row r="110" spans="1:15" ht="14.25" customHeight="1" x14ac:dyDescent="0.3">
      <c r="A110" s="3" t="s">
        <v>253</v>
      </c>
      <c r="B110" s="3" t="s">
        <v>592</v>
      </c>
      <c r="C110" s="8" t="s">
        <v>254</v>
      </c>
      <c r="D110" s="3" t="s">
        <v>31</v>
      </c>
      <c r="E110" s="3" t="s">
        <v>598</v>
      </c>
      <c r="F110" s="9">
        <v>3649</v>
      </c>
      <c r="G110" s="9">
        <v>215</v>
      </c>
      <c r="H110" s="9">
        <v>413</v>
      </c>
      <c r="I110" s="9">
        <v>25543</v>
      </c>
      <c r="J110" s="9">
        <v>24963</v>
      </c>
      <c r="K110" s="9">
        <v>167</v>
      </c>
      <c r="L110" s="4" t="s">
        <v>57</v>
      </c>
      <c r="M110" s="11" t="s">
        <v>603</v>
      </c>
      <c r="N110" t="s">
        <v>603</v>
      </c>
      <c r="O110" s="13" t="s">
        <v>27</v>
      </c>
    </row>
    <row r="111" spans="1:15" ht="14.25" customHeight="1" x14ac:dyDescent="0.3">
      <c r="A111" s="3" t="s">
        <v>255</v>
      </c>
      <c r="B111" s="3" t="s">
        <v>29</v>
      </c>
      <c r="C111" s="8" t="s">
        <v>256</v>
      </c>
      <c r="D111" s="3" t="s">
        <v>16</v>
      </c>
      <c r="E111" s="3" t="s">
        <v>77</v>
      </c>
      <c r="F111" s="9">
        <v>3523</v>
      </c>
      <c r="G111" s="9">
        <v>753</v>
      </c>
      <c r="H111" s="9">
        <v>482</v>
      </c>
      <c r="I111" s="9">
        <v>38753</v>
      </c>
      <c r="J111" s="9">
        <v>38579</v>
      </c>
      <c r="K111" s="9">
        <v>270</v>
      </c>
      <c r="L111" s="4" t="s">
        <v>33</v>
      </c>
      <c r="M111" s="11" t="s">
        <v>603</v>
      </c>
      <c r="N111" t="s">
        <v>603</v>
      </c>
      <c r="O111" s="13" t="s">
        <v>21</v>
      </c>
    </row>
    <row r="112" spans="1:15" ht="14.25" customHeight="1" x14ac:dyDescent="0.3">
      <c r="A112" s="3" t="s">
        <v>257</v>
      </c>
      <c r="B112" s="3" t="s">
        <v>23</v>
      </c>
      <c r="C112" s="8" t="s">
        <v>258</v>
      </c>
      <c r="D112" s="3" t="s">
        <v>47</v>
      </c>
      <c r="E112" s="3" t="s">
        <v>48</v>
      </c>
      <c r="F112" s="9">
        <v>2719</v>
      </c>
      <c r="G112" s="9">
        <v>17</v>
      </c>
      <c r="H112" s="9">
        <v>285</v>
      </c>
      <c r="I112" s="9">
        <v>40785</v>
      </c>
      <c r="J112" s="9">
        <v>40281</v>
      </c>
      <c r="K112" s="9">
        <v>40</v>
      </c>
      <c r="L112" s="4" t="s">
        <v>26</v>
      </c>
      <c r="M112" s="11" t="s">
        <v>603</v>
      </c>
      <c r="N112" t="s">
        <v>603</v>
      </c>
      <c r="O112" s="13" t="s">
        <v>21</v>
      </c>
    </row>
    <row r="113" spans="1:15" ht="14.25" customHeight="1" x14ac:dyDescent="0.3">
      <c r="A113" s="3" t="s">
        <v>259</v>
      </c>
      <c r="B113" s="3" t="s">
        <v>592</v>
      </c>
      <c r="C113" s="8" t="s">
        <v>260</v>
      </c>
      <c r="D113" s="3" t="s">
        <v>31</v>
      </c>
      <c r="E113" s="3" t="s">
        <v>598</v>
      </c>
      <c r="F113" s="9">
        <v>1957</v>
      </c>
      <c r="G113" s="9">
        <v>877</v>
      </c>
      <c r="H113" s="9">
        <v>238</v>
      </c>
      <c r="I113" s="9">
        <v>17613</v>
      </c>
      <c r="J113" s="9">
        <v>16865</v>
      </c>
      <c r="K113" s="9">
        <v>297</v>
      </c>
      <c r="L113" s="4" t="s">
        <v>57</v>
      </c>
      <c r="M113" s="11" t="s">
        <v>603</v>
      </c>
      <c r="N113" t="s">
        <v>603</v>
      </c>
      <c r="O113" s="13" t="s">
        <v>27</v>
      </c>
    </row>
    <row r="114" spans="1:15" ht="14.25" customHeight="1" x14ac:dyDescent="0.3">
      <c r="A114" s="3" t="s">
        <v>261</v>
      </c>
      <c r="B114" s="3" t="s">
        <v>592</v>
      </c>
      <c r="C114" s="8" t="s">
        <v>262</v>
      </c>
      <c r="D114" s="3" t="s">
        <v>41</v>
      </c>
      <c r="E114" s="3" t="s">
        <v>595</v>
      </c>
      <c r="F114" s="9">
        <v>4419</v>
      </c>
      <c r="G114" s="9">
        <v>236</v>
      </c>
      <c r="H114" s="9">
        <v>369</v>
      </c>
      <c r="I114" s="9">
        <v>44190</v>
      </c>
      <c r="J114" s="9">
        <v>43582</v>
      </c>
      <c r="K114" s="9">
        <v>10</v>
      </c>
      <c r="L114" s="4" t="s">
        <v>33</v>
      </c>
      <c r="M114" s="11" t="s">
        <v>603</v>
      </c>
      <c r="N114" t="s">
        <v>603</v>
      </c>
      <c r="O114" s="13" t="s">
        <v>17</v>
      </c>
    </row>
    <row r="115" spans="1:15" ht="14.25" customHeight="1" x14ac:dyDescent="0.3">
      <c r="A115" s="3" t="s">
        <v>263</v>
      </c>
      <c r="B115" s="3" t="s">
        <v>592</v>
      </c>
      <c r="C115" s="8" t="s">
        <v>264</v>
      </c>
      <c r="D115" s="3" t="s">
        <v>31</v>
      </c>
      <c r="E115" s="3" t="s">
        <v>598</v>
      </c>
      <c r="F115" s="9">
        <v>4000</v>
      </c>
      <c r="G115" s="9">
        <v>689</v>
      </c>
      <c r="H115" s="9">
        <v>488</v>
      </c>
      <c r="I115" s="9">
        <v>40000</v>
      </c>
      <c r="J115" s="9">
        <v>39569</v>
      </c>
      <c r="K115" s="9">
        <v>44</v>
      </c>
      <c r="L115" s="4" t="s">
        <v>57</v>
      </c>
      <c r="M115" s="11" t="s">
        <v>603</v>
      </c>
      <c r="N115" t="s">
        <v>603</v>
      </c>
      <c r="O115" s="13" t="s">
        <v>17</v>
      </c>
    </row>
    <row r="116" spans="1:15" ht="14.25" customHeight="1" x14ac:dyDescent="0.3">
      <c r="A116" s="3" t="s">
        <v>265</v>
      </c>
      <c r="B116" s="3" t="s">
        <v>592</v>
      </c>
      <c r="C116" s="8" t="s">
        <v>266</v>
      </c>
      <c r="D116" s="3" t="s">
        <v>47</v>
      </c>
      <c r="E116" s="3" t="s">
        <v>596</v>
      </c>
      <c r="F116" s="9">
        <v>2493</v>
      </c>
      <c r="G116" s="9">
        <v>97</v>
      </c>
      <c r="H116" s="9">
        <v>44</v>
      </c>
      <c r="I116" s="9">
        <v>42381</v>
      </c>
      <c r="J116" s="9">
        <v>41991</v>
      </c>
      <c r="K116" s="9">
        <v>242</v>
      </c>
      <c r="L116" s="4" t="s">
        <v>26</v>
      </c>
      <c r="M116" s="100" t="s">
        <v>601</v>
      </c>
      <c r="N116" t="s">
        <v>603</v>
      </c>
      <c r="O116" s="13" t="s">
        <v>34</v>
      </c>
    </row>
    <row r="117" spans="1:15" ht="14.25" customHeight="1" x14ac:dyDescent="0.3">
      <c r="A117" s="3" t="s">
        <v>267</v>
      </c>
      <c r="B117" s="3" t="s">
        <v>23</v>
      </c>
      <c r="C117" s="8" t="s">
        <v>268</v>
      </c>
      <c r="D117" s="3" t="s">
        <v>16</v>
      </c>
      <c r="E117" s="3" t="s">
        <v>25</v>
      </c>
      <c r="F117" s="9">
        <v>3704</v>
      </c>
      <c r="G117" s="9">
        <v>186</v>
      </c>
      <c r="H117" s="9">
        <v>458</v>
      </c>
      <c r="I117" s="9">
        <v>25928</v>
      </c>
      <c r="J117" s="9">
        <v>25081</v>
      </c>
      <c r="K117" s="9">
        <v>131</v>
      </c>
      <c r="L117" s="4" t="s">
        <v>26</v>
      </c>
      <c r="M117" s="11" t="s">
        <v>603</v>
      </c>
      <c r="N117" t="s">
        <v>603</v>
      </c>
      <c r="O117" s="13" t="s">
        <v>603</v>
      </c>
    </row>
    <row r="118" spans="1:15" ht="14.25" customHeight="1" x14ac:dyDescent="0.3">
      <c r="A118" s="3" t="s">
        <v>269</v>
      </c>
      <c r="B118" s="3" t="s">
        <v>592</v>
      </c>
      <c r="C118" s="8" t="s">
        <v>270</v>
      </c>
      <c r="D118" s="3" t="s">
        <v>47</v>
      </c>
      <c r="E118" s="3" t="s">
        <v>596</v>
      </c>
      <c r="F118" s="9">
        <v>1606</v>
      </c>
      <c r="G118" s="9">
        <v>451</v>
      </c>
      <c r="H118" s="9">
        <v>405</v>
      </c>
      <c r="I118" s="9">
        <v>20878</v>
      </c>
      <c r="J118" s="9">
        <v>20190</v>
      </c>
      <c r="K118" s="9">
        <v>219</v>
      </c>
      <c r="L118" s="4" t="s">
        <v>33</v>
      </c>
      <c r="M118" s="11" t="s">
        <v>603</v>
      </c>
      <c r="N118" t="s">
        <v>603</v>
      </c>
      <c r="O118" s="13" t="s">
        <v>34</v>
      </c>
    </row>
    <row r="119" spans="1:15" ht="14.25" customHeight="1" x14ac:dyDescent="0.3">
      <c r="A119" s="3" t="s">
        <v>271</v>
      </c>
      <c r="B119" s="3" t="s">
        <v>39</v>
      </c>
      <c r="C119" s="8" t="s">
        <v>270</v>
      </c>
      <c r="D119" s="3" t="s">
        <v>47</v>
      </c>
      <c r="E119" s="3" t="s">
        <v>54</v>
      </c>
      <c r="F119" s="9">
        <v>4551</v>
      </c>
      <c r="G119" s="9">
        <v>714</v>
      </c>
      <c r="H119" s="9">
        <v>207</v>
      </c>
      <c r="I119" s="9">
        <v>68265</v>
      </c>
      <c r="J119" s="9">
        <v>67754</v>
      </c>
      <c r="K119" s="9">
        <v>57</v>
      </c>
      <c r="L119" s="4" t="s">
        <v>57</v>
      </c>
      <c r="M119" s="11" t="s">
        <v>603</v>
      </c>
      <c r="N119" t="s">
        <v>603</v>
      </c>
      <c r="O119" s="13" t="s">
        <v>27</v>
      </c>
    </row>
    <row r="120" spans="1:15" ht="14.25" customHeight="1" x14ac:dyDescent="0.3">
      <c r="A120" s="3" t="s">
        <v>272</v>
      </c>
      <c r="B120" s="3" t="s">
        <v>29</v>
      </c>
      <c r="C120" s="8" t="s">
        <v>273</v>
      </c>
      <c r="D120" s="3" t="s">
        <v>16</v>
      </c>
      <c r="E120" s="3" t="s">
        <v>77</v>
      </c>
      <c r="F120" s="9">
        <v>1970</v>
      </c>
      <c r="G120" s="9">
        <v>675</v>
      </c>
      <c r="H120" s="9">
        <v>478</v>
      </c>
      <c r="I120" s="9">
        <v>9850</v>
      </c>
      <c r="J120" s="9">
        <v>8924</v>
      </c>
      <c r="K120" s="9">
        <v>117</v>
      </c>
      <c r="L120" s="4" t="s">
        <v>57</v>
      </c>
      <c r="M120" s="11" t="s">
        <v>603</v>
      </c>
      <c r="N120" t="s">
        <v>603</v>
      </c>
      <c r="O120" s="13" t="s">
        <v>603</v>
      </c>
    </row>
    <row r="121" spans="1:15" ht="14.25" customHeight="1" x14ac:dyDescent="0.3">
      <c r="A121" s="3" t="s">
        <v>274</v>
      </c>
      <c r="B121" s="3" t="s">
        <v>39</v>
      </c>
      <c r="C121" s="8" t="s">
        <v>158</v>
      </c>
      <c r="D121" s="3" t="s">
        <v>31</v>
      </c>
      <c r="E121" s="3" t="s">
        <v>66</v>
      </c>
      <c r="F121" s="9">
        <v>780</v>
      </c>
      <c r="G121" s="9">
        <v>928</v>
      </c>
      <c r="H121" s="9">
        <v>301</v>
      </c>
      <c r="I121" s="9">
        <v>8580</v>
      </c>
      <c r="J121" s="9">
        <v>8081</v>
      </c>
      <c r="K121" s="9">
        <v>91</v>
      </c>
      <c r="L121" s="4" t="s">
        <v>33</v>
      </c>
      <c r="M121" s="11" t="s">
        <v>603</v>
      </c>
      <c r="N121" t="s">
        <v>603</v>
      </c>
      <c r="O121" s="13" t="s">
        <v>27</v>
      </c>
    </row>
    <row r="122" spans="1:15" ht="14.25" customHeight="1" x14ac:dyDescent="0.3">
      <c r="A122" s="3" t="s">
        <v>275</v>
      </c>
      <c r="B122" s="3" t="s">
        <v>29</v>
      </c>
      <c r="C122" s="8" t="s">
        <v>256</v>
      </c>
      <c r="D122" s="3" t="s">
        <v>31</v>
      </c>
      <c r="E122" s="3" t="s">
        <v>32</v>
      </c>
      <c r="F122" s="9">
        <v>498</v>
      </c>
      <c r="G122" s="9">
        <v>701</v>
      </c>
      <c r="H122" s="9">
        <v>412</v>
      </c>
      <c r="I122" s="9">
        <v>4980</v>
      </c>
      <c r="J122" s="9">
        <v>4185</v>
      </c>
      <c r="K122" s="9">
        <v>185</v>
      </c>
      <c r="L122" s="4" t="s">
        <v>57</v>
      </c>
      <c r="M122" s="11" t="s">
        <v>603</v>
      </c>
      <c r="N122" t="s">
        <v>603</v>
      </c>
      <c r="O122" s="13" t="s">
        <v>603</v>
      </c>
    </row>
    <row r="123" spans="1:15" ht="14.25" customHeight="1" x14ac:dyDescent="0.3">
      <c r="A123" s="3" t="s">
        <v>276</v>
      </c>
      <c r="B123" s="3" t="s">
        <v>29</v>
      </c>
      <c r="C123" s="8" t="s">
        <v>262</v>
      </c>
      <c r="D123" s="3" t="s">
        <v>20</v>
      </c>
      <c r="E123" s="3" t="s">
        <v>107</v>
      </c>
      <c r="F123" s="9">
        <v>3432</v>
      </c>
      <c r="G123" s="9">
        <v>869</v>
      </c>
      <c r="H123" s="9">
        <v>123</v>
      </c>
      <c r="I123" s="9">
        <v>54912</v>
      </c>
      <c r="J123" s="9">
        <v>53916</v>
      </c>
      <c r="K123" s="9">
        <v>264</v>
      </c>
      <c r="L123" s="4" t="s">
        <v>33</v>
      </c>
      <c r="M123" s="11" t="s">
        <v>603</v>
      </c>
      <c r="N123" t="s">
        <v>603</v>
      </c>
      <c r="O123" s="13" t="s">
        <v>21</v>
      </c>
    </row>
    <row r="124" spans="1:15" ht="14.25" customHeight="1" x14ac:dyDescent="0.3">
      <c r="A124" s="3" t="s">
        <v>277</v>
      </c>
      <c r="B124" s="3" t="s">
        <v>29</v>
      </c>
      <c r="C124" s="8" t="s">
        <v>246</v>
      </c>
      <c r="D124" s="3" t="s">
        <v>31</v>
      </c>
      <c r="E124" s="3" t="s">
        <v>32</v>
      </c>
      <c r="F124" s="9">
        <v>4363</v>
      </c>
      <c r="G124" s="9">
        <v>649</v>
      </c>
      <c r="H124" s="9">
        <v>140</v>
      </c>
      <c r="I124" s="9">
        <v>21815</v>
      </c>
      <c r="J124" s="9">
        <v>21481</v>
      </c>
      <c r="K124" s="9">
        <v>157</v>
      </c>
      <c r="L124" s="4" t="s">
        <v>33</v>
      </c>
      <c r="M124" s="11" t="s">
        <v>603</v>
      </c>
      <c r="N124" t="s">
        <v>603</v>
      </c>
      <c r="O124" s="13" t="s">
        <v>17</v>
      </c>
    </row>
    <row r="125" spans="1:15" ht="14.25" customHeight="1" x14ac:dyDescent="0.3">
      <c r="A125" s="3" t="s">
        <v>278</v>
      </c>
      <c r="B125" s="3" t="s">
        <v>23</v>
      </c>
      <c r="C125" s="8" t="s">
        <v>279</v>
      </c>
      <c r="D125" s="3" t="s">
        <v>41</v>
      </c>
      <c r="E125" s="3" t="s">
        <v>63</v>
      </c>
      <c r="F125" s="9">
        <v>736</v>
      </c>
      <c r="G125" s="9">
        <v>771</v>
      </c>
      <c r="H125" s="9">
        <v>225</v>
      </c>
      <c r="I125" s="9">
        <v>5152</v>
      </c>
      <c r="J125" s="9">
        <v>4706</v>
      </c>
      <c r="K125" s="9">
        <v>19</v>
      </c>
      <c r="L125" s="4" t="s">
        <v>33</v>
      </c>
      <c r="M125" s="11" t="s">
        <v>603</v>
      </c>
      <c r="N125" t="s">
        <v>603</v>
      </c>
      <c r="O125" s="13" t="s">
        <v>17</v>
      </c>
    </row>
    <row r="126" spans="1:15" ht="14.25" customHeight="1" x14ac:dyDescent="0.3">
      <c r="A126" s="3" t="s">
        <v>280</v>
      </c>
      <c r="B126" s="3" t="s">
        <v>592</v>
      </c>
      <c r="C126" s="8" t="s">
        <v>281</v>
      </c>
      <c r="D126" s="3" t="s">
        <v>41</v>
      </c>
      <c r="E126" s="3" t="s">
        <v>595</v>
      </c>
      <c r="F126" s="9">
        <v>3811</v>
      </c>
      <c r="G126" s="9">
        <v>866</v>
      </c>
      <c r="H126" s="9">
        <v>216</v>
      </c>
      <c r="I126" s="9">
        <v>34299</v>
      </c>
      <c r="J126" s="9">
        <v>34088</v>
      </c>
      <c r="K126" s="9">
        <v>233</v>
      </c>
      <c r="L126" s="4" t="s">
        <v>26</v>
      </c>
      <c r="M126" s="11" t="s">
        <v>603</v>
      </c>
      <c r="N126" t="s">
        <v>603</v>
      </c>
      <c r="O126" s="13" t="s">
        <v>34</v>
      </c>
    </row>
    <row r="127" spans="1:15" ht="14.25" customHeight="1" x14ac:dyDescent="0.3">
      <c r="A127" s="3" t="s">
        <v>282</v>
      </c>
      <c r="B127" s="3" t="s">
        <v>29</v>
      </c>
      <c r="C127" s="8" t="s">
        <v>173</v>
      </c>
      <c r="D127" s="3" t="s">
        <v>41</v>
      </c>
      <c r="E127" s="3" t="s">
        <v>83</v>
      </c>
      <c r="F127" s="9">
        <v>4158</v>
      </c>
      <c r="G127" s="9">
        <v>167</v>
      </c>
      <c r="H127" s="9">
        <v>241</v>
      </c>
      <c r="I127" s="9">
        <v>45738</v>
      </c>
      <c r="J127" s="9">
        <v>45183</v>
      </c>
      <c r="K127" s="9">
        <v>142</v>
      </c>
      <c r="L127" s="4" t="s">
        <v>57</v>
      </c>
      <c r="M127" s="11" t="s">
        <v>603</v>
      </c>
      <c r="N127" t="s">
        <v>603</v>
      </c>
      <c r="O127" s="13" t="s">
        <v>603</v>
      </c>
    </row>
    <row r="128" spans="1:15" ht="14.25" customHeight="1" x14ac:dyDescent="0.3">
      <c r="A128" s="3" t="s">
        <v>283</v>
      </c>
      <c r="B128" s="3" t="s">
        <v>39</v>
      </c>
      <c r="C128" s="8" t="s">
        <v>212</v>
      </c>
      <c r="D128" s="3" t="s">
        <v>16</v>
      </c>
      <c r="E128" s="3" t="s">
        <v>60</v>
      </c>
      <c r="F128" s="9">
        <v>3452</v>
      </c>
      <c r="G128" s="9">
        <v>652</v>
      </c>
      <c r="H128" s="9">
        <v>442</v>
      </c>
      <c r="I128" s="9">
        <v>65588</v>
      </c>
      <c r="J128" s="9">
        <v>65049</v>
      </c>
      <c r="K128" s="9">
        <v>158</v>
      </c>
      <c r="L128" s="4" t="s">
        <v>57</v>
      </c>
      <c r="M128" s="11" t="s">
        <v>603</v>
      </c>
      <c r="N128" t="s">
        <v>603</v>
      </c>
      <c r="O128" s="13" t="s">
        <v>27</v>
      </c>
    </row>
    <row r="129" spans="1:15" ht="14.25" customHeight="1" x14ac:dyDescent="0.3">
      <c r="A129" s="3" t="s">
        <v>284</v>
      </c>
      <c r="B129" s="3" t="s">
        <v>592</v>
      </c>
      <c r="C129" s="8" t="s">
        <v>218</v>
      </c>
      <c r="D129" s="3" t="s">
        <v>47</v>
      </c>
      <c r="E129" s="3" t="s">
        <v>596</v>
      </c>
      <c r="F129" s="9">
        <v>3092</v>
      </c>
      <c r="G129" s="9">
        <v>106</v>
      </c>
      <c r="H129" s="9">
        <v>291</v>
      </c>
      <c r="I129" s="9">
        <v>27828</v>
      </c>
      <c r="J129" s="9">
        <v>27217</v>
      </c>
      <c r="K129" s="9">
        <v>102</v>
      </c>
      <c r="L129" s="4" t="s">
        <v>57</v>
      </c>
      <c r="M129" s="11" t="s">
        <v>603</v>
      </c>
      <c r="N129" t="s">
        <v>603</v>
      </c>
      <c r="O129" s="13" t="s">
        <v>603</v>
      </c>
    </row>
    <row r="130" spans="1:15" ht="14.25" customHeight="1" x14ac:dyDescent="0.3">
      <c r="A130" s="3" t="s">
        <v>285</v>
      </c>
      <c r="B130" s="3" t="s">
        <v>592</v>
      </c>
      <c r="C130" s="8" t="s">
        <v>59</v>
      </c>
      <c r="D130" s="3" t="s">
        <v>20</v>
      </c>
      <c r="E130" s="3" t="s">
        <v>594</v>
      </c>
      <c r="F130" s="9">
        <v>2147</v>
      </c>
      <c r="G130" s="9">
        <v>430</v>
      </c>
      <c r="H130" s="9">
        <v>393</v>
      </c>
      <c r="I130" s="9">
        <v>17176</v>
      </c>
      <c r="J130" s="9">
        <v>16483</v>
      </c>
      <c r="K130" s="9">
        <v>170</v>
      </c>
      <c r="L130" s="4" t="s">
        <v>26</v>
      </c>
      <c r="M130" s="11" t="s">
        <v>603</v>
      </c>
      <c r="N130" t="s">
        <v>603</v>
      </c>
      <c r="O130" s="13" t="s">
        <v>603</v>
      </c>
    </row>
    <row r="131" spans="1:15" ht="14.25" customHeight="1" x14ac:dyDescent="0.3">
      <c r="A131" s="3" t="s">
        <v>286</v>
      </c>
      <c r="B131" s="3" t="s">
        <v>23</v>
      </c>
      <c r="C131" s="8" t="s">
        <v>287</v>
      </c>
      <c r="D131" s="3" t="s">
        <v>16</v>
      </c>
      <c r="E131" s="3" t="s">
        <v>25</v>
      </c>
      <c r="F131" s="9">
        <v>2936</v>
      </c>
      <c r="G131" s="9">
        <v>439</v>
      </c>
      <c r="H131" s="9">
        <v>44</v>
      </c>
      <c r="I131" s="9">
        <v>38168</v>
      </c>
      <c r="J131" s="9">
        <v>37571</v>
      </c>
      <c r="K131" s="9">
        <v>22</v>
      </c>
      <c r="L131" s="4" t="s">
        <v>33</v>
      </c>
      <c r="M131" s="11" t="s">
        <v>603</v>
      </c>
      <c r="N131" t="s">
        <v>603</v>
      </c>
      <c r="O131" s="13" t="s">
        <v>34</v>
      </c>
    </row>
    <row r="132" spans="1:15" ht="14.25" customHeight="1" x14ac:dyDescent="0.3">
      <c r="A132" s="3" t="s">
        <v>288</v>
      </c>
      <c r="B132" s="3" t="s">
        <v>29</v>
      </c>
      <c r="C132" s="8" t="s">
        <v>158</v>
      </c>
      <c r="D132" s="3" t="s">
        <v>16</v>
      </c>
      <c r="E132" s="3" t="s">
        <v>77</v>
      </c>
      <c r="F132" s="9">
        <v>4840</v>
      </c>
      <c r="G132" s="9">
        <v>658</v>
      </c>
      <c r="H132" s="9">
        <v>211</v>
      </c>
      <c r="I132" s="9">
        <v>43560</v>
      </c>
      <c r="J132" s="9">
        <v>43225</v>
      </c>
      <c r="K132" s="9">
        <v>57</v>
      </c>
      <c r="L132" s="4" t="s">
        <v>57</v>
      </c>
      <c r="M132" s="11" t="s">
        <v>603</v>
      </c>
      <c r="N132" t="s">
        <v>603</v>
      </c>
      <c r="O132" s="13" t="s">
        <v>27</v>
      </c>
    </row>
    <row r="133" spans="1:15" ht="14.25" customHeight="1" x14ac:dyDescent="0.3">
      <c r="A133" s="3" t="s">
        <v>289</v>
      </c>
      <c r="B133" s="3" t="s">
        <v>29</v>
      </c>
      <c r="C133" s="8" t="s">
        <v>100</v>
      </c>
      <c r="D133" s="3" t="s">
        <v>31</v>
      </c>
      <c r="E133" s="3" t="s">
        <v>32</v>
      </c>
      <c r="F133" s="9">
        <v>1947</v>
      </c>
      <c r="G133" s="9">
        <v>842</v>
      </c>
      <c r="H133" s="9">
        <v>101</v>
      </c>
      <c r="I133" s="9">
        <v>21417</v>
      </c>
      <c r="J133" s="9">
        <v>20967</v>
      </c>
      <c r="K133" s="9">
        <v>186</v>
      </c>
      <c r="L133" s="4" t="s">
        <v>57</v>
      </c>
      <c r="M133" s="11" t="s">
        <v>603</v>
      </c>
      <c r="N133" t="s">
        <v>603</v>
      </c>
      <c r="O133" s="13" t="s">
        <v>21</v>
      </c>
    </row>
    <row r="134" spans="1:15" ht="14.25" customHeight="1" x14ac:dyDescent="0.3">
      <c r="A134" s="3" t="s">
        <v>290</v>
      </c>
      <c r="B134" s="3" t="s">
        <v>39</v>
      </c>
      <c r="C134" s="8" t="s">
        <v>291</v>
      </c>
      <c r="D134" s="3" t="s">
        <v>47</v>
      </c>
      <c r="E134" s="3" t="s">
        <v>54</v>
      </c>
      <c r="F134" s="9">
        <v>2072</v>
      </c>
      <c r="G134" s="9">
        <v>532</v>
      </c>
      <c r="H134" s="9">
        <v>71</v>
      </c>
      <c r="I134" s="9">
        <v>37296</v>
      </c>
      <c r="J134" s="9">
        <v>36467</v>
      </c>
      <c r="K134" s="9">
        <v>25</v>
      </c>
      <c r="L134" s="4" t="s">
        <v>26</v>
      </c>
      <c r="M134" s="11" t="s">
        <v>603</v>
      </c>
      <c r="N134" t="s">
        <v>603</v>
      </c>
      <c r="O134" s="13" t="s">
        <v>34</v>
      </c>
    </row>
    <row r="135" spans="1:15" ht="14.25" customHeight="1" x14ac:dyDescent="0.3">
      <c r="A135" s="3" t="s">
        <v>292</v>
      </c>
      <c r="B135" s="3" t="s">
        <v>592</v>
      </c>
      <c r="C135" s="8" t="s">
        <v>293</v>
      </c>
      <c r="D135" s="3" t="s">
        <v>16</v>
      </c>
      <c r="E135" s="3" t="s">
        <v>593</v>
      </c>
      <c r="F135" s="9">
        <v>3731</v>
      </c>
      <c r="G135" s="9">
        <v>115</v>
      </c>
      <c r="H135" s="9">
        <v>135</v>
      </c>
      <c r="I135" s="9">
        <v>55965</v>
      </c>
      <c r="J135" s="9">
        <v>55436</v>
      </c>
      <c r="K135" s="9">
        <v>103</v>
      </c>
      <c r="L135" s="4" t="s">
        <v>26</v>
      </c>
      <c r="M135" s="11" t="s">
        <v>603</v>
      </c>
      <c r="N135" t="s">
        <v>603</v>
      </c>
      <c r="O135" s="13" t="s">
        <v>17</v>
      </c>
    </row>
    <row r="136" spans="1:15" ht="14.25" customHeight="1" x14ac:dyDescent="0.3">
      <c r="A136" s="3" t="s">
        <v>294</v>
      </c>
      <c r="B136" s="3" t="s">
        <v>39</v>
      </c>
      <c r="C136" s="8" t="s">
        <v>295</v>
      </c>
      <c r="D136" s="3" t="s">
        <v>20</v>
      </c>
      <c r="E136" s="3" t="s">
        <v>51</v>
      </c>
      <c r="F136" s="9">
        <v>4213</v>
      </c>
      <c r="G136" s="9">
        <v>253</v>
      </c>
      <c r="H136" s="9">
        <v>434</v>
      </c>
      <c r="I136" s="9">
        <v>75834</v>
      </c>
      <c r="J136" s="9">
        <v>75437</v>
      </c>
      <c r="K136" s="9">
        <v>272</v>
      </c>
      <c r="L136" s="4" t="s">
        <v>57</v>
      </c>
      <c r="M136" s="11" t="s">
        <v>603</v>
      </c>
      <c r="N136" t="s">
        <v>603</v>
      </c>
      <c r="O136" s="13" t="s">
        <v>34</v>
      </c>
    </row>
    <row r="137" spans="1:15" ht="14.25" customHeight="1" x14ac:dyDescent="0.3">
      <c r="A137" s="3" t="s">
        <v>296</v>
      </c>
      <c r="B137" s="3" t="s">
        <v>29</v>
      </c>
      <c r="C137" s="8" t="s">
        <v>297</v>
      </c>
      <c r="D137" s="3" t="s">
        <v>20</v>
      </c>
      <c r="E137" s="3" t="s">
        <v>107</v>
      </c>
      <c r="F137" s="9">
        <v>3134</v>
      </c>
      <c r="G137" s="9">
        <v>888</v>
      </c>
      <c r="H137" s="9">
        <v>444</v>
      </c>
      <c r="I137" s="9">
        <v>21938</v>
      </c>
      <c r="J137" s="9">
        <v>21337</v>
      </c>
      <c r="K137" s="9">
        <v>130</v>
      </c>
      <c r="L137" s="4" t="s">
        <v>33</v>
      </c>
      <c r="M137" s="11" t="s">
        <v>603</v>
      </c>
      <c r="N137" t="s">
        <v>603</v>
      </c>
      <c r="O137" s="13" t="s">
        <v>34</v>
      </c>
    </row>
    <row r="138" spans="1:15" ht="14.25" customHeight="1" x14ac:dyDescent="0.3">
      <c r="A138" s="3" t="s">
        <v>298</v>
      </c>
      <c r="B138" s="3" t="s">
        <v>39</v>
      </c>
      <c r="C138" s="8" t="s">
        <v>109</v>
      </c>
      <c r="D138" s="3" t="s">
        <v>69</v>
      </c>
      <c r="E138" s="3" t="s">
        <v>70</v>
      </c>
      <c r="F138" s="9">
        <v>3008</v>
      </c>
      <c r="G138" s="9">
        <v>94</v>
      </c>
      <c r="H138" s="9">
        <v>37</v>
      </c>
      <c r="I138" s="9">
        <v>15040</v>
      </c>
      <c r="J138" s="9">
        <v>14639</v>
      </c>
      <c r="K138" s="9">
        <v>277</v>
      </c>
      <c r="L138" s="4" t="s">
        <v>57</v>
      </c>
      <c r="M138" s="11" t="s">
        <v>603</v>
      </c>
      <c r="N138" t="s">
        <v>603</v>
      </c>
      <c r="O138" s="13" t="s">
        <v>603</v>
      </c>
    </row>
    <row r="139" spans="1:15" ht="14.25" customHeight="1" x14ac:dyDescent="0.3">
      <c r="A139" s="3" t="s">
        <v>299</v>
      </c>
      <c r="B139" s="3" t="s">
        <v>592</v>
      </c>
      <c r="C139" s="8" t="s">
        <v>177</v>
      </c>
      <c r="D139" s="3" t="s">
        <v>47</v>
      </c>
      <c r="E139" s="3" t="s">
        <v>596</v>
      </c>
      <c r="F139" s="9">
        <v>305</v>
      </c>
      <c r="G139" s="9">
        <v>187</v>
      </c>
      <c r="H139" s="9">
        <v>243</v>
      </c>
      <c r="I139" s="9">
        <v>4575</v>
      </c>
      <c r="J139" s="9">
        <v>3704</v>
      </c>
      <c r="K139" s="9">
        <v>234</v>
      </c>
      <c r="L139" s="4" t="s">
        <v>57</v>
      </c>
      <c r="M139" s="11" t="s">
        <v>603</v>
      </c>
      <c r="N139" t="s">
        <v>603</v>
      </c>
      <c r="O139" s="13" t="s">
        <v>27</v>
      </c>
    </row>
    <row r="140" spans="1:15" ht="14.25" customHeight="1" x14ac:dyDescent="0.3">
      <c r="A140" s="3" t="s">
        <v>300</v>
      </c>
      <c r="B140" s="3" t="s">
        <v>23</v>
      </c>
      <c r="C140" s="8" t="s">
        <v>301</v>
      </c>
      <c r="D140" s="3" t="s">
        <v>20</v>
      </c>
      <c r="E140" s="3" t="s">
        <v>98</v>
      </c>
      <c r="F140" s="9">
        <v>2746</v>
      </c>
      <c r="G140" s="9">
        <v>156</v>
      </c>
      <c r="H140" s="9">
        <v>203</v>
      </c>
      <c r="I140" s="9">
        <v>32952</v>
      </c>
      <c r="J140" s="9">
        <v>32147</v>
      </c>
      <c r="K140" s="9">
        <v>147</v>
      </c>
      <c r="L140" s="4" t="s">
        <v>33</v>
      </c>
      <c r="M140" s="11" t="s">
        <v>603</v>
      </c>
      <c r="N140" t="s">
        <v>603</v>
      </c>
      <c r="O140" s="13" t="s">
        <v>17</v>
      </c>
    </row>
    <row r="141" spans="1:15" ht="14.25" customHeight="1" x14ac:dyDescent="0.3">
      <c r="A141" s="3" t="s">
        <v>302</v>
      </c>
      <c r="B141" s="3" t="s">
        <v>39</v>
      </c>
      <c r="C141" s="8" t="s">
        <v>303</v>
      </c>
      <c r="D141" s="3" t="s">
        <v>47</v>
      </c>
      <c r="E141" s="3" t="s">
        <v>54</v>
      </c>
      <c r="F141" s="9">
        <v>2291</v>
      </c>
      <c r="G141" s="9">
        <v>78</v>
      </c>
      <c r="H141" s="9">
        <v>485</v>
      </c>
      <c r="I141" s="9">
        <v>18328</v>
      </c>
      <c r="J141" s="9">
        <v>18101</v>
      </c>
      <c r="K141" s="9">
        <v>10</v>
      </c>
      <c r="L141" s="4" t="s">
        <v>33</v>
      </c>
      <c r="M141" s="100" t="s">
        <v>587</v>
      </c>
      <c r="N141" t="s">
        <v>603</v>
      </c>
      <c r="O141" s="13" t="s">
        <v>21</v>
      </c>
    </row>
    <row r="142" spans="1:15" ht="14.25" customHeight="1" x14ac:dyDescent="0.3">
      <c r="A142" s="3" t="s">
        <v>304</v>
      </c>
      <c r="B142" s="3" t="s">
        <v>592</v>
      </c>
      <c r="C142" s="8" t="s">
        <v>305</v>
      </c>
      <c r="D142" s="3" t="s">
        <v>47</v>
      </c>
      <c r="E142" s="3" t="s">
        <v>596</v>
      </c>
      <c r="F142" s="9">
        <v>3170</v>
      </c>
      <c r="G142" s="9">
        <v>857</v>
      </c>
      <c r="H142" s="9">
        <v>379</v>
      </c>
      <c r="I142" s="9">
        <v>19020</v>
      </c>
      <c r="J142" s="9">
        <v>18559</v>
      </c>
      <c r="K142" s="9">
        <v>240</v>
      </c>
      <c r="L142" s="4" t="s">
        <v>57</v>
      </c>
      <c r="M142" s="11" t="s">
        <v>603</v>
      </c>
      <c r="N142" t="s">
        <v>603</v>
      </c>
      <c r="O142" s="13" t="s">
        <v>603</v>
      </c>
    </row>
    <row r="143" spans="1:15" ht="14.25" customHeight="1" x14ac:dyDescent="0.3">
      <c r="A143" s="3" t="s">
        <v>306</v>
      </c>
      <c r="B143" s="3" t="s">
        <v>23</v>
      </c>
      <c r="C143" s="8" t="s">
        <v>252</v>
      </c>
      <c r="D143" s="3" t="s">
        <v>31</v>
      </c>
      <c r="E143" s="3" t="s">
        <v>145</v>
      </c>
      <c r="F143" s="9">
        <v>2070</v>
      </c>
      <c r="G143" s="9">
        <v>275</v>
      </c>
      <c r="H143" s="9">
        <v>386</v>
      </c>
      <c r="I143" s="9">
        <v>39330</v>
      </c>
      <c r="J143" s="9">
        <v>38627</v>
      </c>
      <c r="K143" s="9">
        <v>114</v>
      </c>
      <c r="L143" s="4" t="s">
        <v>57</v>
      </c>
      <c r="M143" s="11" t="s">
        <v>603</v>
      </c>
      <c r="N143" t="s">
        <v>603</v>
      </c>
      <c r="O143" s="13" t="s">
        <v>34</v>
      </c>
    </row>
    <row r="144" spans="1:15" ht="14.25" customHeight="1" x14ac:dyDescent="0.3">
      <c r="A144" s="3" t="s">
        <v>307</v>
      </c>
      <c r="B144" s="3" t="s">
        <v>23</v>
      </c>
      <c r="C144" s="8" t="s">
        <v>262</v>
      </c>
      <c r="D144" s="3" t="s">
        <v>41</v>
      </c>
      <c r="E144" s="3" t="s">
        <v>63</v>
      </c>
      <c r="F144" s="9">
        <v>80</v>
      </c>
      <c r="G144" s="9">
        <v>362</v>
      </c>
      <c r="H144" s="9">
        <v>80</v>
      </c>
      <c r="I144" s="9">
        <v>1040</v>
      </c>
      <c r="J144" s="9">
        <v>349</v>
      </c>
      <c r="K144" s="9">
        <v>117</v>
      </c>
      <c r="L144" s="4" t="s">
        <v>26</v>
      </c>
      <c r="M144" s="11" t="s">
        <v>603</v>
      </c>
      <c r="N144" t="s">
        <v>603</v>
      </c>
      <c r="O144" s="13" t="s">
        <v>27</v>
      </c>
    </row>
    <row r="145" spans="1:15" ht="14.25" customHeight="1" x14ac:dyDescent="0.3">
      <c r="A145" s="3" t="s">
        <v>308</v>
      </c>
      <c r="B145" s="3" t="s">
        <v>23</v>
      </c>
      <c r="C145" s="8" t="s">
        <v>190</v>
      </c>
      <c r="D145" s="3" t="s">
        <v>31</v>
      </c>
      <c r="E145" s="3" t="s">
        <v>145</v>
      </c>
      <c r="F145" s="9">
        <v>4929</v>
      </c>
      <c r="G145" s="9">
        <v>749</v>
      </c>
      <c r="H145" s="9">
        <v>452</v>
      </c>
      <c r="I145" s="9">
        <v>93651</v>
      </c>
      <c r="J145" s="9">
        <v>92810</v>
      </c>
      <c r="K145" s="9">
        <v>66</v>
      </c>
      <c r="L145" s="4" t="s">
        <v>33</v>
      </c>
      <c r="M145" s="11" t="s">
        <v>603</v>
      </c>
      <c r="N145" t="s">
        <v>603</v>
      </c>
      <c r="O145" s="13" t="s">
        <v>34</v>
      </c>
    </row>
    <row r="146" spans="1:15" ht="14.25" customHeight="1" x14ac:dyDescent="0.3">
      <c r="A146" s="3" t="s">
        <v>309</v>
      </c>
      <c r="B146" s="3" t="s">
        <v>29</v>
      </c>
      <c r="C146" s="8" t="s">
        <v>30</v>
      </c>
      <c r="D146" s="3" t="s">
        <v>41</v>
      </c>
      <c r="E146" s="3" t="s">
        <v>83</v>
      </c>
      <c r="F146" s="9">
        <v>1878</v>
      </c>
      <c r="G146" s="9">
        <v>62</v>
      </c>
      <c r="H146" s="9">
        <v>179</v>
      </c>
      <c r="I146" s="9">
        <v>37560</v>
      </c>
      <c r="J146" s="9">
        <v>36874</v>
      </c>
      <c r="K146" s="9">
        <v>142</v>
      </c>
      <c r="L146" s="4" t="s">
        <v>26</v>
      </c>
      <c r="M146" s="11" t="s">
        <v>603</v>
      </c>
      <c r="N146" t="s">
        <v>603</v>
      </c>
      <c r="O146" s="13" t="s">
        <v>34</v>
      </c>
    </row>
    <row r="147" spans="1:15" ht="14.25" customHeight="1" x14ac:dyDescent="0.3">
      <c r="A147" s="3" t="s">
        <v>310</v>
      </c>
      <c r="B147" s="3" t="s">
        <v>23</v>
      </c>
      <c r="C147" s="8" t="s">
        <v>311</v>
      </c>
      <c r="D147" s="3" t="s">
        <v>16</v>
      </c>
      <c r="E147" s="3" t="s">
        <v>25</v>
      </c>
      <c r="F147" s="9">
        <v>3065</v>
      </c>
      <c r="G147" s="9">
        <v>772</v>
      </c>
      <c r="H147" s="9">
        <v>142</v>
      </c>
      <c r="I147" s="9">
        <v>18390</v>
      </c>
      <c r="J147" s="9">
        <v>17875</v>
      </c>
      <c r="K147" s="9">
        <v>200</v>
      </c>
      <c r="L147" s="4" t="s">
        <v>33</v>
      </c>
      <c r="M147" s="100" t="s">
        <v>601</v>
      </c>
      <c r="N147" t="s">
        <v>603</v>
      </c>
      <c r="O147" s="13" t="s">
        <v>603</v>
      </c>
    </row>
    <row r="148" spans="1:15" ht="14.25" customHeight="1" x14ac:dyDescent="0.3">
      <c r="A148" s="3" t="s">
        <v>312</v>
      </c>
      <c r="B148" s="3" t="s">
        <v>29</v>
      </c>
      <c r="C148" s="8" t="s">
        <v>158</v>
      </c>
      <c r="D148" s="3" t="s">
        <v>16</v>
      </c>
      <c r="E148" s="3" t="s">
        <v>77</v>
      </c>
      <c r="F148" s="9">
        <v>3256</v>
      </c>
      <c r="G148" s="9">
        <v>459</v>
      </c>
      <c r="H148" s="9">
        <v>266</v>
      </c>
      <c r="I148" s="9">
        <v>26048</v>
      </c>
      <c r="J148" s="9">
        <v>25529</v>
      </c>
      <c r="K148" s="9">
        <v>143</v>
      </c>
      <c r="L148" s="4" t="s">
        <v>26</v>
      </c>
      <c r="M148" s="11" t="s">
        <v>603</v>
      </c>
      <c r="N148" t="s">
        <v>603</v>
      </c>
      <c r="O148" s="13" t="s">
        <v>21</v>
      </c>
    </row>
    <row r="149" spans="1:15" ht="14.25" customHeight="1" x14ac:dyDescent="0.3">
      <c r="A149" s="3" t="s">
        <v>313</v>
      </c>
      <c r="B149" s="3" t="s">
        <v>29</v>
      </c>
      <c r="C149" s="8" t="s">
        <v>160</v>
      </c>
      <c r="D149" s="3" t="s">
        <v>69</v>
      </c>
      <c r="E149" s="3" t="s">
        <v>80</v>
      </c>
      <c r="F149" s="9">
        <v>4133</v>
      </c>
      <c r="G149" s="9">
        <v>466</v>
      </c>
      <c r="H149" s="9">
        <v>327</v>
      </c>
      <c r="I149" s="9">
        <v>24798</v>
      </c>
      <c r="J149" s="9">
        <v>24620</v>
      </c>
      <c r="K149" s="9">
        <v>176</v>
      </c>
      <c r="L149" s="4" t="s">
        <v>33</v>
      </c>
      <c r="M149" s="11" t="s">
        <v>603</v>
      </c>
      <c r="N149" t="s">
        <v>603</v>
      </c>
      <c r="O149" s="13" t="s">
        <v>34</v>
      </c>
    </row>
    <row r="150" spans="1:15" ht="14.25" customHeight="1" x14ac:dyDescent="0.3">
      <c r="A150" s="3" t="s">
        <v>314</v>
      </c>
      <c r="B150" s="3" t="s">
        <v>592</v>
      </c>
      <c r="C150" s="8" t="s">
        <v>315</v>
      </c>
      <c r="D150" s="3" t="s">
        <v>69</v>
      </c>
      <c r="E150" s="3" t="s">
        <v>597</v>
      </c>
      <c r="F150" s="9">
        <v>1702</v>
      </c>
      <c r="G150" s="9">
        <v>750</v>
      </c>
      <c r="H150" s="9">
        <v>179</v>
      </c>
      <c r="I150" s="9">
        <v>34040</v>
      </c>
      <c r="J150" s="9">
        <v>33174</v>
      </c>
      <c r="K150" s="9">
        <v>76</v>
      </c>
      <c r="L150" s="4" t="s">
        <v>33</v>
      </c>
      <c r="M150" s="11" t="s">
        <v>603</v>
      </c>
      <c r="N150" t="s">
        <v>603</v>
      </c>
      <c r="O150" s="13" t="s">
        <v>17</v>
      </c>
    </row>
    <row r="151" spans="1:15" ht="14.25" customHeight="1" x14ac:dyDescent="0.3">
      <c r="A151" s="3" t="s">
        <v>316</v>
      </c>
      <c r="B151" s="3" t="s">
        <v>23</v>
      </c>
      <c r="C151" s="8" t="s">
        <v>317</v>
      </c>
      <c r="D151" s="3" t="s">
        <v>41</v>
      </c>
      <c r="E151" s="3" t="s">
        <v>63</v>
      </c>
      <c r="F151" s="9">
        <v>4295</v>
      </c>
      <c r="G151" s="9">
        <v>853</v>
      </c>
      <c r="H151" s="9">
        <v>325</v>
      </c>
      <c r="I151" s="9">
        <v>85900</v>
      </c>
      <c r="J151" s="9">
        <v>85788</v>
      </c>
      <c r="K151" s="9">
        <v>290</v>
      </c>
      <c r="L151" s="4" t="s">
        <v>26</v>
      </c>
      <c r="M151" s="11" t="s">
        <v>603</v>
      </c>
      <c r="N151" t="s">
        <v>603</v>
      </c>
      <c r="O151" s="13" t="s">
        <v>34</v>
      </c>
    </row>
    <row r="152" spans="1:15" ht="14.25" customHeight="1" x14ac:dyDescent="0.3">
      <c r="A152" s="3" t="s">
        <v>318</v>
      </c>
      <c r="B152" s="3" t="s">
        <v>29</v>
      </c>
      <c r="C152" s="8" t="s">
        <v>175</v>
      </c>
      <c r="D152" s="3" t="s">
        <v>47</v>
      </c>
      <c r="E152" s="3" t="s">
        <v>204</v>
      </c>
      <c r="F152" s="9">
        <v>3559</v>
      </c>
      <c r="G152" s="9">
        <v>59</v>
      </c>
      <c r="H152" s="9">
        <v>289</v>
      </c>
      <c r="I152" s="9">
        <v>35590</v>
      </c>
      <c r="J152" s="9">
        <v>35105</v>
      </c>
      <c r="K152" s="9">
        <v>122</v>
      </c>
      <c r="L152" s="4" t="s">
        <v>33</v>
      </c>
      <c r="M152" s="11" t="s">
        <v>603</v>
      </c>
      <c r="N152" t="s">
        <v>603</v>
      </c>
      <c r="O152" s="13" t="s">
        <v>17</v>
      </c>
    </row>
    <row r="153" spans="1:15" ht="14.25" customHeight="1" x14ac:dyDescent="0.3">
      <c r="A153" s="3" t="s">
        <v>319</v>
      </c>
      <c r="B153" s="3" t="s">
        <v>39</v>
      </c>
      <c r="C153" s="8" t="s">
        <v>320</v>
      </c>
      <c r="D153" s="3" t="s">
        <v>47</v>
      </c>
      <c r="E153" s="3" t="s">
        <v>54</v>
      </c>
      <c r="F153" s="9">
        <v>4804</v>
      </c>
      <c r="G153" s="9">
        <v>550</v>
      </c>
      <c r="H153" s="9">
        <v>270</v>
      </c>
      <c r="I153" s="9">
        <v>28824</v>
      </c>
      <c r="J153" s="9">
        <v>28370</v>
      </c>
      <c r="K153" s="9">
        <v>47</v>
      </c>
      <c r="L153" s="4" t="s">
        <v>33</v>
      </c>
      <c r="M153" s="11" t="s">
        <v>603</v>
      </c>
      <c r="N153" t="s">
        <v>603</v>
      </c>
      <c r="O153" s="13" t="s">
        <v>34</v>
      </c>
    </row>
    <row r="154" spans="1:15" ht="14.25" customHeight="1" x14ac:dyDescent="0.3">
      <c r="A154" s="3" t="s">
        <v>321</v>
      </c>
      <c r="B154" s="3" t="s">
        <v>592</v>
      </c>
      <c r="C154" s="8" t="s">
        <v>322</v>
      </c>
      <c r="D154" s="3" t="s">
        <v>69</v>
      </c>
      <c r="E154" s="3" t="s">
        <v>597</v>
      </c>
      <c r="F154" s="9">
        <v>754</v>
      </c>
      <c r="G154" s="9">
        <v>197</v>
      </c>
      <c r="H154" s="9">
        <v>257</v>
      </c>
      <c r="I154" s="9">
        <v>6786</v>
      </c>
      <c r="J154" s="9">
        <v>6221</v>
      </c>
      <c r="K154" s="9">
        <v>212</v>
      </c>
      <c r="L154" s="4" t="s">
        <v>26</v>
      </c>
      <c r="M154" s="11" t="s">
        <v>603</v>
      </c>
      <c r="N154" t="s">
        <v>603</v>
      </c>
      <c r="O154" s="13" t="s">
        <v>27</v>
      </c>
    </row>
    <row r="155" spans="1:15" ht="14.25" customHeight="1" x14ac:dyDescent="0.3">
      <c r="A155" s="3" t="s">
        <v>323</v>
      </c>
      <c r="B155" s="3" t="s">
        <v>29</v>
      </c>
      <c r="C155" s="8" t="s">
        <v>198</v>
      </c>
      <c r="D155" s="3" t="s">
        <v>41</v>
      </c>
      <c r="E155" s="3" t="s">
        <v>83</v>
      </c>
      <c r="F155" s="9">
        <v>985</v>
      </c>
      <c r="G155" s="9">
        <v>932</v>
      </c>
      <c r="H155" s="9">
        <v>287</v>
      </c>
      <c r="I155" s="9">
        <v>6895</v>
      </c>
      <c r="J155" s="9">
        <v>6757</v>
      </c>
      <c r="K155" s="9">
        <v>64</v>
      </c>
      <c r="L155" s="4" t="s">
        <v>57</v>
      </c>
      <c r="M155" s="11" t="s">
        <v>603</v>
      </c>
      <c r="N155" t="s">
        <v>603</v>
      </c>
      <c r="O155" s="13" t="s">
        <v>34</v>
      </c>
    </row>
    <row r="156" spans="1:15" ht="14.25" customHeight="1" x14ac:dyDescent="0.3">
      <c r="A156" s="3" t="s">
        <v>324</v>
      </c>
      <c r="B156" s="3" t="s">
        <v>23</v>
      </c>
      <c r="C156" s="8" t="s">
        <v>325</v>
      </c>
      <c r="D156" s="3" t="s">
        <v>47</v>
      </c>
      <c r="E156" s="3" t="s">
        <v>48</v>
      </c>
      <c r="F156" s="9">
        <v>2283</v>
      </c>
      <c r="G156" s="9">
        <v>210</v>
      </c>
      <c r="H156" s="9">
        <v>130</v>
      </c>
      <c r="I156" s="9">
        <v>22830</v>
      </c>
      <c r="J156" s="9">
        <v>22617</v>
      </c>
      <c r="K156" s="9">
        <v>143</v>
      </c>
      <c r="L156" s="4" t="s">
        <v>57</v>
      </c>
      <c r="M156" s="11" t="s">
        <v>603</v>
      </c>
      <c r="N156" t="s">
        <v>603</v>
      </c>
      <c r="O156" s="13" t="s">
        <v>21</v>
      </c>
    </row>
    <row r="157" spans="1:15" ht="14.25" customHeight="1" x14ac:dyDescent="0.3">
      <c r="A157" s="3" t="s">
        <v>326</v>
      </c>
      <c r="B157" s="3" t="s">
        <v>39</v>
      </c>
      <c r="C157" s="8" t="s">
        <v>327</v>
      </c>
      <c r="D157" s="3" t="s">
        <v>41</v>
      </c>
      <c r="E157" s="3" t="s">
        <v>42</v>
      </c>
      <c r="F157" s="9">
        <v>3352</v>
      </c>
      <c r="G157" s="9">
        <v>941</v>
      </c>
      <c r="H157" s="9">
        <v>482</v>
      </c>
      <c r="I157" s="9">
        <v>43576</v>
      </c>
      <c r="J157" s="9">
        <v>43338</v>
      </c>
      <c r="K157" s="9">
        <v>240</v>
      </c>
      <c r="L157" s="4" t="s">
        <v>57</v>
      </c>
      <c r="M157" s="11" t="s">
        <v>603</v>
      </c>
      <c r="N157" t="s">
        <v>603</v>
      </c>
      <c r="O157" s="13" t="s">
        <v>21</v>
      </c>
    </row>
    <row r="158" spans="1:15" ht="14.25" customHeight="1" x14ac:dyDescent="0.3">
      <c r="A158" s="3" t="s">
        <v>328</v>
      </c>
      <c r="B158" s="3" t="s">
        <v>23</v>
      </c>
      <c r="C158" s="8" t="s">
        <v>329</v>
      </c>
      <c r="D158" s="3" t="s">
        <v>31</v>
      </c>
      <c r="E158" s="3" t="s">
        <v>145</v>
      </c>
      <c r="F158" s="9">
        <v>4775</v>
      </c>
      <c r="G158" s="9">
        <v>173</v>
      </c>
      <c r="H158" s="9">
        <v>206</v>
      </c>
      <c r="I158" s="9">
        <v>47750</v>
      </c>
      <c r="J158" s="9">
        <v>47544</v>
      </c>
      <c r="K158" s="9">
        <v>187</v>
      </c>
      <c r="L158" s="4" t="s">
        <v>57</v>
      </c>
      <c r="M158" s="11" t="s">
        <v>603</v>
      </c>
      <c r="N158" t="s">
        <v>603</v>
      </c>
      <c r="O158" s="13" t="s">
        <v>21</v>
      </c>
    </row>
    <row r="159" spans="1:15" ht="14.25" customHeight="1" x14ac:dyDescent="0.3">
      <c r="A159" s="3" t="s">
        <v>330</v>
      </c>
      <c r="B159" s="3" t="s">
        <v>29</v>
      </c>
      <c r="C159" s="8" t="s">
        <v>331</v>
      </c>
      <c r="D159" s="3" t="s">
        <v>31</v>
      </c>
      <c r="E159" s="3" t="s">
        <v>32</v>
      </c>
      <c r="F159" s="9">
        <v>1762</v>
      </c>
      <c r="G159" s="9">
        <v>405</v>
      </c>
      <c r="H159" s="9">
        <v>423</v>
      </c>
      <c r="I159" s="9">
        <v>22906</v>
      </c>
      <c r="J159" s="9">
        <v>21925</v>
      </c>
      <c r="K159" s="9">
        <v>25</v>
      </c>
      <c r="L159" s="4" t="s">
        <v>26</v>
      </c>
      <c r="M159" s="11" t="s">
        <v>603</v>
      </c>
      <c r="N159" t="s">
        <v>603</v>
      </c>
      <c r="O159" s="13" t="s">
        <v>17</v>
      </c>
    </row>
    <row r="160" spans="1:15" ht="14.25" customHeight="1" x14ac:dyDescent="0.3">
      <c r="A160" s="3" t="s">
        <v>332</v>
      </c>
      <c r="B160" s="3" t="s">
        <v>39</v>
      </c>
      <c r="C160" s="8" t="s">
        <v>123</v>
      </c>
      <c r="D160" s="3" t="s">
        <v>31</v>
      </c>
      <c r="E160" s="3" t="s">
        <v>66</v>
      </c>
      <c r="F160" s="9">
        <v>2120</v>
      </c>
      <c r="G160" s="9">
        <v>158</v>
      </c>
      <c r="H160" s="9">
        <v>488</v>
      </c>
      <c r="I160" s="9">
        <v>12720</v>
      </c>
      <c r="J160" s="9">
        <v>12085</v>
      </c>
      <c r="K160" s="9">
        <v>17</v>
      </c>
      <c r="L160" s="4" t="s">
        <v>57</v>
      </c>
      <c r="M160" s="11" t="s">
        <v>603</v>
      </c>
      <c r="N160" t="s">
        <v>603</v>
      </c>
      <c r="O160" s="13" t="s">
        <v>21</v>
      </c>
    </row>
    <row r="161" spans="1:15" ht="14.25" customHeight="1" x14ac:dyDescent="0.3">
      <c r="A161" s="3" t="s">
        <v>333</v>
      </c>
      <c r="B161" s="3" t="s">
        <v>592</v>
      </c>
      <c r="C161" s="8" t="s">
        <v>334</v>
      </c>
      <c r="D161" s="3" t="s">
        <v>69</v>
      </c>
      <c r="E161" s="3" t="s">
        <v>597</v>
      </c>
      <c r="F161" s="9">
        <v>1082</v>
      </c>
      <c r="G161" s="9">
        <v>209</v>
      </c>
      <c r="H161" s="9">
        <v>484</v>
      </c>
      <c r="I161" s="9">
        <v>19476</v>
      </c>
      <c r="J161" s="9">
        <v>18654</v>
      </c>
      <c r="K161" s="9">
        <v>20</v>
      </c>
      <c r="L161" s="4" t="s">
        <v>26</v>
      </c>
      <c r="M161" s="11" t="s">
        <v>603</v>
      </c>
      <c r="N161" t="s">
        <v>603</v>
      </c>
      <c r="O161" s="13" t="s">
        <v>603</v>
      </c>
    </row>
    <row r="162" spans="1:15" ht="14.25" customHeight="1" x14ac:dyDescent="0.3">
      <c r="A162" s="3" t="s">
        <v>335</v>
      </c>
      <c r="B162" s="3" t="s">
        <v>592</v>
      </c>
      <c r="C162" s="8" t="s">
        <v>336</v>
      </c>
      <c r="D162" s="3" t="s">
        <v>20</v>
      </c>
      <c r="E162" s="3" t="s">
        <v>594</v>
      </c>
      <c r="F162" s="9">
        <v>4671</v>
      </c>
      <c r="G162" s="9">
        <v>876</v>
      </c>
      <c r="H162" s="9">
        <v>366</v>
      </c>
      <c r="I162" s="9">
        <v>51381</v>
      </c>
      <c r="J162" s="9">
        <v>50565</v>
      </c>
      <c r="K162" s="9">
        <v>245</v>
      </c>
      <c r="L162" s="4" t="s">
        <v>26</v>
      </c>
      <c r="M162" s="11" t="s">
        <v>603</v>
      </c>
      <c r="N162" t="s">
        <v>603</v>
      </c>
      <c r="O162" s="13" t="s">
        <v>34</v>
      </c>
    </row>
    <row r="163" spans="1:15" ht="14.25" customHeight="1" x14ac:dyDescent="0.3">
      <c r="A163" s="3" t="s">
        <v>337</v>
      </c>
      <c r="B163" s="3" t="s">
        <v>39</v>
      </c>
      <c r="C163" s="8" t="s">
        <v>338</v>
      </c>
      <c r="D163" s="3" t="s">
        <v>31</v>
      </c>
      <c r="E163" s="3" t="s">
        <v>66</v>
      </c>
      <c r="F163" s="9">
        <v>3430</v>
      </c>
      <c r="G163" s="9">
        <v>566</v>
      </c>
      <c r="H163" s="9">
        <v>164</v>
      </c>
      <c r="I163" s="9">
        <v>48020</v>
      </c>
      <c r="J163" s="9">
        <v>47305</v>
      </c>
      <c r="K163" s="9">
        <v>120</v>
      </c>
      <c r="L163" s="4" t="s">
        <v>57</v>
      </c>
      <c r="M163" s="11" t="s">
        <v>603</v>
      </c>
      <c r="N163" t="s">
        <v>603</v>
      </c>
      <c r="O163" s="13" t="s">
        <v>603</v>
      </c>
    </row>
    <row r="164" spans="1:15" ht="14.25" customHeight="1" x14ac:dyDescent="0.3">
      <c r="A164" s="3" t="s">
        <v>339</v>
      </c>
      <c r="B164" s="3" t="s">
        <v>29</v>
      </c>
      <c r="C164" s="8" t="s">
        <v>340</v>
      </c>
      <c r="D164" s="3" t="s">
        <v>47</v>
      </c>
      <c r="E164" s="3" t="s">
        <v>204</v>
      </c>
      <c r="F164" s="9">
        <v>4501</v>
      </c>
      <c r="G164" s="9">
        <v>375</v>
      </c>
      <c r="H164" s="9">
        <v>323</v>
      </c>
      <c r="I164" s="9">
        <v>22505</v>
      </c>
      <c r="J164" s="9">
        <v>21836</v>
      </c>
      <c r="K164" s="9">
        <v>132</v>
      </c>
      <c r="L164" s="4" t="s">
        <v>26</v>
      </c>
      <c r="M164" s="11" t="s">
        <v>603</v>
      </c>
      <c r="N164" t="s">
        <v>603</v>
      </c>
      <c r="O164" s="13" t="s">
        <v>21</v>
      </c>
    </row>
    <row r="165" spans="1:15" ht="14.25" customHeight="1" x14ac:dyDescent="0.3">
      <c r="A165" s="3" t="s">
        <v>341</v>
      </c>
      <c r="B165" s="3" t="s">
        <v>23</v>
      </c>
      <c r="C165" s="8" t="s">
        <v>87</v>
      </c>
      <c r="D165" s="3" t="s">
        <v>20</v>
      </c>
      <c r="E165" s="3" t="s">
        <v>98</v>
      </c>
      <c r="F165" s="9">
        <v>4934</v>
      </c>
      <c r="G165" s="9">
        <v>971</v>
      </c>
      <c r="H165" s="9">
        <v>156</v>
      </c>
      <c r="I165" s="9">
        <v>39472</v>
      </c>
      <c r="J165" s="9">
        <v>39025</v>
      </c>
      <c r="K165" s="9">
        <v>169</v>
      </c>
      <c r="L165" s="4" t="s">
        <v>26</v>
      </c>
      <c r="M165" s="100" t="s">
        <v>601</v>
      </c>
      <c r="N165" t="s">
        <v>603</v>
      </c>
      <c r="O165" s="13" t="s">
        <v>34</v>
      </c>
    </row>
    <row r="166" spans="1:15" ht="14.25" customHeight="1" x14ac:dyDescent="0.3">
      <c r="A166" s="3" t="s">
        <v>342</v>
      </c>
      <c r="B166" s="3" t="s">
        <v>592</v>
      </c>
      <c r="C166" s="8" t="s">
        <v>225</v>
      </c>
      <c r="D166" s="3" t="s">
        <v>20</v>
      </c>
      <c r="E166" s="3" t="s">
        <v>594</v>
      </c>
      <c r="F166" s="9">
        <v>3239</v>
      </c>
      <c r="G166" s="9">
        <v>43</v>
      </c>
      <c r="H166" s="9">
        <v>211</v>
      </c>
      <c r="I166" s="9">
        <v>22673</v>
      </c>
      <c r="J166" s="9">
        <v>22171</v>
      </c>
      <c r="K166" s="9">
        <v>230</v>
      </c>
      <c r="L166" s="4" t="s">
        <v>26</v>
      </c>
      <c r="M166" s="11" t="s">
        <v>603</v>
      </c>
      <c r="N166" t="s">
        <v>603</v>
      </c>
      <c r="O166" s="13" t="s">
        <v>21</v>
      </c>
    </row>
    <row r="167" spans="1:15" ht="14.25" customHeight="1" x14ac:dyDescent="0.3">
      <c r="A167" s="3" t="s">
        <v>343</v>
      </c>
      <c r="B167" s="3" t="s">
        <v>592</v>
      </c>
      <c r="C167" s="8" t="s">
        <v>65</v>
      </c>
      <c r="D167" s="3" t="s">
        <v>16</v>
      </c>
      <c r="E167" s="3" t="s">
        <v>593</v>
      </c>
      <c r="F167" s="9">
        <v>1076</v>
      </c>
      <c r="G167" s="9">
        <v>313</v>
      </c>
      <c r="H167" s="9">
        <v>306</v>
      </c>
      <c r="I167" s="9">
        <v>11836</v>
      </c>
      <c r="J167" s="9">
        <v>11596</v>
      </c>
      <c r="K167" s="9">
        <v>104</v>
      </c>
      <c r="L167" s="4" t="s">
        <v>57</v>
      </c>
      <c r="M167" s="11" t="s">
        <v>603</v>
      </c>
      <c r="N167" t="s">
        <v>603</v>
      </c>
      <c r="O167" s="13" t="s">
        <v>17</v>
      </c>
    </row>
    <row r="168" spans="1:15" ht="14.25" customHeight="1" x14ac:dyDescent="0.3">
      <c r="A168" s="3" t="s">
        <v>344</v>
      </c>
      <c r="B168" s="3" t="s">
        <v>29</v>
      </c>
      <c r="C168" s="8" t="s">
        <v>295</v>
      </c>
      <c r="D168" s="3" t="s">
        <v>20</v>
      </c>
      <c r="E168" s="3" t="s">
        <v>107</v>
      </c>
      <c r="F168" s="9">
        <v>4771</v>
      </c>
      <c r="G168" s="9">
        <v>818</v>
      </c>
      <c r="H168" s="9">
        <v>56</v>
      </c>
      <c r="I168" s="9">
        <v>57252</v>
      </c>
      <c r="J168" s="9">
        <v>56378</v>
      </c>
      <c r="K168" s="9">
        <v>150</v>
      </c>
      <c r="L168" s="4" t="s">
        <v>57</v>
      </c>
      <c r="M168" s="11" t="s">
        <v>603</v>
      </c>
      <c r="N168" t="s">
        <v>603</v>
      </c>
      <c r="O168" s="13" t="s">
        <v>603</v>
      </c>
    </row>
    <row r="169" spans="1:15" ht="14.25" customHeight="1" x14ac:dyDescent="0.3">
      <c r="A169" s="3" t="s">
        <v>345</v>
      </c>
      <c r="B169" s="3" t="s">
        <v>39</v>
      </c>
      <c r="C169" s="8" t="s">
        <v>346</v>
      </c>
      <c r="D169" s="3" t="s">
        <v>20</v>
      </c>
      <c r="E169" s="3" t="s">
        <v>51</v>
      </c>
      <c r="F169" s="9">
        <v>2418</v>
      </c>
      <c r="G169" s="9">
        <v>754</v>
      </c>
      <c r="H169" s="9">
        <v>54</v>
      </c>
      <c r="I169" s="9">
        <v>43524</v>
      </c>
      <c r="J169" s="9">
        <v>42743</v>
      </c>
      <c r="K169" s="9">
        <v>182</v>
      </c>
      <c r="L169" s="4" t="s">
        <v>33</v>
      </c>
      <c r="M169" s="11" t="s">
        <v>603</v>
      </c>
      <c r="N169" t="s">
        <v>603</v>
      </c>
      <c r="O169" s="13" t="s">
        <v>17</v>
      </c>
    </row>
    <row r="170" spans="1:15" ht="14.25" customHeight="1" x14ac:dyDescent="0.3">
      <c r="A170" s="3" t="s">
        <v>347</v>
      </c>
      <c r="B170" s="3" t="s">
        <v>23</v>
      </c>
      <c r="C170" s="8" t="s">
        <v>348</v>
      </c>
      <c r="D170" s="3" t="s">
        <v>69</v>
      </c>
      <c r="E170" s="3" t="s">
        <v>207</v>
      </c>
      <c r="F170" s="9">
        <v>3809</v>
      </c>
      <c r="G170" s="9">
        <v>273</v>
      </c>
      <c r="H170" s="9">
        <v>200</v>
      </c>
      <c r="I170" s="9">
        <v>34281</v>
      </c>
      <c r="J170" s="9">
        <v>33534</v>
      </c>
      <c r="K170" s="9">
        <v>83</v>
      </c>
      <c r="L170" s="4" t="s">
        <v>33</v>
      </c>
      <c r="M170" s="11" t="s">
        <v>603</v>
      </c>
      <c r="N170" t="s">
        <v>603</v>
      </c>
      <c r="O170" s="13" t="s">
        <v>17</v>
      </c>
    </row>
    <row r="171" spans="1:15" ht="14.25" customHeight="1" x14ac:dyDescent="0.3">
      <c r="A171" s="3" t="s">
        <v>349</v>
      </c>
      <c r="B171" s="3" t="s">
        <v>592</v>
      </c>
      <c r="C171" s="8" t="s">
        <v>350</v>
      </c>
      <c r="D171" s="3" t="s">
        <v>20</v>
      </c>
      <c r="E171" s="3" t="s">
        <v>594</v>
      </c>
      <c r="F171" s="9">
        <v>3577</v>
      </c>
      <c r="G171" s="9">
        <v>596</v>
      </c>
      <c r="H171" s="9">
        <v>493</v>
      </c>
      <c r="I171" s="9">
        <v>67963</v>
      </c>
      <c r="J171" s="9">
        <v>67839</v>
      </c>
      <c r="K171" s="9">
        <v>53</v>
      </c>
      <c r="L171" s="4" t="s">
        <v>26</v>
      </c>
      <c r="M171" s="11" t="s">
        <v>603</v>
      </c>
      <c r="N171" t="s">
        <v>603</v>
      </c>
      <c r="O171" s="13" t="s">
        <v>27</v>
      </c>
    </row>
    <row r="172" spans="1:15" ht="14.25" customHeight="1" x14ac:dyDescent="0.3">
      <c r="A172" s="3" t="s">
        <v>351</v>
      </c>
      <c r="B172" s="3" t="s">
        <v>23</v>
      </c>
      <c r="C172" s="8" t="s">
        <v>352</v>
      </c>
      <c r="D172" s="3" t="s">
        <v>69</v>
      </c>
      <c r="E172" s="3" t="s">
        <v>207</v>
      </c>
      <c r="F172" s="9">
        <v>1018</v>
      </c>
      <c r="G172" s="9">
        <v>447</v>
      </c>
      <c r="H172" s="9">
        <v>332</v>
      </c>
      <c r="I172" s="9">
        <v>18324</v>
      </c>
      <c r="J172" s="9">
        <v>18164</v>
      </c>
      <c r="K172" s="9">
        <v>38</v>
      </c>
      <c r="L172" s="4" t="s">
        <v>57</v>
      </c>
      <c r="M172" s="11" t="s">
        <v>603</v>
      </c>
      <c r="N172" t="s">
        <v>603</v>
      </c>
      <c r="O172" s="13" t="s">
        <v>21</v>
      </c>
    </row>
    <row r="173" spans="1:15" ht="14.25" customHeight="1" x14ac:dyDescent="0.3">
      <c r="A173" s="3" t="s">
        <v>353</v>
      </c>
      <c r="B173" s="3" t="s">
        <v>39</v>
      </c>
      <c r="C173" s="8" t="s">
        <v>354</v>
      </c>
      <c r="D173" s="3" t="s">
        <v>41</v>
      </c>
      <c r="E173" s="3" t="s">
        <v>42</v>
      </c>
      <c r="F173" s="9">
        <v>3073</v>
      </c>
      <c r="G173" s="9">
        <v>553</v>
      </c>
      <c r="H173" s="9">
        <v>174</v>
      </c>
      <c r="I173" s="9">
        <v>52241</v>
      </c>
      <c r="J173" s="9">
        <v>51605</v>
      </c>
      <c r="K173" s="9">
        <v>246</v>
      </c>
      <c r="L173" s="4" t="s">
        <v>33</v>
      </c>
      <c r="M173" s="11" t="s">
        <v>603</v>
      </c>
      <c r="N173" t="s">
        <v>603</v>
      </c>
      <c r="O173" s="13" t="s">
        <v>27</v>
      </c>
    </row>
    <row r="174" spans="1:15" ht="14.25" customHeight="1" x14ac:dyDescent="0.3">
      <c r="A174" s="3" t="s">
        <v>355</v>
      </c>
      <c r="B174" s="3" t="s">
        <v>592</v>
      </c>
      <c r="C174" s="8" t="s">
        <v>356</v>
      </c>
      <c r="D174" s="3" t="s">
        <v>69</v>
      </c>
      <c r="E174" s="3" t="s">
        <v>597</v>
      </c>
      <c r="F174" s="9">
        <v>1330</v>
      </c>
      <c r="G174" s="9">
        <v>925</v>
      </c>
      <c r="H174" s="9">
        <v>35</v>
      </c>
      <c r="I174" s="9">
        <v>15960</v>
      </c>
      <c r="J174" s="9">
        <v>15379</v>
      </c>
      <c r="K174" s="9">
        <v>229</v>
      </c>
      <c r="L174" s="4" t="s">
        <v>57</v>
      </c>
      <c r="M174" s="11" t="s">
        <v>603</v>
      </c>
      <c r="N174" t="s">
        <v>603</v>
      </c>
      <c r="O174" s="13" t="s">
        <v>27</v>
      </c>
    </row>
    <row r="175" spans="1:15" ht="14.25" customHeight="1" x14ac:dyDescent="0.3">
      <c r="A175" s="3" t="s">
        <v>357</v>
      </c>
      <c r="B175" s="3" t="s">
        <v>39</v>
      </c>
      <c r="C175" s="8" t="s">
        <v>162</v>
      </c>
      <c r="D175" s="3" t="s">
        <v>20</v>
      </c>
      <c r="E175" s="3" t="s">
        <v>51</v>
      </c>
      <c r="F175" s="9">
        <v>3828</v>
      </c>
      <c r="G175" s="9">
        <v>148</v>
      </c>
      <c r="H175" s="9">
        <v>253</v>
      </c>
      <c r="I175" s="9">
        <v>30624</v>
      </c>
      <c r="J175" s="9">
        <v>30229</v>
      </c>
      <c r="K175" s="9">
        <v>235</v>
      </c>
      <c r="L175" s="4" t="s">
        <v>33</v>
      </c>
      <c r="M175" s="11" t="s">
        <v>603</v>
      </c>
      <c r="N175" t="s">
        <v>603</v>
      </c>
      <c r="O175" s="13" t="s">
        <v>603</v>
      </c>
    </row>
    <row r="176" spans="1:15" ht="14.25" customHeight="1" x14ac:dyDescent="0.3">
      <c r="A176" s="3" t="s">
        <v>358</v>
      </c>
      <c r="B176" s="3" t="s">
        <v>29</v>
      </c>
      <c r="C176" s="8" t="s">
        <v>359</v>
      </c>
      <c r="D176" s="3" t="s">
        <v>16</v>
      </c>
      <c r="E176" s="3" t="s">
        <v>77</v>
      </c>
      <c r="F176" s="9">
        <v>142</v>
      </c>
      <c r="G176" s="9">
        <v>784</v>
      </c>
      <c r="H176" s="9">
        <v>183</v>
      </c>
      <c r="I176" s="9">
        <v>1704</v>
      </c>
      <c r="J176" s="9">
        <v>995</v>
      </c>
      <c r="K176" s="9">
        <v>154</v>
      </c>
      <c r="L176" s="4" t="s">
        <v>57</v>
      </c>
      <c r="M176" s="11" t="s">
        <v>603</v>
      </c>
      <c r="N176" t="s">
        <v>603</v>
      </c>
      <c r="O176" s="13" t="s">
        <v>34</v>
      </c>
    </row>
    <row r="177" spans="1:15" ht="14.25" customHeight="1" x14ac:dyDescent="0.3">
      <c r="A177" s="3" t="s">
        <v>360</v>
      </c>
      <c r="B177" s="3" t="s">
        <v>39</v>
      </c>
      <c r="C177" s="8" t="s">
        <v>361</v>
      </c>
      <c r="D177" s="3" t="s">
        <v>69</v>
      </c>
      <c r="E177" s="3" t="s">
        <v>70</v>
      </c>
      <c r="F177" s="9">
        <v>3798</v>
      </c>
      <c r="G177" s="9">
        <v>31</v>
      </c>
      <c r="H177" s="9">
        <v>279</v>
      </c>
      <c r="I177" s="9">
        <v>75960</v>
      </c>
      <c r="J177" s="9">
        <v>75813</v>
      </c>
      <c r="K177" s="9">
        <v>266</v>
      </c>
      <c r="L177" s="4" t="s">
        <v>26</v>
      </c>
      <c r="M177" s="11" t="s">
        <v>603</v>
      </c>
      <c r="N177" t="s">
        <v>603</v>
      </c>
      <c r="O177" s="13" t="s">
        <v>17</v>
      </c>
    </row>
    <row r="178" spans="1:15" ht="14.25" customHeight="1" x14ac:dyDescent="0.3">
      <c r="A178" s="3" t="s">
        <v>362</v>
      </c>
      <c r="B178" s="3" t="s">
        <v>29</v>
      </c>
      <c r="C178" s="8" t="s">
        <v>363</v>
      </c>
      <c r="D178" s="3" t="s">
        <v>41</v>
      </c>
      <c r="E178" s="3" t="s">
        <v>83</v>
      </c>
      <c r="F178" s="9">
        <v>3099</v>
      </c>
      <c r="G178" s="9">
        <v>694</v>
      </c>
      <c r="H178" s="9">
        <v>171</v>
      </c>
      <c r="I178" s="9">
        <v>43386</v>
      </c>
      <c r="J178" s="9">
        <v>42921</v>
      </c>
      <c r="K178" s="9">
        <v>52</v>
      </c>
      <c r="L178" s="4" t="s">
        <v>26</v>
      </c>
      <c r="M178" s="11" t="s">
        <v>603</v>
      </c>
      <c r="N178" t="s">
        <v>603</v>
      </c>
      <c r="O178" s="13" t="s">
        <v>27</v>
      </c>
    </row>
    <row r="179" spans="1:15" ht="14.25" customHeight="1" x14ac:dyDescent="0.3">
      <c r="A179" s="3" t="s">
        <v>364</v>
      </c>
      <c r="B179" s="3" t="s">
        <v>29</v>
      </c>
      <c r="C179" s="8" t="s">
        <v>194</v>
      </c>
      <c r="D179" s="3" t="s">
        <v>69</v>
      </c>
      <c r="E179" s="3" t="s">
        <v>80</v>
      </c>
      <c r="F179" s="9">
        <v>129</v>
      </c>
      <c r="G179" s="9">
        <v>643</v>
      </c>
      <c r="H179" s="9">
        <v>136</v>
      </c>
      <c r="I179" s="9">
        <v>1290</v>
      </c>
      <c r="J179" s="9">
        <v>839</v>
      </c>
      <c r="K179" s="9">
        <v>238</v>
      </c>
      <c r="L179" s="4" t="s">
        <v>26</v>
      </c>
      <c r="M179" s="11" t="s">
        <v>603</v>
      </c>
      <c r="N179" t="s">
        <v>603</v>
      </c>
      <c r="O179" s="13" t="s">
        <v>34</v>
      </c>
    </row>
    <row r="180" spans="1:15" ht="14.25" customHeight="1" x14ac:dyDescent="0.3">
      <c r="A180" s="3" t="s">
        <v>365</v>
      </c>
      <c r="B180" s="3" t="s">
        <v>39</v>
      </c>
      <c r="C180" s="8" t="s">
        <v>303</v>
      </c>
      <c r="D180" s="3" t="s">
        <v>41</v>
      </c>
      <c r="E180" s="3" t="s">
        <v>42</v>
      </c>
      <c r="F180" s="9">
        <v>3796</v>
      </c>
      <c r="G180" s="9">
        <v>667</v>
      </c>
      <c r="H180" s="9">
        <v>395</v>
      </c>
      <c r="I180" s="9">
        <v>64532</v>
      </c>
      <c r="J180" s="9">
        <v>63550</v>
      </c>
      <c r="K180" s="9">
        <v>292</v>
      </c>
      <c r="L180" s="4" t="s">
        <v>26</v>
      </c>
      <c r="M180" s="11" t="s">
        <v>603</v>
      </c>
      <c r="N180" t="s">
        <v>603</v>
      </c>
      <c r="O180" s="13" t="s">
        <v>603</v>
      </c>
    </row>
    <row r="181" spans="1:15" ht="14.25" customHeight="1" x14ac:dyDescent="0.3">
      <c r="A181" s="3" t="s">
        <v>366</v>
      </c>
      <c r="B181" s="3" t="s">
        <v>23</v>
      </c>
      <c r="C181" s="8" t="s">
        <v>348</v>
      </c>
      <c r="D181" s="3" t="s">
        <v>20</v>
      </c>
      <c r="E181" s="3" t="s">
        <v>98</v>
      </c>
      <c r="F181" s="9">
        <v>3711</v>
      </c>
      <c r="G181" s="9">
        <v>352</v>
      </c>
      <c r="H181" s="9">
        <v>290</v>
      </c>
      <c r="I181" s="9">
        <v>48243</v>
      </c>
      <c r="J181" s="9">
        <v>47579</v>
      </c>
      <c r="K181" s="9">
        <v>11</v>
      </c>
      <c r="L181" s="4" t="s">
        <v>26</v>
      </c>
      <c r="M181" s="11" t="s">
        <v>603</v>
      </c>
      <c r="N181" t="s">
        <v>603</v>
      </c>
      <c r="O181" s="13" t="s">
        <v>17</v>
      </c>
    </row>
    <row r="182" spans="1:15" ht="14.25" customHeight="1" x14ac:dyDescent="0.3">
      <c r="A182" s="3" t="s">
        <v>367</v>
      </c>
      <c r="B182" s="3" t="s">
        <v>23</v>
      </c>
      <c r="C182" s="8" t="s">
        <v>368</v>
      </c>
      <c r="D182" s="3" t="s">
        <v>47</v>
      </c>
      <c r="E182" s="3" t="s">
        <v>48</v>
      </c>
      <c r="F182" s="9">
        <v>606</v>
      </c>
      <c r="G182" s="9">
        <v>789</v>
      </c>
      <c r="H182" s="9">
        <v>470</v>
      </c>
      <c r="I182" s="9">
        <v>7878</v>
      </c>
      <c r="J182" s="9">
        <v>7389</v>
      </c>
      <c r="K182" s="9">
        <v>239</v>
      </c>
      <c r="L182" s="4" t="s">
        <v>33</v>
      </c>
      <c r="M182" s="11" t="s">
        <v>603</v>
      </c>
      <c r="N182" t="s">
        <v>603</v>
      </c>
      <c r="O182" s="13" t="s">
        <v>27</v>
      </c>
    </row>
    <row r="183" spans="1:15" ht="14.25" customHeight="1" x14ac:dyDescent="0.3">
      <c r="A183" s="3" t="s">
        <v>369</v>
      </c>
      <c r="B183" s="3" t="s">
        <v>39</v>
      </c>
      <c r="C183" s="8" t="s">
        <v>109</v>
      </c>
      <c r="D183" s="3" t="s">
        <v>47</v>
      </c>
      <c r="E183" s="3" t="s">
        <v>54</v>
      </c>
      <c r="F183" s="9">
        <v>4689</v>
      </c>
      <c r="G183" s="9">
        <v>134</v>
      </c>
      <c r="H183" s="9">
        <v>403</v>
      </c>
      <c r="I183" s="9">
        <v>51579</v>
      </c>
      <c r="J183" s="9">
        <v>50924</v>
      </c>
      <c r="K183" s="9">
        <v>173</v>
      </c>
      <c r="L183" s="4" t="s">
        <v>26</v>
      </c>
      <c r="M183" s="11" t="s">
        <v>603</v>
      </c>
      <c r="N183" t="s">
        <v>603</v>
      </c>
      <c r="O183" s="13" t="s">
        <v>34</v>
      </c>
    </row>
    <row r="184" spans="1:15" ht="14.25" customHeight="1" x14ac:dyDescent="0.3">
      <c r="A184" s="3" t="s">
        <v>370</v>
      </c>
      <c r="B184" s="3" t="s">
        <v>29</v>
      </c>
      <c r="C184" s="8" t="s">
        <v>371</v>
      </c>
      <c r="D184" s="3" t="s">
        <v>31</v>
      </c>
      <c r="E184" s="3" t="s">
        <v>32</v>
      </c>
      <c r="F184" s="9">
        <v>360</v>
      </c>
      <c r="G184" s="9">
        <v>590</v>
      </c>
      <c r="H184" s="9">
        <v>393</v>
      </c>
      <c r="I184" s="9">
        <v>4680</v>
      </c>
      <c r="J184" s="9">
        <v>4322</v>
      </c>
      <c r="K184" s="9">
        <v>208</v>
      </c>
      <c r="L184" s="4" t="s">
        <v>57</v>
      </c>
      <c r="M184" s="11" t="s">
        <v>603</v>
      </c>
      <c r="N184" t="s">
        <v>603</v>
      </c>
      <c r="O184" s="13" t="s">
        <v>21</v>
      </c>
    </row>
    <row r="185" spans="1:15" ht="14.25" customHeight="1" x14ac:dyDescent="0.3">
      <c r="A185" s="3" t="s">
        <v>372</v>
      </c>
      <c r="B185" s="3" t="s">
        <v>592</v>
      </c>
      <c r="C185" s="8" t="s">
        <v>373</v>
      </c>
      <c r="D185" s="3" t="s">
        <v>47</v>
      </c>
      <c r="E185" s="3" t="s">
        <v>596</v>
      </c>
      <c r="F185" s="9">
        <v>3215</v>
      </c>
      <c r="G185" s="9">
        <v>960</v>
      </c>
      <c r="H185" s="9">
        <v>202</v>
      </c>
      <c r="I185" s="9">
        <v>32150</v>
      </c>
      <c r="J185" s="9">
        <v>31404</v>
      </c>
      <c r="K185" s="9">
        <v>251</v>
      </c>
      <c r="L185" s="4" t="s">
        <v>33</v>
      </c>
      <c r="M185" s="11" t="s">
        <v>603</v>
      </c>
      <c r="N185" t="s">
        <v>603</v>
      </c>
      <c r="O185" s="13" t="s">
        <v>17</v>
      </c>
    </row>
    <row r="186" spans="1:15" ht="14.25" customHeight="1" x14ac:dyDescent="0.3">
      <c r="A186" s="3" t="s">
        <v>374</v>
      </c>
      <c r="B186" s="3" t="s">
        <v>29</v>
      </c>
      <c r="C186" s="8" t="s">
        <v>375</v>
      </c>
      <c r="D186" s="3" t="s">
        <v>41</v>
      </c>
      <c r="E186" s="3" t="s">
        <v>83</v>
      </c>
      <c r="F186" s="9">
        <v>4523</v>
      </c>
      <c r="G186" s="9">
        <v>61</v>
      </c>
      <c r="H186" s="9">
        <v>157</v>
      </c>
      <c r="I186" s="9">
        <v>49753</v>
      </c>
      <c r="J186" s="9">
        <v>49329</v>
      </c>
      <c r="K186" s="9">
        <v>71</v>
      </c>
      <c r="L186" s="4" t="s">
        <v>33</v>
      </c>
      <c r="M186" s="11" t="s">
        <v>603</v>
      </c>
      <c r="N186" t="s">
        <v>603</v>
      </c>
      <c r="O186" s="13" t="s">
        <v>603</v>
      </c>
    </row>
    <row r="187" spans="1:15" ht="14.25" customHeight="1" x14ac:dyDescent="0.3">
      <c r="A187" s="3" t="s">
        <v>376</v>
      </c>
      <c r="B187" s="3" t="s">
        <v>39</v>
      </c>
      <c r="C187" s="8" t="s">
        <v>334</v>
      </c>
      <c r="D187" s="3" t="s">
        <v>41</v>
      </c>
      <c r="E187" s="3" t="s">
        <v>42</v>
      </c>
      <c r="F187" s="9">
        <v>4292</v>
      </c>
      <c r="G187" s="9">
        <v>51</v>
      </c>
      <c r="H187" s="9">
        <v>392</v>
      </c>
      <c r="I187" s="9">
        <v>55796</v>
      </c>
      <c r="J187" s="9">
        <v>54826</v>
      </c>
      <c r="K187" s="9">
        <v>264</v>
      </c>
      <c r="L187" s="4" t="s">
        <v>33</v>
      </c>
      <c r="M187" s="11" t="s">
        <v>603</v>
      </c>
      <c r="N187" t="s">
        <v>603</v>
      </c>
      <c r="O187" s="13" t="s">
        <v>27</v>
      </c>
    </row>
    <row r="188" spans="1:15" ht="14.25" customHeight="1" x14ac:dyDescent="0.3">
      <c r="A188" s="3" t="s">
        <v>377</v>
      </c>
      <c r="B188" s="3" t="s">
        <v>592</v>
      </c>
      <c r="C188" s="8" t="s">
        <v>378</v>
      </c>
      <c r="D188" s="3" t="s">
        <v>16</v>
      </c>
      <c r="E188" s="3" t="s">
        <v>593</v>
      </c>
      <c r="F188" s="9">
        <v>1644</v>
      </c>
      <c r="G188" s="9">
        <v>546</v>
      </c>
      <c r="H188" s="9">
        <v>150</v>
      </c>
      <c r="I188" s="9">
        <v>27948</v>
      </c>
      <c r="J188" s="9">
        <v>27184</v>
      </c>
      <c r="K188" s="9">
        <v>300</v>
      </c>
      <c r="L188" s="4" t="s">
        <v>33</v>
      </c>
      <c r="M188" s="11" t="s">
        <v>603</v>
      </c>
      <c r="N188" t="s">
        <v>603</v>
      </c>
      <c r="O188" s="13" t="s">
        <v>27</v>
      </c>
    </row>
    <row r="189" spans="1:15" ht="14.25" customHeight="1" x14ac:dyDescent="0.3">
      <c r="A189" s="3" t="s">
        <v>379</v>
      </c>
      <c r="B189" s="3" t="s">
        <v>23</v>
      </c>
      <c r="C189" s="8" t="s">
        <v>214</v>
      </c>
      <c r="D189" s="3" t="s">
        <v>16</v>
      </c>
      <c r="E189" s="3" t="s">
        <v>25</v>
      </c>
      <c r="F189" s="9">
        <v>2728</v>
      </c>
      <c r="G189" s="9">
        <v>533</v>
      </c>
      <c r="H189" s="9">
        <v>215</v>
      </c>
      <c r="I189" s="9">
        <v>40920</v>
      </c>
      <c r="J189" s="9">
        <v>40816</v>
      </c>
      <c r="K189" s="9">
        <v>137</v>
      </c>
      <c r="L189" s="4" t="s">
        <v>57</v>
      </c>
      <c r="M189" s="11" t="s">
        <v>603</v>
      </c>
      <c r="N189" t="s">
        <v>603</v>
      </c>
      <c r="O189" s="13" t="s">
        <v>21</v>
      </c>
    </row>
    <row r="190" spans="1:15" ht="14.25" customHeight="1" x14ac:dyDescent="0.3">
      <c r="A190" s="3" t="s">
        <v>380</v>
      </c>
      <c r="B190" s="3" t="s">
        <v>39</v>
      </c>
      <c r="C190" s="8" t="s">
        <v>222</v>
      </c>
      <c r="D190" s="3" t="s">
        <v>16</v>
      </c>
      <c r="E190" s="3" t="s">
        <v>60</v>
      </c>
      <c r="F190" s="9">
        <v>3360</v>
      </c>
      <c r="G190" s="9">
        <v>525</v>
      </c>
      <c r="H190" s="9">
        <v>500</v>
      </c>
      <c r="I190" s="9">
        <v>60480</v>
      </c>
      <c r="J190" s="9">
        <v>59610</v>
      </c>
      <c r="K190" s="9">
        <v>192</v>
      </c>
      <c r="L190" s="4" t="s">
        <v>26</v>
      </c>
      <c r="M190" s="11" t="s">
        <v>603</v>
      </c>
      <c r="N190" t="s">
        <v>603</v>
      </c>
      <c r="O190" s="13" t="s">
        <v>17</v>
      </c>
    </row>
    <row r="191" spans="1:15" ht="14.25" customHeight="1" x14ac:dyDescent="0.3">
      <c r="A191" s="3" t="s">
        <v>381</v>
      </c>
      <c r="B191" s="3" t="s">
        <v>23</v>
      </c>
      <c r="C191" s="8" t="s">
        <v>382</v>
      </c>
      <c r="D191" s="3" t="s">
        <v>20</v>
      </c>
      <c r="E191" s="3" t="s">
        <v>98</v>
      </c>
      <c r="F191" s="9">
        <v>1963</v>
      </c>
      <c r="G191" s="9">
        <v>213</v>
      </c>
      <c r="H191" s="9">
        <v>19</v>
      </c>
      <c r="I191" s="9">
        <v>39260</v>
      </c>
      <c r="J191" s="9">
        <v>38771</v>
      </c>
      <c r="K191" s="9">
        <v>145</v>
      </c>
      <c r="L191" s="4" t="s">
        <v>57</v>
      </c>
      <c r="M191" s="11" t="s">
        <v>603</v>
      </c>
      <c r="N191" t="s">
        <v>603</v>
      </c>
      <c r="O191" s="13" t="s">
        <v>603</v>
      </c>
    </row>
    <row r="192" spans="1:15" ht="14.25" customHeight="1" x14ac:dyDescent="0.3">
      <c r="A192" s="3" t="s">
        <v>383</v>
      </c>
      <c r="B192" s="3" t="s">
        <v>23</v>
      </c>
      <c r="C192" s="8" t="s">
        <v>348</v>
      </c>
      <c r="D192" s="3" t="s">
        <v>31</v>
      </c>
      <c r="E192" s="3" t="s">
        <v>145</v>
      </c>
      <c r="F192" s="9">
        <v>4285</v>
      </c>
      <c r="G192" s="9">
        <v>886</v>
      </c>
      <c r="H192" s="9">
        <v>376</v>
      </c>
      <c r="I192" s="9">
        <v>55705</v>
      </c>
      <c r="J192" s="9">
        <v>55556</v>
      </c>
      <c r="K192" s="9">
        <v>51</v>
      </c>
      <c r="L192" s="4" t="s">
        <v>57</v>
      </c>
      <c r="M192" s="11" t="s">
        <v>603</v>
      </c>
      <c r="N192" t="s">
        <v>603</v>
      </c>
      <c r="O192" s="13" t="s">
        <v>27</v>
      </c>
    </row>
    <row r="193" spans="1:15" ht="14.25" customHeight="1" x14ac:dyDescent="0.3">
      <c r="A193" s="3" t="s">
        <v>384</v>
      </c>
      <c r="B193" s="3" t="s">
        <v>29</v>
      </c>
      <c r="C193" s="8" t="s">
        <v>385</v>
      </c>
      <c r="D193" s="3" t="s">
        <v>69</v>
      </c>
      <c r="E193" s="3" t="s">
        <v>80</v>
      </c>
      <c r="F193" s="9">
        <v>1176</v>
      </c>
      <c r="G193" s="9">
        <v>464</v>
      </c>
      <c r="H193" s="9">
        <v>394</v>
      </c>
      <c r="I193" s="9">
        <v>14112</v>
      </c>
      <c r="J193" s="9">
        <v>13588</v>
      </c>
      <c r="K193" s="9">
        <v>272</v>
      </c>
      <c r="L193" s="4" t="s">
        <v>33</v>
      </c>
      <c r="M193" s="11" t="s">
        <v>603</v>
      </c>
      <c r="N193" t="s">
        <v>603</v>
      </c>
      <c r="O193" s="13" t="s">
        <v>603</v>
      </c>
    </row>
    <row r="194" spans="1:15" ht="14.25" customHeight="1" x14ac:dyDescent="0.3">
      <c r="A194" s="3" t="s">
        <v>386</v>
      </c>
      <c r="B194" s="3" t="s">
        <v>592</v>
      </c>
      <c r="C194" s="8" t="s">
        <v>387</v>
      </c>
      <c r="D194" s="3" t="s">
        <v>47</v>
      </c>
      <c r="E194" s="3" t="s">
        <v>596</v>
      </c>
      <c r="F194" s="9">
        <v>4858</v>
      </c>
      <c r="G194" s="9">
        <v>317</v>
      </c>
      <c r="H194" s="9">
        <v>129</v>
      </c>
      <c r="I194" s="9">
        <v>53438</v>
      </c>
      <c r="J194" s="9">
        <v>52687</v>
      </c>
      <c r="K194" s="9">
        <v>223</v>
      </c>
      <c r="L194" s="4" t="s">
        <v>33</v>
      </c>
      <c r="M194" s="11" t="s">
        <v>603</v>
      </c>
      <c r="N194" t="s">
        <v>603</v>
      </c>
      <c r="O194" s="13" t="s">
        <v>27</v>
      </c>
    </row>
    <row r="195" spans="1:15" ht="14.25" customHeight="1" x14ac:dyDescent="0.3">
      <c r="A195" s="3" t="s">
        <v>388</v>
      </c>
      <c r="B195" s="3" t="s">
        <v>23</v>
      </c>
      <c r="C195" s="8" t="s">
        <v>262</v>
      </c>
      <c r="D195" s="3" t="s">
        <v>31</v>
      </c>
      <c r="E195" s="3" t="s">
        <v>145</v>
      </c>
      <c r="F195" s="9">
        <v>4350</v>
      </c>
      <c r="G195" s="9">
        <v>771</v>
      </c>
      <c r="H195" s="9">
        <v>7</v>
      </c>
      <c r="I195" s="9">
        <v>60900</v>
      </c>
      <c r="J195" s="9">
        <v>60592</v>
      </c>
      <c r="K195" s="9">
        <v>195</v>
      </c>
      <c r="L195" s="4" t="s">
        <v>33</v>
      </c>
      <c r="M195" s="11" t="s">
        <v>603</v>
      </c>
      <c r="N195" t="s">
        <v>603</v>
      </c>
      <c r="O195" s="13" t="s">
        <v>17</v>
      </c>
    </row>
    <row r="196" spans="1:15" ht="14.25" customHeight="1" x14ac:dyDescent="0.3">
      <c r="A196" s="3" t="s">
        <v>389</v>
      </c>
      <c r="B196" s="3" t="s">
        <v>29</v>
      </c>
      <c r="C196" s="8" t="s">
        <v>390</v>
      </c>
      <c r="D196" s="3" t="s">
        <v>41</v>
      </c>
      <c r="E196" s="3" t="s">
        <v>83</v>
      </c>
      <c r="F196" s="9">
        <v>914</v>
      </c>
      <c r="G196" s="9">
        <v>464</v>
      </c>
      <c r="H196" s="9">
        <v>246</v>
      </c>
      <c r="I196" s="9">
        <v>11882</v>
      </c>
      <c r="J196" s="9">
        <v>11500</v>
      </c>
      <c r="K196" s="9">
        <v>282</v>
      </c>
      <c r="L196" s="4" t="s">
        <v>57</v>
      </c>
      <c r="M196" s="100" t="s">
        <v>26</v>
      </c>
      <c r="N196" s="100" t="s">
        <v>601</v>
      </c>
      <c r="O196" s="13" t="s">
        <v>34</v>
      </c>
    </row>
    <row r="197" spans="1:15" ht="14.25" customHeight="1" x14ac:dyDescent="0.3">
      <c r="A197" s="3" t="s">
        <v>391</v>
      </c>
      <c r="B197" s="3" t="s">
        <v>29</v>
      </c>
      <c r="C197" s="8" t="s">
        <v>392</v>
      </c>
      <c r="D197" s="3" t="s">
        <v>20</v>
      </c>
      <c r="E197" s="3" t="s">
        <v>107</v>
      </c>
      <c r="F197" s="9">
        <v>1813</v>
      </c>
      <c r="G197" s="9">
        <v>623</v>
      </c>
      <c r="H197" s="9">
        <v>72</v>
      </c>
      <c r="I197" s="9">
        <v>19943</v>
      </c>
      <c r="J197" s="9">
        <v>18959</v>
      </c>
      <c r="K197" s="9">
        <v>85</v>
      </c>
      <c r="L197" s="4" t="s">
        <v>33</v>
      </c>
      <c r="M197" s="11" t="s">
        <v>603</v>
      </c>
      <c r="N197" t="s">
        <v>603</v>
      </c>
      <c r="O197" s="13" t="s">
        <v>27</v>
      </c>
    </row>
    <row r="198" spans="1:15" ht="14.25" customHeight="1" x14ac:dyDescent="0.3">
      <c r="A198" s="3" t="s">
        <v>393</v>
      </c>
      <c r="B198" s="3" t="s">
        <v>592</v>
      </c>
      <c r="C198" s="8" t="s">
        <v>327</v>
      </c>
      <c r="D198" s="3" t="s">
        <v>16</v>
      </c>
      <c r="E198" s="3" t="s">
        <v>593</v>
      </c>
      <c r="F198" s="9">
        <v>4782</v>
      </c>
      <c r="G198" s="9">
        <v>721</v>
      </c>
      <c r="H198" s="9">
        <v>82</v>
      </c>
      <c r="I198" s="9">
        <v>86076</v>
      </c>
      <c r="J198" s="9">
        <v>85339</v>
      </c>
      <c r="K198" s="9">
        <v>19</v>
      </c>
      <c r="L198" s="4" t="s">
        <v>33</v>
      </c>
      <c r="M198" s="11" t="s">
        <v>603</v>
      </c>
      <c r="N198" t="s">
        <v>603</v>
      </c>
      <c r="O198" s="13" t="s">
        <v>17</v>
      </c>
    </row>
    <row r="199" spans="1:15" ht="14.25" customHeight="1" x14ac:dyDescent="0.3">
      <c r="A199" s="3" t="s">
        <v>394</v>
      </c>
      <c r="B199" s="3" t="s">
        <v>592</v>
      </c>
      <c r="C199" s="8" t="s">
        <v>395</v>
      </c>
      <c r="D199" s="3" t="s">
        <v>47</v>
      </c>
      <c r="E199" s="3" t="s">
        <v>596</v>
      </c>
      <c r="F199" s="9">
        <v>1048</v>
      </c>
      <c r="G199" s="9">
        <v>374</v>
      </c>
      <c r="H199" s="9">
        <v>450</v>
      </c>
      <c r="I199" s="9">
        <v>9432</v>
      </c>
      <c r="J199" s="9">
        <v>8882</v>
      </c>
      <c r="K199" s="9">
        <v>158</v>
      </c>
      <c r="L199" s="4" t="s">
        <v>26</v>
      </c>
      <c r="M199" s="11" t="s">
        <v>603</v>
      </c>
      <c r="N199" t="s">
        <v>603</v>
      </c>
      <c r="O199" s="13" t="s">
        <v>27</v>
      </c>
    </row>
    <row r="200" spans="1:15" ht="14.25" customHeight="1" x14ac:dyDescent="0.3">
      <c r="A200" s="3" t="s">
        <v>396</v>
      </c>
      <c r="B200" s="3" t="s">
        <v>23</v>
      </c>
      <c r="C200" s="8" t="s">
        <v>115</v>
      </c>
      <c r="D200" s="3" t="s">
        <v>41</v>
      </c>
      <c r="E200" s="3" t="s">
        <v>63</v>
      </c>
      <c r="F200" s="9">
        <v>2509</v>
      </c>
      <c r="G200" s="9">
        <v>324</v>
      </c>
      <c r="H200" s="9">
        <v>171</v>
      </c>
      <c r="I200" s="9">
        <v>35126</v>
      </c>
      <c r="J200" s="9">
        <v>34685</v>
      </c>
      <c r="K200" s="9">
        <v>277</v>
      </c>
      <c r="L200" s="4" t="s">
        <v>26</v>
      </c>
      <c r="M200" s="11" t="s">
        <v>603</v>
      </c>
      <c r="N200" t="s">
        <v>603</v>
      </c>
      <c r="O200" s="13" t="s">
        <v>21</v>
      </c>
    </row>
    <row r="201" spans="1:15" ht="14.25" customHeight="1" x14ac:dyDescent="0.3">
      <c r="A201" s="3" t="s">
        <v>397</v>
      </c>
      <c r="B201" s="3" t="s">
        <v>39</v>
      </c>
      <c r="C201" s="8" t="s">
        <v>398</v>
      </c>
      <c r="D201" s="3" t="s">
        <v>16</v>
      </c>
      <c r="E201" s="3" t="s">
        <v>60</v>
      </c>
      <c r="F201" s="9">
        <v>3718</v>
      </c>
      <c r="G201" s="9">
        <v>385</v>
      </c>
      <c r="H201" s="9">
        <v>310</v>
      </c>
      <c r="I201" s="9">
        <v>70642</v>
      </c>
      <c r="J201" s="9">
        <v>69749</v>
      </c>
      <c r="K201" s="9">
        <v>233</v>
      </c>
      <c r="L201" s="4" t="s">
        <v>26</v>
      </c>
      <c r="M201" s="11" t="s">
        <v>603</v>
      </c>
      <c r="N201" t="s">
        <v>603</v>
      </c>
      <c r="O201" s="13" t="s">
        <v>21</v>
      </c>
    </row>
    <row r="202" spans="1:15" ht="14.25" customHeight="1" x14ac:dyDescent="0.3">
      <c r="A202" s="3" t="s">
        <v>399</v>
      </c>
      <c r="B202" s="3" t="s">
        <v>592</v>
      </c>
      <c r="C202" s="8" t="s">
        <v>400</v>
      </c>
      <c r="D202" s="3" t="s">
        <v>16</v>
      </c>
      <c r="E202" s="3" t="s">
        <v>593</v>
      </c>
      <c r="F202" s="9">
        <v>802</v>
      </c>
      <c r="G202" s="9">
        <v>262</v>
      </c>
      <c r="H202" s="9">
        <v>244</v>
      </c>
      <c r="I202" s="9">
        <v>14436</v>
      </c>
      <c r="J202" s="9">
        <v>14280</v>
      </c>
      <c r="K202" s="9">
        <v>49</v>
      </c>
      <c r="L202" s="4" t="s">
        <v>33</v>
      </c>
      <c r="M202" s="11" t="s">
        <v>603</v>
      </c>
      <c r="N202" t="s">
        <v>603</v>
      </c>
      <c r="O202" s="13" t="s">
        <v>17</v>
      </c>
    </row>
    <row r="203" spans="1:15" ht="14.25" customHeight="1" x14ac:dyDescent="0.3">
      <c r="A203" s="3" t="s">
        <v>401</v>
      </c>
      <c r="B203" s="3" t="s">
        <v>39</v>
      </c>
      <c r="C203" s="8" t="s">
        <v>402</v>
      </c>
      <c r="D203" s="3" t="s">
        <v>47</v>
      </c>
      <c r="E203" s="3" t="s">
        <v>54</v>
      </c>
      <c r="F203" s="9">
        <v>1871</v>
      </c>
      <c r="G203" s="9">
        <v>252</v>
      </c>
      <c r="H203" s="9">
        <v>335</v>
      </c>
      <c r="I203" s="9">
        <v>29936</v>
      </c>
      <c r="J203" s="9">
        <v>29576</v>
      </c>
      <c r="K203" s="9">
        <v>288</v>
      </c>
      <c r="L203" s="4" t="s">
        <v>33</v>
      </c>
      <c r="M203" s="11" t="s">
        <v>603</v>
      </c>
      <c r="N203" t="s">
        <v>603</v>
      </c>
      <c r="O203" s="13" t="s">
        <v>27</v>
      </c>
    </row>
    <row r="204" spans="1:15" ht="14.25" customHeight="1" x14ac:dyDescent="0.3">
      <c r="A204" s="3" t="s">
        <v>403</v>
      </c>
      <c r="B204" s="3" t="s">
        <v>29</v>
      </c>
      <c r="C204" s="8" t="s">
        <v>404</v>
      </c>
      <c r="D204" s="3" t="s">
        <v>41</v>
      </c>
      <c r="E204" s="3" t="s">
        <v>83</v>
      </c>
      <c r="F204" s="9">
        <v>3773</v>
      </c>
      <c r="G204" s="9">
        <v>299</v>
      </c>
      <c r="H204" s="9">
        <v>38</v>
      </c>
      <c r="I204" s="9">
        <v>71687</v>
      </c>
      <c r="J204" s="9">
        <v>71447</v>
      </c>
      <c r="K204" s="9">
        <v>286</v>
      </c>
      <c r="L204" s="4" t="s">
        <v>57</v>
      </c>
      <c r="M204" s="11" t="s">
        <v>603</v>
      </c>
      <c r="N204" t="s">
        <v>603</v>
      </c>
      <c r="O204" s="13" t="s">
        <v>17</v>
      </c>
    </row>
    <row r="205" spans="1:15" ht="14.25" customHeight="1" x14ac:dyDescent="0.3">
      <c r="A205" s="3" t="s">
        <v>405</v>
      </c>
      <c r="B205" s="3" t="s">
        <v>29</v>
      </c>
      <c r="C205" s="8" t="s">
        <v>322</v>
      </c>
      <c r="D205" s="3" t="s">
        <v>41</v>
      </c>
      <c r="E205" s="3" t="s">
        <v>83</v>
      </c>
      <c r="F205" s="9">
        <v>2234</v>
      </c>
      <c r="G205" s="9">
        <v>653</v>
      </c>
      <c r="H205" s="9">
        <v>432</v>
      </c>
      <c r="I205" s="9">
        <v>11170</v>
      </c>
      <c r="J205" s="9">
        <v>10569</v>
      </c>
      <c r="K205" s="9">
        <v>198</v>
      </c>
      <c r="L205" s="4" t="s">
        <v>57</v>
      </c>
      <c r="M205" s="11" t="s">
        <v>603</v>
      </c>
      <c r="N205" t="s">
        <v>603</v>
      </c>
      <c r="O205" s="13" t="s">
        <v>27</v>
      </c>
    </row>
    <row r="206" spans="1:15" ht="14.25" customHeight="1" x14ac:dyDescent="0.3">
      <c r="A206" s="3" t="s">
        <v>406</v>
      </c>
      <c r="B206" s="3" t="s">
        <v>592</v>
      </c>
      <c r="C206" s="8" t="s">
        <v>293</v>
      </c>
      <c r="D206" s="3" t="s">
        <v>69</v>
      </c>
      <c r="E206" s="3" t="s">
        <v>597</v>
      </c>
      <c r="F206" s="9">
        <v>3820</v>
      </c>
      <c r="G206" s="9">
        <v>697</v>
      </c>
      <c r="H206" s="9">
        <v>268</v>
      </c>
      <c r="I206" s="9">
        <v>45840</v>
      </c>
      <c r="J206" s="9">
        <v>45631</v>
      </c>
      <c r="K206" s="9">
        <v>171</v>
      </c>
      <c r="L206" s="4" t="s">
        <v>26</v>
      </c>
      <c r="M206" s="100" t="s">
        <v>587</v>
      </c>
      <c r="N206" t="s">
        <v>603</v>
      </c>
      <c r="O206" s="13" t="s">
        <v>34</v>
      </c>
    </row>
    <row r="207" spans="1:15" ht="14.25" customHeight="1" x14ac:dyDescent="0.3">
      <c r="A207" s="3" t="s">
        <v>407</v>
      </c>
      <c r="B207" s="3" t="s">
        <v>592</v>
      </c>
      <c r="C207" s="8" t="s">
        <v>44</v>
      </c>
      <c r="D207" s="3" t="s">
        <v>20</v>
      </c>
      <c r="E207" s="3" t="s">
        <v>594</v>
      </c>
      <c r="F207" s="9">
        <v>941</v>
      </c>
      <c r="G207" s="9">
        <v>121</v>
      </c>
      <c r="H207" s="9">
        <v>458</v>
      </c>
      <c r="I207" s="9">
        <v>14115</v>
      </c>
      <c r="J207" s="9">
        <v>13838</v>
      </c>
      <c r="K207" s="9">
        <v>87</v>
      </c>
      <c r="L207" s="4" t="s">
        <v>33</v>
      </c>
      <c r="M207" s="11" t="s">
        <v>603</v>
      </c>
      <c r="N207" t="s">
        <v>603</v>
      </c>
      <c r="O207" s="13" t="s">
        <v>17</v>
      </c>
    </row>
    <row r="208" spans="1:15" ht="14.25" customHeight="1" x14ac:dyDescent="0.3">
      <c r="A208" s="3" t="s">
        <v>408</v>
      </c>
      <c r="B208" s="3" t="s">
        <v>592</v>
      </c>
      <c r="C208" s="8" t="s">
        <v>409</v>
      </c>
      <c r="D208" s="3" t="s">
        <v>41</v>
      </c>
      <c r="E208" s="3" t="s">
        <v>595</v>
      </c>
      <c r="F208" s="9">
        <v>4274</v>
      </c>
      <c r="G208" s="9">
        <v>340</v>
      </c>
      <c r="H208" s="9">
        <v>281</v>
      </c>
      <c r="I208" s="9">
        <v>34192</v>
      </c>
      <c r="J208" s="9">
        <v>33446</v>
      </c>
      <c r="K208" s="9">
        <v>129</v>
      </c>
      <c r="L208" s="4" t="s">
        <v>26</v>
      </c>
      <c r="M208" s="100" t="s">
        <v>587</v>
      </c>
      <c r="N208" t="s">
        <v>603</v>
      </c>
      <c r="O208" s="13" t="s">
        <v>27</v>
      </c>
    </row>
    <row r="209" spans="1:15" ht="14.25" customHeight="1" x14ac:dyDescent="0.3">
      <c r="A209" s="3" t="s">
        <v>410</v>
      </c>
      <c r="B209" s="3" t="s">
        <v>23</v>
      </c>
      <c r="C209" s="8" t="s">
        <v>44</v>
      </c>
      <c r="D209" s="3" t="s">
        <v>69</v>
      </c>
      <c r="E209" s="3" t="s">
        <v>207</v>
      </c>
      <c r="F209" s="9">
        <v>2949</v>
      </c>
      <c r="G209" s="9">
        <v>476</v>
      </c>
      <c r="H209" s="9">
        <v>403</v>
      </c>
      <c r="I209" s="9">
        <v>44235</v>
      </c>
      <c r="J209" s="9">
        <v>43705</v>
      </c>
      <c r="K209" s="9">
        <v>135</v>
      </c>
      <c r="L209" s="4" t="s">
        <v>26</v>
      </c>
      <c r="M209" s="11" t="s">
        <v>603</v>
      </c>
      <c r="N209" t="s">
        <v>603</v>
      </c>
      <c r="O209" s="13" t="s">
        <v>21</v>
      </c>
    </row>
    <row r="210" spans="1:15" ht="14.25" customHeight="1" x14ac:dyDescent="0.3">
      <c r="A210" s="3" t="s">
        <v>411</v>
      </c>
      <c r="B210" s="3" t="s">
        <v>592</v>
      </c>
      <c r="C210" s="8" t="s">
        <v>412</v>
      </c>
      <c r="D210" s="3" t="s">
        <v>69</v>
      </c>
      <c r="E210" s="3" t="s">
        <v>597</v>
      </c>
      <c r="F210" s="9">
        <v>3160</v>
      </c>
      <c r="G210" s="9">
        <v>204</v>
      </c>
      <c r="H210" s="9">
        <v>297</v>
      </c>
      <c r="I210" s="9">
        <v>44240</v>
      </c>
      <c r="J210" s="9">
        <v>43666</v>
      </c>
      <c r="K210" s="9">
        <v>49</v>
      </c>
      <c r="L210" s="4" t="s">
        <v>57</v>
      </c>
      <c r="M210" s="100" t="s">
        <v>601</v>
      </c>
      <c r="N210" t="s">
        <v>603</v>
      </c>
      <c r="O210" s="13" t="s">
        <v>34</v>
      </c>
    </row>
    <row r="211" spans="1:15" ht="14.25" customHeight="1" x14ac:dyDescent="0.3">
      <c r="A211" s="3" t="s">
        <v>413</v>
      </c>
      <c r="B211" s="3" t="s">
        <v>23</v>
      </c>
      <c r="C211" s="8" t="s">
        <v>336</v>
      </c>
      <c r="D211" s="3" t="s">
        <v>47</v>
      </c>
      <c r="E211" s="3" t="s">
        <v>48</v>
      </c>
      <c r="F211" s="9">
        <v>257</v>
      </c>
      <c r="G211" s="9">
        <v>966</v>
      </c>
      <c r="H211" s="9">
        <v>398</v>
      </c>
      <c r="I211" s="9">
        <v>3341</v>
      </c>
      <c r="J211" s="9">
        <v>2753</v>
      </c>
      <c r="K211" s="9">
        <v>287</v>
      </c>
      <c r="L211" s="4" t="s">
        <v>57</v>
      </c>
      <c r="M211" s="11" t="s">
        <v>603</v>
      </c>
      <c r="N211" t="s">
        <v>603</v>
      </c>
      <c r="O211" s="13" t="s">
        <v>17</v>
      </c>
    </row>
    <row r="212" spans="1:15" ht="14.25" customHeight="1" x14ac:dyDescent="0.3">
      <c r="A212" s="3" t="s">
        <v>414</v>
      </c>
      <c r="B212" s="3" t="s">
        <v>592</v>
      </c>
      <c r="C212" s="8" t="s">
        <v>415</v>
      </c>
      <c r="D212" s="3" t="s">
        <v>41</v>
      </c>
      <c r="E212" s="3" t="s">
        <v>595</v>
      </c>
      <c r="F212" s="9">
        <v>2120</v>
      </c>
      <c r="G212" s="9">
        <v>38</v>
      </c>
      <c r="H212" s="9">
        <v>212</v>
      </c>
      <c r="I212" s="9">
        <v>12720</v>
      </c>
      <c r="J212" s="9">
        <v>12564</v>
      </c>
      <c r="K212" s="9">
        <v>21</v>
      </c>
      <c r="L212" s="4" t="s">
        <v>57</v>
      </c>
      <c r="M212" s="11" t="s">
        <v>603</v>
      </c>
      <c r="N212" t="s">
        <v>603</v>
      </c>
      <c r="O212" s="13" t="s">
        <v>34</v>
      </c>
    </row>
    <row r="213" spans="1:15" ht="14.25" customHeight="1" x14ac:dyDescent="0.3">
      <c r="A213" s="3" t="s">
        <v>416</v>
      </c>
      <c r="B213" s="3" t="s">
        <v>23</v>
      </c>
      <c r="C213" s="8" t="s">
        <v>186</v>
      </c>
      <c r="D213" s="3" t="s">
        <v>69</v>
      </c>
      <c r="E213" s="3" t="s">
        <v>207</v>
      </c>
      <c r="F213" s="9">
        <v>3874</v>
      </c>
      <c r="G213" s="9">
        <v>884</v>
      </c>
      <c r="H213" s="9">
        <v>19</v>
      </c>
      <c r="I213" s="9">
        <v>38740</v>
      </c>
      <c r="J213" s="9">
        <v>38552</v>
      </c>
      <c r="K213" s="9">
        <v>219</v>
      </c>
      <c r="L213" s="4" t="s">
        <v>26</v>
      </c>
      <c r="M213" s="11" t="s">
        <v>603</v>
      </c>
      <c r="N213" t="s">
        <v>603</v>
      </c>
      <c r="O213" s="13" t="s">
        <v>21</v>
      </c>
    </row>
    <row r="214" spans="1:15" ht="14.25" customHeight="1" x14ac:dyDescent="0.3">
      <c r="A214" s="3" t="s">
        <v>417</v>
      </c>
      <c r="B214" s="3" t="s">
        <v>39</v>
      </c>
      <c r="C214" s="8" t="s">
        <v>418</v>
      </c>
      <c r="D214" s="3" t="s">
        <v>41</v>
      </c>
      <c r="E214" s="3" t="s">
        <v>42</v>
      </c>
      <c r="F214" s="9">
        <v>2696</v>
      </c>
      <c r="G214" s="9">
        <v>628</v>
      </c>
      <c r="H214" s="9">
        <v>443</v>
      </c>
      <c r="I214" s="9">
        <v>45832</v>
      </c>
      <c r="J214" s="9">
        <v>45632</v>
      </c>
      <c r="K214" s="9">
        <v>248</v>
      </c>
      <c r="L214" s="4" t="s">
        <v>33</v>
      </c>
      <c r="M214" s="11" t="s">
        <v>603</v>
      </c>
      <c r="N214" t="s">
        <v>603</v>
      </c>
      <c r="O214" s="13" t="s">
        <v>34</v>
      </c>
    </row>
    <row r="215" spans="1:15" ht="14.25" customHeight="1" x14ac:dyDescent="0.3">
      <c r="A215" s="3" t="s">
        <v>419</v>
      </c>
      <c r="B215" s="3" t="s">
        <v>29</v>
      </c>
      <c r="C215" s="8" t="s">
        <v>15</v>
      </c>
      <c r="D215" s="3" t="s">
        <v>47</v>
      </c>
      <c r="E215" s="3" t="s">
        <v>204</v>
      </c>
      <c r="F215" s="9">
        <v>521</v>
      </c>
      <c r="G215" s="9">
        <v>746</v>
      </c>
      <c r="H215" s="9">
        <v>315</v>
      </c>
      <c r="I215" s="9">
        <v>4168</v>
      </c>
      <c r="J215" s="9">
        <v>3399</v>
      </c>
      <c r="K215" s="9">
        <v>282</v>
      </c>
      <c r="L215" s="4" t="s">
        <v>57</v>
      </c>
      <c r="M215" s="11" t="s">
        <v>603</v>
      </c>
      <c r="N215" t="s">
        <v>603</v>
      </c>
      <c r="O215" s="13" t="s">
        <v>21</v>
      </c>
    </row>
    <row r="216" spans="1:15" ht="14.25" customHeight="1" x14ac:dyDescent="0.3">
      <c r="A216" s="3" t="s">
        <v>420</v>
      </c>
      <c r="B216" s="3" t="s">
        <v>39</v>
      </c>
      <c r="C216" s="8" t="s">
        <v>421</v>
      </c>
      <c r="D216" s="3" t="s">
        <v>47</v>
      </c>
      <c r="E216" s="3" t="s">
        <v>54</v>
      </c>
      <c r="F216" s="9">
        <v>4872</v>
      </c>
      <c r="G216" s="9">
        <v>925</v>
      </c>
      <c r="H216" s="9">
        <v>176</v>
      </c>
      <c r="I216" s="9">
        <v>82824</v>
      </c>
      <c r="J216" s="9">
        <v>82543</v>
      </c>
      <c r="K216" s="9">
        <v>89</v>
      </c>
      <c r="L216" s="4" t="s">
        <v>33</v>
      </c>
      <c r="M216" s="11" t="s">
        <v>603</v>
      </c>
      <c r="N216" t="s">
        <v>603</v>
      </c>
      <c r="O216" s="13" t="s">
        <v>21</v>
      </c>
    </row>
    <row r="217" spans="1:15" ht="14.25" customHeight="1" x14ac:dyDescent="0.3">
      <c r="A217" s="3" t="s">
        <v>422</v>
      </c>
      <c r="B217" s="3" t="s">
        <v>23</v>
      </c>
      <c r="C217" s="8" t="s">
        <v>256</v>
      </c>
      <c r="D217" s="3" t="s">
        <v>31</v>
      </c>
      <c r="E217" s="3" t="s">
        <v>145</v>
      </c>
      <c r="F217" s="9">
        <v>1509</v>
      </c>
      <c r="G217" s="9">
        <v>88</v>
      </c>
      <c r="H217" s="9">
        <v>163</v>
      </c>
      <c r="I217" s="9">
        <v>30180</v>
      </c>
      <c r="J217" s="9">
        <v>29689</v>
      </c>
      <c r="K217" s="9">
        <v>119</v>
      </c>
      <c r="L217" s="4" t="s">
        <v>33</v>
      </c>
      <c r="M217" s="11" t="s">
        <v>603</v>
      </c>
      <c r="N217" t="s">
        <v>603</v>
      </c>
      <c r="O217" s="13" t="s">
        <v>21</v>
      </c>
    </row>
    <row r="218" spans="1:15" ht="14.25" customHeight="1" x14ac:dyDescent="0.3">
      <c r="A218" s="3" t="s">
        <v>423</v>
      </c>
      <c r="B218" s="3" t="s">
        <v>39</v>
      </c>
      <c r="C218" s="8" t="s">
        <v>348</v>
      </c>
      <c r="D218" s="3" t="s">
        <v>47</v>
      </c>
      <c r="E218" s="3" t="s">
        <v>54</v>
      </c>
      <c r="F218" s="9">
        <v>4606</v>
      </c>
      <c r="G218" s="9">
        <v>931</v>
      </c>
      <c r="H218" s="9">
        <v>230</v>
      </c>
      <c r="I218" s="9">
        <v>92120</v>
      </c>
      <c r="J218" s="9">
        <v>91440</v>
      </c>
      <c r="K218" s="9">
        <v>56</v>
      </c>
      <c r="L218" s="4" t="s">
        <v>26</v>
      </c>
      <c r="M218" s="11" t="s">
        <v>603</v>
      </c>
      <c r="N218" t="s">
        <v>603</v>
      </c>
      <c r="O218" s="13" t="s">
        <v>603</v>
      </c>
    </row>
    <row r="219" spans="1:15" ht="14.25" customHeight="1" x14ac:dyDescent="0.3">
      <c r="A219" s="3" t="s">
        <v>424</v>
      </c>
      <c r="B219" s="3" t="s">
        <v>39</v>
      </c>
      <c r="C219" s="8" t="s">
        <v>242</v>
      </c>
      <c r="D219" s="3" t="s">
        <v>41</v>
      </c>
      <c r="E219" s="3" t="s">
        <v>42</v>
      </c>
      <c r="F219" s="9">
        <v>1869</v>
      </c>
      <c r="G219" s="9">
        <v>453</v>
      </c>
      <c r="H219" s="9">
        <v>490</v>
      </c>
      <c r="I219" s="9">
        <v>14952</v>
      </c>
      <c r="J219" s="9">
        <v>14309</v>
      </c>
      <c r="K219" s="9">
        <v>275</v>
      </c>
      <c r="L219" s="4" t="s">
        <v>26</v>
      </c>
      <c r="M219" s="11" t="s">
        <v>603</v>
      </c>
      <c r="N219" t="s">
        <v>603</v>
      </c>
      <c r="O219" s="13" t="s">
        <v>34</v>
      </c>
    </row>
    <row r="220" spans="1:15" ht="14.25" customHeight="1" x14ac:dyDescent="0.3">
      <c r="A220" s="3" t="s">
        <v>425</v>
      </c>
      <c r="B220" s="3" t="s">
        <v>592</v>
      </c>
      <c r="C220" s="8" t="s">
        <v>164</v>
      </c>
      <c r="D220" s="3" t="s">
        <v>16</v>
      </c>
      <c r="E220" s="3" t="s">
        <v>593</v>
      </c>
      <c r="F220" s="9">
        <v>1188</v>
      </c>
      <c r="G220" s="9">
        <v>470</v>
      </c>
      <c r="H220" s="9">
        <v>174</v>
      </c>
      <c r="I220" s="9">
        <v>7128</v>
      </c>
      <c r="J220" s="9">
        <v>6145</v>
      </c>
      <c r="K220" s="9">
        <v>270</v>
      </c>
      <c r="L220" s="4" t="s">
        <v>26</v>
      </c>
      <c r="M220" s="11" t="s">
        <v>603</v>
      </c>
      <c r="N220" t="s">
        <v>603</v>
      </c>
      <c r="O220" s="13" t="s">
        <v>34</v>
      </c>
    </row>
    <row r="221" spans="1:15" ht="14.25" customHeight="1" x14ac:dyDescent="0.3">
      <c r="A221" s="3" t="s">
        <v>426</v>
      </c>
      <c r="B221" s="3" t="s">
        <v>29</v>
      </c>
      <c r="C221" s="8" t="s">
        <v>402</v>
      </c>
      <c r="D221" s="3" t="s">
        <v>31</v>
      </c>
      <c r="E221" s="3" t="s">
        <v>32</v>
      </c>
      <c r="F221" s="9">
        <v>84</v>
      </c>
      <c r="G221" s="9">
        <v>897</v>
      </c>
      <c r="H221" s="9">
        <v>85</v>
      </c>
      <c r="I221" s="9">
        <v>588</v>
      </c>
      <c r="J221" s="9">
        <v>8</v>
      </c>
      <c r="K221" s="9">
        <v>12</v>
      </c>
      <c r="L221" s="4" t="s">
        <v>33</v>
      </c>
      <c r="M221" s="11" t="s">
        <v>603</v>
      </c>
      <c r="N221" t="s">
        <v>603</v>
      </c>
      <c r="O221" s="13" t="s">
        <v>603</v>
      </c>
    </row>
    <row r="222" spans="1:15" ht="14.25" customHeight="1" x14ac:dyDescent="0.3">
      <c r="A222" s="3" t="s">
        <v>427</v>
      </c>
      <c r="B222" s="3" t="s">
        <v>39</v>
      </c>
      <c r="C222" s="8" t="s">
        <v>244</v>
      </c>
      <c r="D222" s="3" t="s">
        <v>69</v>
      </c>
      <c r="E222" s="3" t="s">
        <v>70</v>
      </c>
      <c r="F222" s="9">
        <v>4453</v>
      </c>
      <c r="G222" s="9">
        <v>111</v>
      </c>
      <c r="H222" s="9">
        <v>420</v>
      </c>
      <c r="I222" s="9">
        <v>31171</v>
      </c>
      <c r="J222" s="9">
        <v>30565</v>
      </c>
      <c r="K222" s="9">
        <v>23</v>
      </c>
      <c r="L222" s="4" t="s">
        <v>26</v>
      </c>
      <c r="M222" s="11" t="s">
        <v>603</v>
      </c>
      <c r="N222" t="s">
        <v>603</v>
      </c>
      <c r="O222" s="13" t="s">
        <v>603</v>
      </c>
    </row>
    <row r="223" spans="1:15" ht="14.25" customHeight="1" x14ac:dyDescent="0.3">
      <c r="A223" s="3" t="s">
        <v>428</v>
      </c>
      <c r="B223" s="3" t="s">
        <v>39</v>
      </c>
      <c r="C223" s="8" t="s">
        <v>429</v>
      </c>
      <c r="D223" s="3" t="s">
        <v>16</v>
      </c>
      <c r="E223" s="3" t="s">
        <v>60</v>
      </c>
      <c r="F223" s="9">
        <v>1814</v>
      </c>
      <c r="G223" s="9">
        <v>653</v>
      </c>
      <c r="H223" s="9">
        <v>363</v>
      </c>
      <c r="I223" s="9">
        <v>25396</v>
      </c>
      <c r="J223" s="9">
        <v>25286</v>
      </c>
      <c r="K223" s="9">
        <v>39</v>
      </c>
      <c r="L223" s="4" t="s">
        <v>57</v>
      </c>
      <c r="M223" s="100" t="s">
        <v>587</v>
      </c>
      <c r="N223" t="s">
        <v>603</v>
      </c>
      <c r="O223" s="13" t="s">
        <v>17</v>
      </c>
    </row>
    <row r="224" spans="1:15" ht="14.25" customHeight="1" x14ac:dyDescent="0.3">
      <c r="A224" s="3" t="s">
        <v>430</v>
      </c>
      <c r="B224" s="3" t="s">
        <v>592</v>
      </c>
      <c r="C224" s="8" t="s">
        <v>346</v>
      </c>
      <c r="D224" s="3" t="s">
        <v>47</v>
      </c>
      <c r="E224" s="3" t="s">
        <v>596</v>
      </c>
      <c r="F224" s="9">
        <v>3338</v>
      </c>
      <c r="G224" s="9">
        <v>277</v>
      </c>
      <c r="H224" s="9">
        <v>118</v>
      </c>
      <c r="I224" s="9">
        <v>60084</v>
      </c>
      <c r="J224" s="9">
        <v>59842</v>
      </c>
      <c r="K224" s="9">
        <v>252</v>
      </c>
      <c r="L224" s="4" t="s">
        <v>26</v>
      </c>
      <c r="M224" s="11" t="s">
        <v>603</v>
      </c>
      <c r="N224" t="s">
        <v>603</v>
      </c>
      <c r="O224" s="13" t="s">
        <v>603</v>
      </c>
    </row>
    <row r="225" spans="1:15" ht="14.25" customHeight="1" x14ac:dyDescent="0.3">
      <c r="A225" s="3" t="s">
        <v>431</v>
      </c>
      <c r="B225" s="3" t="s">
        <v>39</v>
      </c>
      <c r="C225" s="8" t="s">
        <v>432</v>
      </c>
      <c r="D225" s="3" t="s">
        <v>47</v>
      </c>
      <c r="E225" s="3" t="s">
        <v>54</v>
      </c>
      <c r="F225" s="9">
        <v>602</v>
      </c>
      <c r="G225" s="9">
        <v>594</v>
      </c>
      <c r="H225" s="9">
        <v>156</v>
      </c>
      <c r="I225" s="9">
        <v>4214</v>
      </c>
      <c r="J225" s="9">
        <v>3363</v>
      </c>
      <c r="K225" s="9">
        <v>164</v>
      </c>
      <c r="L225" s="4" t="s">
        <v>26</v>
      </c>
      <c r="M225" s="11" t="s">
        <v>603</v>
      </c>
      <c r="N225" t="s">
        <v>603</v>
      </c>
      <c r="O225" s="13" t="s">
        <v>27</v>
      </c>
    </row>
    <row r="226" spans="1:15" ht="14.25" customHeight="1" x14ac:dyDescent="0.3">
      <c r="A226" s="3" t="s">
        <v>433</v>
      </c>
      <c r="B226" s="3" t="s">
        <v>592</v>
      </c>
      <c r="C226" s="8" t="s">
        <v>361</v>
      </c>
      <c r="D226" s="3" t="s">
        <v>41</v>
      </c>
      <c r="E226" s="3" t="s">
        <v>595</v>
      </c>
      <c r="F226" s="9">
        <v>4672</v>
      </c>
      <c r="G226" s="9">
        <v>325</v>
      </c>
      <c r="H226" s="9">
        <v>32</v>
      </c>
      <c r="I226" s="9">
        <v>88768</v>
      </c>
      <c r="J226" s="9">
        <v>87833</v>
      </c>
      <c r="K226" s="9">
        <v>118</v>
      </c>
      <c r="L226" s="4" t="s">
        <v>33</v>
      </c>
      <c r="M226" s="11" t="s">
        <v>603</v>
      </c>
      <c r="N226" t="s">
        <v>603</v>
      </c>
      <c r="O226" s="13" t="s">
        <v>603</v>
      </c>
    </row>
    <row r="227" spans="1:15" ht="14.25" customHeight="1" x14ac:dyDescent="0.3">
      <c r="A227" s="3" t="s">
        <v>434</v>
      </c>
      <c r="B227" s="3" t="s">
        <v>29</v>
      </c>
      <c r="C227" s="8" t="s">
        <v>435</v>
      </c>
      <c r="D227" s="3" t="s">
        <v>41</v>
      </c>
      <c r="E227" s="3" t="s">
        <v>83</v>
      </c>
      <c r="F227" s="9">
        <v>1741</v>
      </c>
      <c r="G227" s="9">
        <v>164</v>
      </c>
      <c r="H227" s="9">
        <v>318</v>
      </c>
      <c r="I227" s="9">
        <v>8705</v>
      </c>
      <c r="J227" s="9">
        <v>8272</v>
      </c>
      <c r="K227" s="9">
        <v>121</v>
      </c>
      <c r="L227" s="4" t="s">
        <v>26</v>
      </c>
      <c r="M227" s="11" t="s">
        <v>603</v>
      </c>
      <c r="N227" t="s">
        <v>603</v>
      </c>
      <c r="O227" s="13" t="s">
        <v>603</v>
      </c>
    </row>
    <row r="228" spans="1:15" ht="14.25" customHeight="1" x14ac:dyDescent="0.3">
      <c r="A228" s="3" t="s">
        <v>436</v>
      </c>
      <c r="B228" s="3" t="s">
        <v>29</v>
      </c>
      <c r="C228" s="8" t="s">
        <v>437</v>
      </c>
      <c r="D228" s="3" t="s">
        <v>20</v>
      </c>
      <c r="E228" s="3" t="s">
        <v>107</v>
      </c>
      <c r="F228" s="9">
        <v>246</v>
      </c>
      <c r="G228" s="9">
        <v>149</v>
      </c>
      <c r="H228" s="9">
        <v>130</v>
      </c>
      <c r="I228" s="9">
        <v>4674</v>
      </c>
      <c r="J228" s="9">
        <v>4390</v>
      </c>
      <c r="K228" s="9">
        <v>217</v>
      </c>
      <c r="L228" s="4" t="s">
        <v>57</v>
      </c>
      <c r="M228" s="11" t="s">
        <v>603</v>
      </c>
      <c r="N228" t="s">
        <v>603</v>
      </c>
      <c r="O228" s="13" t="s">
        <v>27</v>
      </c>
    </row>
    <row r="229" spans="1:15" ht="14.25" customHeight="1" x14ac:dyDescent="0.3">
      <c r="A229" s="3" t="s">
        <v>438</v>
      </c>
      <c r="B229" s="3" t="s">
        <v>29</v>
      </c>
      <c r="C229" s="8" t="s">
        <v>439</v>
      </c>
      <c r="D229" s="3" t="s">
        <v>31</v>
      </c>
      <c r="E229" s="3" t="s">
        <v>32</v>
      </c>
      <c r="F229" s="9">
        <v>4808</v>
      </c>
      <c r="G229" s="9">
        <v>772</v>
      </c>
      <c r="H229" s="9">
        <v>320</v>
      </c>
      <c r="I229" s="9">
        <v>72120</v>
      </c>
      <c r="J229" s="9">
        <v>71696</v>
      </c>
      <c r="K229" s="9">
        <v>195</v>
      </c>
      <c r="L229" s="4" t="s">
        <v>33</v>
      </c>
      <c r="M229" s="11" t="s">
        <v>603</v>
      </c>
      <c r="N229" t="s">
        <v>603</v>
      </c>
      <c r="O229" s="13" t="s">
        <v>17</v>
      </c>
    </row>
    <row r="230" spans="1:15" ht="14.25" customHeight="1" x14ac:dyDescent="0.3">
      <c r="A230" s="3" t="s">
        <v>440</v>
      </c>
      <c r="B230" s="3" t="s">
        <v>29</v>
      </c>
      <c r="C230" s="8" t="s">
        <v>144</v>
      </c>
      <c r="D230" s="3" t="s">
        <v>41</v>
      </c>
      <c r="E230" s="3" t="s">
        <v>83</v>
      </c>
      <c r="F230" s="9">
        <v>4799</v>
      </c>
      <c r="G230" s="9">
        <v>694</v>
      </c>
      <c r="H230" s="9">
        <v>289</v>
      </c>
      <c r="I230" s="9">
        <v>43191</v>
      </c>
      <c r="J230" s="9">
        <v>42228</v>
      </c>
      <c r="K230" s="9">
        <v>118</v>
      </c>
      <c r="L230" s="4" t="s">
        <v>26</v>
      </c>
      <c r="M230" s="11" t="s">
        <v>603</v>
      </c>
      <c r="N230" t="s">
        <v>603</v>
      </c>
      <c r="O230" s="13" t="s">
        <v>603</v>
      </c>
    </row>
    <row r="231" spans="1:15" ht="14.25" customHeight="1" x14ac:dyDescent="0.3">
      <c r="A231" s="3" t="s">
        <v>441</v>
      </c>
      <c r="B231" s="3" t="s">
        <v>39</v>
      </c>
      <c r="C231" s="8" t="s">
        <v>303</v>
      </c>
      <c r="D231" s="3" t="s">
        <v>16</v>
      </c>
      <c r="E231" s="3" t="s">
        <v>60</v>
      </c>
      <c r="F231" s="9">
        <v>3663</v>
      </c>
      <c r="G231" s="9">
        <v>17</v>
      </c>
      <c r="H231" s="9">
        <v>295</v>
      </c>
      <c r="I231" s="9">
        <v>51282</v>
      </c>
      <c r="J231" s="9">
        <v>50567</v>
      </c>
      <c r="K231" s="9">
        <v>84</v>
      </c>
      <c r="L231" s="4" t="s">
        <v>33</v>
      </c>
      <c r="M231" s="11" t="s">
        <v>603</v>
      </c>
      <c r="N231" t="s">
        <v>603</v>
      </c>
      <c r="O231" s="13" t="s">
        <v>27</v>
      </c>
    </row>
    <row r="232" spans="1:15" ht="14.25" customHeight="1" x14ac:dyDescent="0.3">
      <c r="A232" s="3" t="s">
        <v>442</v>
      </c>
      <c r="B232" s="3" t="s">
        <v>29</v>
      </c>
      <c r="C232" s="8" t="s">
        <v>418</v>
      </c>
      <c r="D232" s="3" t="s">
        <v>20</v>
      </c>
      <c r="E232" s="3" t="s">
        <v>107</v>
      </c>
      <c r="F232" s="9">
        <v>1430</v>
      </c>
      <c r="G232" s="9">
        <v>376</v>
      </c>
      <c r="H232" s="9">
        <v>33</v>
      </c>
      <c r="I232" s="9">
        <v>21450</v>
      </c>
      <c r="J232" s="9">
        <v>20509</v>
      </c>
      <c r="K232" s="9">
        <v>251</v>
      </c>
      <c r="L232" s="4" t="s">
        <v>57</v>
      </c>
      <c r="M232" s="11" t="s">
        <v>603</v>
      </c>
      <c r="N232" t="s">
        <v>603</v>
      </c>
      <c r="O232" s="13" t="s">
        <v>17</v>
      </c>
    </row>
    <row r="233" spans="1:15" ht="14.25" customHeight="1" x14ac:dyDescent="0.3">
      <c r="A233" s="3" t="s">
        <v>443</v>
      </c>
      <c r="B233" s="3" t="s">
        <v>592</v>
      </c>
      <c r="C233" s="8" t="s">
        <v>444</v>
      </c>
      <c r="D233" s="3" t="s">
        <v>31</v>
      </c>
      <c r="E233" s="3" t="s">
        <v>598</v>
      </c>
      <c r="F233" s="9">
        <v>249</v>
      </c>
      <c r="G233" s="9">
        <v>592</v>
      </c>
      <c r="H233" s="9">
        <v>230</v>
      </c>
      <c r="I233" s="9">
        <v>1494</v>
      </c>
      <c r="J233" s="9">
        <v>1044</v>
      </c>
      <c r="K233" s="9">
        <v>201</v>
      </c>
      <c r="L233" s="4" t="s">
        <v>33</v>
      </c>
      <c r="M233" s="11" t="s">
        <v>603</v>
      </c>
      <c r="N233" t="s">
        <v>603</v>
      </c>
      <c r="O233" s="13" t="s">
        <v>34</v>
      </c>
    </row>
    <row r="234" spans="1:15" ht="14.25" customHeight="1" x14ac:dyDescent="0.3">
      <c r="A234" s="3" t="s">
        <v>445</v>
      </c>
      <c r="B234" s="3" t="s">
        <v>39</v>
      </c>
      <c r="C234" s="8" t="s">
        <v>127</v>
      </c>
      <c r="D234" s="3" t="s">
        <v>47</v>
      </c>
      <c r="E234" s="3" t="s">
        <v>54</v>
      </c>
      <c r="F234" s="9">
        <v>2382</v>
      </c>
      <c r="G234" s="9">
        <v>265</v>
      </c>
      <c r="H234" s="9">
        <v>134</v>
      </c>
      <c r="I234" s="9">
        <v>38112</v>
      </c>
      <c r="J234" s="9">
        <v>37437</v>
      </c>
      <c r="K234" s="9">
        <v>249</v>
      </c>
      <c r="L234" s="4" t="s">
        <v>57</v>
      </c>
      <c r="M234" s="11" t="s">
        <v>603</v>
      </c>
      <c r="N234" t="s">
        <v>603</v>
      </c>
      <c r="O234" s="13" t="s">
        <v>34</v>
      </c>
    </row>
    <row r="235" spans="1:15" ht="14.25" customHeight="1" x14ac:dyDescent="0.3">
      <c r="A235" s="3" t="s">
        <v>446</v>
      </c>
      <c r="B235" s="3" t="s">
        <v>39</v>
      </c>
      <c r="C235" s="8" t="s">
        <v>447</v>
      </c>
      <c r="D235" s="3" t="s">
        <v>20</v>
      </c>
      <c r="E235" s="3" t="s">
        <v>51</v>
      </c>
      <c r="F235" s="9">
        <v>1272</v>
      </c>
      <c r="G235" s="9">
        <v>465</v>
      </c>
      <c r="H235" s="9">
        <v>99</v>
      </c>
      <c r="I235" s="9">
        <v>24168</v>
      </c>
      <c r="J235" s="9">
        <v>23719</v>
      </c>
      <c r="K235" s="9">
        <v>42</v>
      </c>
      <c r="L235" s="4" t="s">
        <v>26</v>
      </c>
      <c r="M235" s="11" t="s">
        <v>603</v>
      </c>
      <c r="N235" t="s">
        <v>603</v>
      </c>
      <c r="O235" s="13" t="s">
        <v>603</v>
      </c>
    </row>
    <row r="236" spans="1:15" ht="14.25" customHeight="1" x14ac:dyDescent="0.3">
      <c r="A236" s="3" t="s">
        <v>448</v>
      </c>
      <c r="B236" s="3" t="s">
        <v>39</v>
      </c>
      <c r="C236" s="8" t="s">
        <v>378</v>
      </c>
      <c r="D236" s="3" t="s">
        <v>47</v>
      </c>
      <c r="E236" s="3" t="s">
        <v>54</v>
      </c>
      <c r="F236" s="9">
        <v>3196</v>
      </c>
      <c r="G236" s="9">
        <v>941</v>
      </c>
      <c r="H236" s="9">
        <v>376</v>
      </c>
      <c r="I236" s="9">
        <v>35156</v>
      </c>
      <c r="J236" s="9">
        <v>34444</v>
      </c>
      <c r="K236" s="9">
        <v>241</v>
      </c>
      <c r="L236" s="4" t="s">
        <v>26</v>
      </c>
      <c r="M236" s="11" t="s">
        <v>603</v>
      </c>
      <c r="N236" t="s">
        <v>603</v>
      </c>
      <c r="O236" s="13" t="s">
        <v>27</v>
      </c>
    </row>
    <row r="237" spans="1:15" ht="14.25" customHeight="1" x14ac:dyDescent="0.3">
      <c r="A237" s="3" t="s">
        <v>449</v>
      </c>
      <c r="B237" s="3" t="s">
        <v>39</v>
      </c>
      <c r="C237" s="8" t="s">
        <v>76</v>
      </c>
      <c r="D237" s="3" t="s">
        <v>20</v>
      </c>
      <c r="E237" s="3" t="s">
        <v>51</v>
      </c>
      <c r="F237" s="9">
        <v>1257</v>
      </c>
      <c r="G237" s="9">
        <v>19</v>
      </c>
      <c r="H237" s="9">
        <v>351</v>
      </c>
      <c r="I237" s="9">
        <v>12570</v>
      </c>
      <c r="J237" s="9">
        <v>11660</v>
      </c>
      <c r="K237" s="9">
        <v>194</v>
      </c>
      <c r="L237" s="4" t="s">
        <v>57</v>
      </c>
      <c r="M237" s="100" t="s">
        <v>601</v>
      </c>
      <c r="N237" s="100" t="s">
        <v>33</v>
      </c>
      <c r="O237" s="13" t="s">
        <v>21</v>
      </c>
    </row>
    <row r="238" spans="1:15" ht="14.25" customHeight="1" x14ac:dyDescent="0.3">
      <c r="A238" s="3" t="s">
        <v>450</v>
      </c>
      <c r="B238" s="3" t="s">
        <v>29</v>
      </c>
      <c r="C238" s="8" t="s">
        <v>327</v>
      </c>
      <c r="D238" s="3" t="s">
        <v>31</v>
      </c>
      <c r="E238" s="3" t="s">
        <v>32</v>
      </c>
      <c r="F238" s="9">
        <v>3770</v>
      </c>
      <c r="G238" s="9">
        <v>917</v>
      </c>
      <c r="H238" s="9">
        <v>129</v>
      </c>
      <c r="I238" s="9">
        <v>71630</v>
      </c>
      <c r="J238" s="9">
        <v>71322</v>
      </c>
      <c r="K238" s="9">
        <v>76</v>
      </c>
      <c r="L238" s="4" t="s">
        <v>57</v>
      </c>
      <c r="M238" s="11" t="s">
        <v>603</v>
      </c>
      <c r="N238" t="s">
        <v>603</v>
      </c>
      <c r="O238" s="13" t="s">
        <v>17</v>
      </c>
    </row>
    <row r="239" spans="1:15" ht="14.25" customHeight="1" x14ac:dyDescent="0.3">
      <c r="A239" s="3" t="s">
        <v>451</v>
      </c>
      <c r="B239" s="3" t="s">
        <v>592</v>
      </c>
      <c r="C239" s="8" t="s">
        <v>452</v>
      </c>
      <c r="D239" s="3" t="s">
        <v>20</v>
      </c>
      <c r="E239" s="3" t="s">
        <v>594</v>
      </c>
      <c r="F239" s="9">
        <v>4725</v>
      </c>
      <c r="G239" s="9">
        <v>400</v>
      </c>
      <c r="H239" s="9">
        <v>362</v>
      </c>
      <c r="I239" s="9">
        <v>75600</v>
      </c>
      <c r="J239" s="9">
        <v>74927</v>
      </c>
      <c r="K239" s="9">
        <v>43</v>
      </c>
      <c r="L239" s="4" t="s">
        <v>57</v>
      </c>
      <c r="M239" s="11" t="s">
        <v>603</v>
      </c>
      <c r="N239" t="s">
        <v>603</v>
      </c>
      <c r="O239" s="13" t="s">
        <v>34</v>
      </c>
    </row>
    <row r="240" spans="1:15" ht="14.25" customHeight="1" x14ac:dyDescent="0.3">
      <c r="A240" s="3" t="s">
        <v>453</v>
      </c>
      <c r="B240" s="3" t="s">
        <v>23</v>
      </c>
      <c r="C240" s="8" t="s">
        <v>139</v>
      </c>
      <c r="D240" s="3" t="s">
        <v>20</v>
      </c>
      <c r="E240" s="3" t="s">
        <v>98</v>
      </c>
      <c r="F240" s="9">
        <v>4188</v>
      </c>
      <c r="G240" s="9">
        <v>942</v>
      </c>
      <c r="H240" s="9">
        <v>118</v>
      </c>
      <c r="I240" s="9">
        <v>20940</v>
      </c>
      <c r="J240" s="9">
        <v>20471</v>
      </c>
      <c r="K240" s="9">
        <v>102</v>
      </c>
      <c r="L240" s="4" t="s">
        <v>57</v>
      </c>
      <c r="M240" s="11" t="s">
        <v>603</v>
      </c>
      <c r="N240" t="s">
        <v>603</v>
      </c>
      <c r="O240" s="13" t="s">
        <v>603</v>
      </c>
    </row>
    <row r="241" spans="1:15" ht="14.25" customHeight="1" x14ac:dyDescent="0.3">
      <c r="A241" s="3" t="s">
        <v>454</v>
      </c>
      <c r="B241" s="3" t="s">
        <v>592</v>
      </c>
      <c r="C241" s="8" t="s">
        <v>72</v>
      </c>
      <c r="D241" s="3" t="s">
        <v>41</v>
      </c>
      <c r="E241" s="3" t="s">
        <v>595</v>
      </c>
      <c r="F241" s="9">
        <v>929</v>
      </c>
      <c r="G241" s="9">
        <v>192</v>
      </c>
      <c r="H241" s="9">
        <v>322</v>
      </c>
      <c r="I241" s="9">
        <v>16722</v>
      </c>
      <c r="J241" s="9">
        <v>15996</v>
      </c>
      <c r="K241" s="9">
        <v>145</v>
      </c>
      <c r="L241" s="4" t="s">
        <v>33</v>
      </c>
      <c r="M241" s="100" t="s">
        <v>26</v>
      </c>
      <c r="N241" s="100" t="s">
        <v>601</v>
      </c>
      <c r="O241" s="13" t="s">
        <v>27</v>
      </c>
    </row>
    <row r="242" spans="1:15" ht="14.25" customHeight="1" x14ac:dyDescent="0.3">
      <c r="A242" s="3" t="s">
        <v>455</v>
      </c>
      <c r="B242" s="3" t="s">
        <v>39</v>
      </c>
      <c r="C242" s="8" t="s">
        <v>456</v>
      </c>
      <c r="D242" s="3" t="s">
        <v>31</v>
      </c>
      <c r="E242" s="3" t="s">
        <v>66</v>
      </c>
      <c r="F242" s="9">
        <v>4321</v>
      </c>
      <c r="G242" s="9">
        <v>874</v>
      </c>
      <c r="H242" s="9">
        <v>172</v>
      </c>
      <c r="I242" s="9">
        <v>30247</v>
      </c>
      <c r="J242" s="9">
        <v>29254</v>
      </c>
      <c r="K242" s="9">
        <v>122</v>
      </c>
      <c r="L242" s="4" t="s">
        <v>26</v>
      </c>
      <c r="M242" s="11" t="s">
        <v>603</v>
      </c>
      <c r="N242" t="s">
        <v>603</v>
      </c>
      <c r="O242" s="13" t="s">
        <v>34</v>
      </c>
    </row>
    <row r="243" spans="1:15" ht="14.25" customHeight="1" x14ac:dyDescent="0.3">
      <c r="A243" s="3" t="s">
        <v>457</v>
      </c>
      <c r="B243" s="3" t="s">
        <v>39</v>
      </c>
      <c r="C243" s="8" t="s">
        <v>216</v>
      </c>
      <c r="D243" s="3" t="s">
        <v>16</v>
      </c>
      <c r="E243" s="3" t="s">
        <v>60</v>
      </c>
      <c r="F243" s="9">
        <v>4767</v>
      </c>
      <c r="G243" s="9">
        <v>190</v>
      </c>
      <c r="H243" s="9">
        <v>340</v>
      </c>
      <c r="I243" s="9">
        <v>28602</v>
      </c>
      <c r="J243" s="9">
        <v>28044</v>
      </c>
      <c r="K243" s="9">
        <v>210</v>
      </c>
      <c r="L243" s="4" t="s">
        <v>33</v>
      </c>
      <c r="M243" s="11" t="s">
        <v>603</v>
      </c>
      <c r="N243" t="s">
        <v>603</v>
      </c>
      <c r="O243" s="13" t="s">
        <v>27</v>
      </c>
    </row>
    <row r="244" spans="1:15" ht="14.25" customHeight="1" x14ac:dyDescent="0.3">
      <c r="A244" s="3" t="s">
        <v>458</v>
      </c>
      <c r="B244" s="3" t="s">
        <v>592</v>
      </c>
      <c r="C244" s="8" t="s">
        <v>459</v>
      </c>
      <c r="D244" s="3" t="s">
        <v>47</v>
      </c>
      <c r="E244" s="3" t="s">
        <v>596</v>
      </c>
      <c r="F244" s="9">
        <v>3592</v>
      </c>
      <c r="G244" s="9">
        <v>911</v>
      </c>
      <c r="H244" s="9">
        <v>375</v>
      </c>
      <c r="I244" s="9">
        <v>50288</v>
      </c>
      <c r="J244" s="9">
        <v>49490</v>
      </c>
      <c r="K244" s="9">
        <v>32</v>
      </c>
      <c r="L244" s="4" t="s">
        <v>57</v>
      </c>
      <c r="M244" s="11" t="s">
        <v>603</v>
      </c>
      <c r="N244" t="s">
        <v>603</v>
      </c>
      <c r="O244" s="13" t="s">
        <v>34</v>
      </c>
    </row>
    <row r="245" spans="1:15" ht="14.25" customHeight="1" x14ac:dyDescent="0.3">
      <c r="A245" s="3" t="s">
        <v>460</v>
      </c>
      <c r="B245" s="3" t="s">
        <v>23</v>
      </c>
      <c r="C245" s="8" t="s">
        <v>461</v>
      </c>
      <c r="D245" s="3" t="s">
        <v>69</v>
      </c>
      <c r="E245" s="3" t="s">
        <v>207</v>
      </c>
      <c r="F245" s="9">
        <v>4661</v>
      </c>
      <c r="G245" s="9">
        <v>935</v>
      </c>
      <c r="H245" s="9">
        <v>433</v>
      </c>
      <c r="I245" s="9">
        <v>23305</v>
      </c>
      <c r="J245" s="9">
        <v>22583</v>
      </c>
      <c r="K245" s="9">
        <v>63</v>
      </c>
      <c r="L245" s="4" t="s">
        <v>57</v>
      </c>
      <c r="M245" s="11" t="s">
        <v>603</v>
      </c>
      <c r="N245" t="s">
        <v>603</v>
      </c>
      <c r="O245" s="13" t="s">
        <v>27</v>
      </c>
    </row>
    <row r="246" spans="1:15" ht="14.25" customHeight="1" x14ac:dyDescent="0.3">
      <c r="A246" s="3" t="s">
        <v>462</v>
      </c>
      <c r="B246" s="3" t="s">
        <v>39</v>
      </c>
      <c r="C246" s="8" t="s">
        <v>463</v>
      </c>
      <c r="D246" s="3" t="s">
        <v>16</v>
      </c>
      <c r="E246" s="3" t="s">
        <v>60</v>
      </c>
      <c r="F246" s="9">
        <v>4134</v>
      </c>
      <c r="G246" s="9">
        <v>824</v>
      </c>
      <c r="H246" s="9">
        <v>99</v>
      </c>
      <c r="I246" s="9">
        <v>41340</v>
      </c>
      <c r="J246" s="9">
        <v>41050</v>
      </c>
      <c r="K246" s="9">
        <v>177</v>
      </c>
      <c r="L246" s="4" t="s">
        <v>33</v>
      </c>
      <c r="M246" s="11" t="s">
        <v>603</v>
      </c>
      <c r="N246" t="s">
        <v>603</v>
      </c>
      <c r="O246" s="13" t="s">
        <v>17</v>
      </c>
    </row>
    <row r="247" spans="1:15" ht="14.25" customHeight="1" x14ac:dyDescent="0.3">
      <c r="A247" s="3" t="s">
        <v>464</v>
      </c>
      <c r="B247" s="3" t="s">
        <v>39</v>
      </c>
      <c r="C247" s="8" t="s">
        <v>465</v>
      </c>
      <c r="D247" s="3" t="s">
        <v>47</v>
      </c>
      <c r="E247" s="3" t="s">
        <v>54</v>
      </c>
      <c r="F247" s="9">
        <v>400</v>
      </c>
      <c r="G247" s="9">
        <v>680</v>
      </c>
      <c r="H247" s="9">
        <v>434</v>
      </c>
      <c r="I247" s="9">
        <v>6400</v>
      </c>
      <c r="J247" s="9">
        <v>5472</v>
      </c>
      <c r="K247" s="9">
        <v>160</v>
      </c>
      <c r="L247" s="4" t="s">
        <v>57</v>
      </c>
      <c r="M247" s="11" t="s">
        <v>603</v>
      </c>
      <c r="N247" t="s">
        <v>603</v>
      </c>
      <c r="O247" s="13" t="s">
        <v>21</v>
      </c>
    </row>
    <row r="248" spans="1:15" ht="14.25" customHeight="1" x14ac:dyDescent="0.3">
      <c r="A248" s="3" t="s">
        <v>466</v>
      </c>
      <c r="B248" s="3" t="s">
        <v>39</v>
      </c>
      <c r="C248" s="8" t="s">
        <v>467</v>
      </c>
      <c r="D248" s="3" t="s">
        <v>16</v>
      </c>
      <c r="E248" s="3" t="s">
        <v>60</v>
      </c>
      <c r="F248" s="9">
        <v>3960</v>
      </c>
      <c r="G248" s="9">
        <v>266</v>
      </c>
      <c r="H248" s="9">
        <v>8</v>
      </c>
      <c r="I248" s="9">
        <v>35640</v>
      </c>
      <c r="J248" s="9">
        <v>34850</v>
      </c>
      <c r="K248" s="9">
        <v>208</v>
      </c>
      <c r="L248" s="4" t="s">
        <v>57</v>
      </c>
      <c r="M248" s="100" t="s">
        <v>33</v>
      </c>
      <c r="N248" s="100" t="s">
        <v>602</v>
      </c>
      <c r="O248" s="13" t="s">
        <v>603</v>
      </c>
    </row>
    <row r="249" spans="1:15" ht="14.25" customHeight="1" x14ac:dyDescent="0.3">
      <c r="A249" s="3" t="s">
        <v>468</v>
      </c>
      <c r="B249" s="3" t="s">
        <v>39</v>
      </c>
      <c r="C249" s="8" t="s">
        <v>56</v>
      </c>
      <c r="D249" s="3" t="s">
        <v>31</v>
      </c>
      <c r="E249" s="3" t="s">
        <v>66</v>
      </c>
      <c r="F249" s="9">
        <v>886</v>
      </c>
      <c r="G249" s="9">
        <v>126</v>
      </c>
      <c r="H249" s="9">
        <v>153</v>
      </c>
      <c r="I249" s="9">
        <v>4430</v>
      </c>
      <c r="J249" s="9">
        <v>4037</v>
      </c>
      <c r="K249" s="9">
        <v>212</v>
      </c>
      <c r="L249" s="4" t="s">
        <v>33</v>
      </c>
      <c r="M249" s="11" t="s">
        <v>603</v>
      </c>
      <c r="N249" t="s">
        <v>603</v>
      </c>
      <c r="O249" s="13" t="s">
        <v>603</v>
      </c>
    </row>
    <row r="250" spans="1:15" ht="14.25" customHeight="1" x14ac:dyDescent="0.3">
      <c r="A250" s="3" t="s">
        <v>469</v>
      </c>
      <c r="B250" s="3" t="s">
        <v>592</v>
      </c>
      <c r="C250" s="8" t="s">
        <v>415</v>
      </c>
      <c r="D250" s="3" t="s">
        <v>47</v>
      </c>
      <c r="E250" s="3" t="s">
        <v>596</v>
      </c>
      <c r="F250" s="9">
        <v>827</v>
      </c>
      <c r="G250" s="9">
        <v>77</v>
      </c>
      <c r="H250" s="9">
        <v>402</v>
      </c>
      <c r="I250" s="9">
        <v>14886</v>
      </c>
      <c r="J250" s="9">
        <v>14129</v>
      </c>
      <c r="K250" s="9">
        <v>254</v>
      </c>
      <c r="L250" s="4" t="s">
        <v>33</v>
      </c>
      <c r="M250" s="11" t="s">
        <v>603</v>
      </c>
      <c r="N250" t="s">
        <v>603</v>
      </c>
      <c r="O250" s="13" t="s">
        <v>21</v>
      </c>
    </row>
    <row r="251" spans="1:15" ht="14.25" customHeight="1" x14ac:dyDescent="0.3">
      <c r="A251" s="3" t="s">
        <v>470</v>
      </c>
      <c r="B251" s="3" t="s">
        <v>39</v>
      </c>
      <c r="C251" s="8" t="s">
        <v>162</v>
      </c>
      <c r="D251" s="3" t="s">
        <v>16</v>
      </c>
      <c r="E251" s="3" t="s">
        <v>60</v>
      </c>
      <c r="F251" s="9">
        <v>3813</v>
      </c>
      <c r="G251" s="9">
        <v>935</v>
      </c>
      <c r="H251" s="9">
        <v>274</v>
      </c>
      <c r="I251" s="9">
        <v>68634</v>
      </c>
      <c r="J251" s="9">
        <v>68488</v>
      </c>
      <c r="K251" s="9">
        <v>251</v>
      </c>
      <c r="L251" s="4" t="s">
        <v>57</v>
      </c>
      <c r="M251" s="11" t="s">
        <v>603</v>
      </c>
      <c r="N251" t="s">
        <v>603</v>
      </c>
      <c r="O251" s="13" t="s">
        <v>603</v>
      </c>
    </row>
    <row r="252" spans="1:15" ht="14.25" customHeight="1" x14ac:dyDescent="0.3">
      <c r="A252" s="3" t="s">
        <v>471</v>
      </c>
      <c r="B252" s="3" t="s">
        <v>29</v>
      </c>
      <c r="C252" s="8" t="s">
        <v>472</v>
      </c>
      <c r="D252" s="3" t="s">
        <v>41</v>
      </c>
      <c r="E252" s="3" t="s">
        <v>83</v>
      </c>
      <c r="F252" s="9">
        <v>1377</v>
      </c>
      <c r="G252" s="9">
        <v>796</v>
      </c>
      <c r="H252" s="9">
        <v>387</v>
      </c>
      <c r="I252" s="9">
        <v>22032</v>
      </c>
      <c r="J252" s="9">
        <v>21869</v>
      </c>
      <c r="K252" s="9">
        <v>189</v>
      </c>
      <c r="L252" s="4" t="s">
        <v>57</v>
      </c>
      <c r="M252" s="11" t="s">
        <v>603</v>
      </c>
      <c r="N252" t="s">
        <v>603</v>
      </c>
      <c r="O252" s="13" t="s">
        <v>603</v>
      </c>
    </row>
    <row r="253" spans="1:15" ht="14.25" customHeight="1" x14ac:dyDescent="0.3">
      <c r="A253" s="3" t="s">
        <v>473</v>
      </c>
      <c r="B253" s="3" t="s">
        <v>39</v>
      </c>
      <c r="C253" s="8" t="s">
        <v>350</v>
      </c>
      <c r="D253" s="3" t="s">
        <v>41</v>
      </c>
      <c r="E253" s="3" t="s">
        <v>42</v>
      </c>
      <c r="F253" s="9">
        <v>2089</v>
      </c>
      <c r="G253" s="9">
        <v>476</v>
      </c>
      <c r="H253" s="9">
        <v>69</v>
      </c>
      <c r="I253" s="9">
        <v>16712</v>
      </c>
      <c r="J253" s="9">
        <v>16309</v>
      </c>
      <c r="K253" s="9">
        <v>64</v>
      </c>
      <c r="L253" s="4" t="s">
        <v>57</v>
      </c>
      <c r="M253" s="11" t="s">
        <v>603</v>
      </c>
      <c r="N253" t="s">
        <v>603</v>
      </c>
      <c r="O253" s="13" t="s">
        <v>27</v>
      </c>
    </row>
    <row r="254" spans="1:15" ht="14.25" customHeight="1" x14ac:dyDescent="0.3">
      <c r="A254" s="3" t="s">
        <v>474</v>
      </c>
      <c r="B254" s="3" t="s">
        <v>592</v>
      </c>
      <c r="C254" s="8" t="s">
        <v>475</v>
      </c>
      <c r="D254" s="3" t="s">
        <v>16</v>
      </c>
      <c r="E254" s="3" t="s">
        <v>593</v>
      </c>
      <c r="F254" s="9">
        <v>3791</v>
      </c>
      <c r="G254" s="9">
        <v>593</v>
      </c>
      <c r="H254" s="9">
        <v>228</v>
      </c>
      <c r="I254" s="9">
        <v>53074</v>
      </c>
      <c r="J254" s="9">
        <v>52613</v>
      </c>
      <c r="K254" s="9">
        <v>205</v>
      </c>
      <c r="L254" s="4" t="s">
        <v>33</v>
      </c>
      <c r="M254" s="11" t="s">
        <v>603</v>
      </c>
      <c r="N254" t="s">
        <v>603</v>
      </c>
      <c r="O254" s="13" t="s">
        <v>603</v>
      </c>
    </row>
    <row r="255" spans="1:15" ht="14.25" customHeight="1" x14ac:dyDescent="0.3">
      <c r="A255" s="3" t="s">
        <v>476</v>
      </c>
      <c r="B255" s="3" t="s">
        <v>592</v>
      </c>
      <c r="C255" s="8" t="s">
        <v>477</v>
      </c>
      <c r="D255" s="3" t="s">
        <v>47</v>
      </c>
      <c r="E255" s="3" t="s">
        <v>596</v>
      </c>
      <c r="F255" s="9">
        <v>2692</v>
      </c>
      <c r="G255" s="9">
        <v>115</v>
      </c>
      <c r="H255" s="9">
        <v>64</v>
      </c>
      <c r="I255" s="9">
        <v>21536</v>
      </c>
      <c r="J255" s="9">
        <v>21120</v>
      </c>
      <c r="K255" s="9">
        <v>224</v>
      </c>
      <c r="L255" s="4" t="s">
        <v>57</v>
      </c>
      <c r="M255" s="11" t="s">
        <v>603</v>
      </c>
      <c r="N255" t="s">
        <v>603</v>
      </c>
      <c r="O255" s="13" t="s">
        <v>21</v>
      </c>
    </row>
    <row r="256" spans="1:15" ht="14.25" customHeight="1" x14ac:dyDescent="0.3">
      <c r="A256" s="3" t="s">
        <v>478</v>
      </c>
      <c r="B256" s="3" t="s">
        <v>39</v>
      </c>
      <c r="C256" s="8" t="s">
        <v>19</v>
      </c>
      <c r="D256" s="3" t="s">
        <v>31</v>
      </c>
      <c r="E256" s="3" t="s">
        <v>66</v>
      </c>
      <c r="F256" s="9">
        <v>3767</v>
      </c>
      <c r="G256" s="9">
        <v>514</v>
      </c>
      <c r="H256" s="9">
        <v>238</v>
      </c>
      <c r="I256" s="9">
        <v>37670</v>
      </c>
      <c r="J256" s="9">
        <v>36807</v>
      </c>
      <c r="K256" s="9">
        <v>226</v>
      </c>
      <c r="L256" s="4" t="s">
        <v>57</v>
      </c>
      <c r="M256" s="11" t="s">
        <v>603</v>
      </c>
      <c r="N256" t="s">
        <v>603</v>
      </c>
      <c r="O256" s="13" t="s">
        <v>34</v>
      </c>
    </row>
    <row r="257" spans="1:15" ht="14.25" customHeight="1" x14ac:dyDescent="0.3">
      <c r="A257" s="3" t="s">
        <v>479</v>
      </c>
      <c r="B257" s="3" t="s">
        <v>23</v>
      </c>
      <c r="C257" s="8" t="s">
        <v>240</v>
      </c>
      <c r="D257" s="3" t="s">
        <v>41</v>
      </c>
      <c r="E257" s="3" t="s">
        <v>63</v>
      </c>
      <c r="F257" s="9">
        <v>2143</v>
      </c>
      <c r="G257" s="9">
        <v>12</v>
      </c>
      <c r="H257" s="9">
        <v>204</v>
      </c>
      <c r="I257" s="9">
        <v>40717</v>
      </c>
      <c r="J257" s="9">
        <v>40125</v>
      </c>
      <c r="K257" s="9">
        <v>248</v>
      </c>
      <c r="L257" s="4" t="s">
        <v>33</v>
      </c>
      <c r="M257" s="11" t="s">
        <v>603</v>
      </c>
      <c r="N257" t="s">
        <v>603</v>
      </c>
      <c r="O257" s="13" t="s">
        <v>21</v>
      </c>
    </row>
    <row r="258" spans="1:15" ht="14.25" customHeight="1" x14ac:dyDescent="0.3">
      <c r="A258" s="3" t="s">
        <v>480</v>
      </c>
      <c r="B258" s="3" t="s">
        <v>39</v>
      </c>
      <c r="C258" s="8" t="s">
        <v>279</v>
      </c>
      <c r="D258" s="3" t="s">
        <v>47</v>
      </c>
      <c r="E258" s="3" t="s">
        <v>54</v>
      </c>
      <c r="F258" s="9">
        <v>3090</v>
      </c>
      <c r="G258" s="9">
        <v>697</v>
      </c>
      <c r="H258" s="9">
        <v>164</v>
      </c>
      <c r="I258" s="9">
        <v>49440</v>
      </c>
      <c r="J258" s="9">
        <v>48524</v>
      </c>
      <c r="K258" s="9">
        <v>25</v>
      </c>
      <c r="L258" s="4" t="s">
        <v>33</v>
      </c>
      <c r="M258" s="100" t="s">
        <v>33</v>
      </c>
      <c r="N258" s="100" t="s">
        <v>602</v>
      </c>
      <c r="O258" s="13" t="s">
        <v>21</v>
      </c>
    </row>
    <row r="259" spans="1:15" ht="14.25" customHeight="1" x14ac:dyDescent="0.3">
      <c r="A259" s="3" t="s">
        <v>481</v>
      </c>
      <c r="B259" s="3" t="s">
        <v>29</v>
      </c>
      <c r="C259" s="8" t="s">
        <v>482</v>
      </c>
      <c r="D259" s="3" t="s">
        <v>31</v>
      </c>
      <c r="E259" s="3" t="s">
        <v>32</v>
      </c>
      <c r="F259" s="9">
        <v>3601</v>
      </c>
      <c r="G259" s="9">
        <v>695</v>
      </c>
      <c r="H259" s="9">
        <v>75</v>
      </c>
      <c r="I259" s="9">
        <v>21606</v>
      </c>
      <c r="J259" s="9">
        <v>21454</v>
      </c>
      <c r="K259" s="9">
        <v>172</v>
      </c>
      <c r="L259" s="4" t="s">
        <v>33</v>
      </c>
      <c r="M259" s="11" t="s">
        <v>603</v>
      </c>
      <c r="N259" t="s">
        <v>603</v>
      </c>
      <c r="O259" s="13" t="s">
        <v>21</v>
      </c>
    </row>
    <row r="260" spans="1:15" ht="14.25" customHeight="1" x14ac:dyDescent="0.3">
      <c r="A260" s="3" t="s">
        <v>483</v>
      </c>
      <c r="B260" s="3" t="s">
        <v>39</v>
      </c>
      <c r="C260" s="8" t="s">
        <v>237</v>
      </c>
      <c r="D260" s="3" t="s">
        <v>20</v>
      </c>
      <c r="E260" s="3" t="s">
        <v>51</v>
      </c>
      <c r="F260" s="9">
        <v>562</v>
      </c>
      <c r="G260" s="9">
        <v>158</v>
      </c>
      <c r="H260" s="9">
        <v>149</v>
      </c>
      <c r="I260" s="9">
        <v>3372</v>
      </c>
      <c r="J260" s="9">
        <v>2940</v>
      </c>
      <c r="K260" s="9">
        <v>93</v>
      </c>
      <c r="L260" s="4" t="s">
        <v>26</v>
      </c>
      <c r="M260" s="11" t="s">
        <v>603</v>
      </c>
      <c r="N260" t="s">
        <v>603</v>
      </c>
      <c r="O260" s="13" t="s">
        <v>17</v>
      </c>
    </row>
    <row r="261" spans="1:15" ht="14.25" customHeight="1" x14ac:dyDescent="0.3">
      <c r="A261" s="3" t="s">
        <v>484</v>
      </c>
      <c r="B261" s="3" t="s">
        <v>29</v>
      </c>
      <c r="C261" s="8" t="s">
        <v>485</v>
      </c>
      <c r="D261" s="3" t="s">
        <v>31</v>
      </c>
      <c r="E261" s="3" t="s">
        <v>32</v>
      </c>
      <c r="F261" s="9">
        <v>4332</v>
      </c>
      <c r="G261" s="9">
        <v>771</v>
      </c>
      <c r="H261" s="9">
        <v>219</v>
      </c>
      <c r="I261" s="9">
        <v>60648</v>
      </c>
      <c r="J261" s="9">
        <v>60397</v>
      </c>
      <c r="K261" s="9">
        <v>10</v>
      </c>
      <c r="L261" s="4" t="s">
        <v>26</v>
      </c>
      <c r="M261" s="100" t="s">
        <v>33</v>
      </c>
      <c r="N261" s="100" t="s">
        <v>602</v>
      </c>
      <c r="O261" s="13" t="s">
        <v>27</v>
      </c>
    </row>
    <row r="262" spans="1:15" ht="14.25" customHeight="1" x14ac:dyDescent="0.3">
      <c r="A262" s="3" t="s">
        <v>486</v>
      </c>
      <c r="B262" s="3" t="s">
        <v>29</v>
      </c>
      <c r="C262" s="8" t="s">
        <v>487</v>
      </c>
      <c r="D262" s="3" t="s">
        <v>47</v>
      </c>
      <c r="E262" s="3" t="s">
        <v>204</v>
      </c>
      <c r="F262" s="9">
        <v>4853</v>
      </c>
      <c r="G262" s="9">
        <v>837</v>
      </c>
      <c r="H262" s="9">
        <v>340</v>
      </c>
      <c r="I262" s="9">
        <v>72795</v>
      </c>
      <c r="J262" s="9">
        <v>72237</v>
      </c>
      <c r="K262" s="9">
        <v>170</v>
      </c>
      <c r="L262" s="4" t="s">
        <v>33</v>
      </c>
      <c r="M262" s="11" t="s">
        <v>603</v>
      </c>
      <c r="N262" t="s">
        <v>603</v>
      </c>
      <c r="O262" s="13" t="s">
        <v>17</v>
      </c>
    </row>
    <row r="263" spans="1:15" ht="14.25" customHeight="1" x14ac:dyDescent="0.3">
      <c r="A263" s="3" t="s">
        <v>488</v>
      </c>
      <c r="B263" s="3" t="s">
        <v>23</v>
      </c>
      <c r="C263" s="8" t="s">
        <v>456</v>
      </c>
      <c r="D263" s="3" t="s">
        <v>47</v>
      </c>
      <c r="E263" s="3" t="s">
        <v>48</v>
      </c>
      <c r="F263" s="9">
        <v>1206</v>
      </c>
      <c r="G263" s="9">
        <v>238</v>
      </c>
      <c r="H263" s="9">
        <v>36</v>
      </c>
      <c r="I263" s="9">
        <v>9648</v>
      </c>
      <c r="J263" s="9">
        <v>9417</v>
      </c>
      <c r="K263" s="9">
        <v>237</v>
      </c>
      <c r="L263" s="4" t="s">
        <v>26</v>
      </c>
      <c r="M263" s="11" t="s">
        <v>603</v>
      </c>
      <c r="N263" t="s">
        <v>603</v>
      </c>
      <c r="O263" s="13" t="s">
        <v>603</v>
      </c>
    </row>
    <row r="264" spans="1:15" ht="14.25" customHeight="1" x14ac:dyDescent="0.3">
      <c r="A264" s="3" t="s">
        <v>489</v>
      </c>
      <c r="B264" s="3" t="s">
        <v>29</v>
      </c>
      <c r="C264" s="8" t="s">
        <v>490</v>
      </c>
      <c r="D264" s="3" t="s">
        <v>16</v>
      </c>
      <c r="E264" s="3" t="s">
        <v>77</v>
      </c>
      <c r="F264" s="9">
        <v>2603</v>
      </c>
      <c r="G264" s="9">
        <v>690</v>
      </c>
      <c r="H264" s="9">
        <v>205</v>
      </c>
      <c r="I264" s="9">
        <v>13015</v>
      </c>
      <c r="J264" s="9">
        <v>12130</v>
      </c>
      <c r="K264" s="9">
        <v>20</v>
      </c>
      <c r="L264" s="4" t="s">
        <v>57</v>
      </c>
      <c r="M264" s="11" t="s">
        <v>603</v>
      </c>
      <c r="N264" t="s">
        <v>603</v>
      </c>
      <c r="O264" s="13" t="s">
        <v>21</v>
      </c>
    </row>
    <row r="265" spans="1:15" ht="14.25" customHeight="1" x14ac:dyDescent="0.3">
      <c r="A265" s="3" t="s">
        <v>491</v>
      </c>
      <c r="B265" s="3" t="s">
        <v>592</v>
      </c>
      <c r="C265" s="8" t="s">
        <v>492</v>
      </c>
      <c r="D265" s="3" t="s">
        <v>47</v>
      </c>
      <c r="E265" s="3" t="s">
        <v>596</v>
      </c>
      <c r="F265" s="9">
        <v>59</v>
      </c>
      <c r="G265" s="9">
        <v>163</v>
      </c>
      <c r="H265" s="9">
        <v>93</v>
      </c>
      <c r="I265" s="9">
        <v>590</v>
      </c>
      <c r="J265" s="9">
        <v>475</v>
      </c>
      <c r="K265" s="9">
        <v>293</v>
      </c>
      <c r="L265" s="4" t="s">
        <v>26</v>
      </c>
      <c r="M265" s="11" t="s">
        <v>603</v>
      </c>
      <c r="N265" t="s">
        <v>603</v>
      </c>
      <c r="O265" s="13" t="s">
        <v>21</v>
      </c>
    </row>
    <row r="266" spans="1:15" ht="14.25" customHeight="1" x14ac:dyDescent="0.3">
      <c r="A266" s="3" t="s">
        <v>493</v>
      </c>
      <c r="B266" s="3" t="s">
        <v>592</v>
      </c>
      <c r="C266" s="8" t="s">
        <v>494</v>
      </c>
      <c r="D266" s="3" t="s">
        <v>41</v>
      </c>
      <c r="E266" s="3" t="s">
        <v>595</v>
      </c>
      <c r="F266" s="9">
        <v>1877</v>
      </c>
      <c r="G266" s="9">
        <v>745</v>
      </c>
      <c r="H266" s="9">
        <v>225</v>
      </c>
      <c r="I266" s="9">
        <v>11262</v>
      </c>
      <c r="J266" s="9">
        <v>10967</v>
      </c>
      <c r="K266" s="9">
        <v>41</v>
      </c>
      <c r="L266" s="4" t="s">
        <v>33</v>
      </c>
      <c r="M266" s="11" t="s">
        <v>603</v>
      </c>
      <c r="N266" t="s">
        <v>603</v>
      </c>
      <c r="O266" s="13" t="s">
        <v>34</v>
      </c>
    </row>
    <row r="267" spans="1:15" ht="14.25" customHeight="1" x14ac:dyDescent="0.3">
      <c r="A267" s="3" t="s">
        <v>495</v>
      </c>
      <c r="B267" s="3" t="s">
        <v>39</v>
      </c>
      <c r="C267" s="8" t="s">
        <v>123</v>
      </c>
      <c r="D267" s="3" t="s">
        <v>31</v>
      </c>
      <c r="E267" s="3" t="s">
        <v>66</v>
      </c>
      <c r="F267" s="9">
        <v>4182</v>
      </c>
      <c r="G267" s="9">
        <v>640</v>
      </c>
      <c r="H267" s="9">
        <v>240</v>
      </c>
      <c r="I267" s="9">
        <v>50184</v>
      </c>
      <c r="J267" s="9">
        <v>49351</v>
      </c>
      <c r="K267" s="9">
        <v>10</v>
      </c>
      <c r="L267" s="4" t="s">
        <v>26</v>
      </c>
      <c r="M267" s="11" t="s">
        <v>603</v>
      </c>
      <c r="N267" t="s">
        <v>603</v>
      </c>
      <c r="O267" s="13" t="s">
        <v>27</v>
      </c>
    </row>
    <row r="268" spans="1:15" ht="14.25" customHeight="1" x14ac:dyDescent="0.3">
      <c r="A268" s="3" t="s">
        <v>496</v>
      </c>
      <c r="B268" s="3" t="s">
        <v>592</v>
      </c>
      <c r="C268" s="8" t="s">
        <v>382</v>
      </c>
      <c r="D268" s="3" t="s">
        <v>16</v>
      </c>
      <c r="E268" s="3" t="s">
        <v>593</v>
      </c>
      <c r="F268" s="9">
        <v>4187</v>
      </c>
      <c r="G268" s="9">
        <v>66</v>
      </c>
      <c r="H268" s="9">
        <v>31</v>
      </c>
      <c r="I268" s="9">
        <v>66992</v>
      </c>
      <c r="J268" s="9">
        <v>66614</v>
      </c>
      <c r="K268" s="9">
        <v>62</v>
      </c>
      <c r="L268" s="4" t="s">
        <v>57</v>
      </c>
      <c r="M268" s="11" t="s">
        <v>603</v>
      </c>
      <c r="N268" t="s">
        <v>603</v>
      </c>
      <c r="O268" s="13" t="s">
        <v>603</v>
      </c>
    </row>
    <row r="269" spans="1:15" ht="14.25" customHeight="1" x14ac:dyDescent="0.3">
      <c r="A269" s="3" t="s">
        <v>497</v>
      </c>
      <c r="B269" s="3" t="s">
        <v>29</v>
      </c>
      <c r="C269" s="8" t="s">
        <v>498</v>
      </c>
      <c r="D269" s="3" t="s">
        <v>16</v>
      </c>
      <c r="E269" s="3" t="s">
        <v>77</v>
      </c>
      <c r="F269" s="9">
        <v>4579</v>
      </c>
      <c r="G269" s="9">
        <v>125</v>
      </c>
      <c r="H269" s="9">
        <v>300</v>
      </c>
      <c r="I269" s="9">
        <v>59527</v>
      </c>
      <c r="J269" s="9">
        <v>59400</v>
      </c>
      <c r="K269" s="9">
        <v>269</v>
      </c>
      <c r="L269" s="4" t="s">
        <v>33</v>
      </c>
      <c r="M269" s="11" t="s">
        <v>603</v>
      </c>
      <c r="N269" t="s">
        <v>603</v>
      </c>
      <c r="O269" s="13" t="s">
        <v>17</v>
      </c>
    </row>
    <row r="270" spans="1:15" ht="14.25" customHeight="1" x14ac:dyDescent="0.3">
      <c r="A270" s="3" t="s">
        <v>499</v>
      </c>
      <c r="B270" s="3" t="s">
        <v>29</v>
      </c>
      <c r="C270" s="8" t="s">
        <v>500</v>
      </c>
      <c r="D270" s="3" t="s">
        <v>69</v>
      </c>
      <c r="E270" s="3" t="s">
        <v>80</v>
      </c>
      <c r="F270" s="9">
        <v>4561</v>
      </c>
      <c r="G270" s="9">
        <v>51</v>
      </c>
      <c r="H270" s="9">
        <v>441</v>
      </c>
      <c r="I270" s="9">
        <v>22805</v>
      </c>
      <c r="J270" s="9">
        <v>21890</v>
      </c>
      <c r="K270" s="9">
        <v>45</v>
      </c>
      <c r="L270" s="4" t="s">
        <v>26</v>
      </c>
      <c r="M270" s="11" t="s">
        <v>603</v>
      </c>
      <c r="N270" t="s">
        <v>603</v>
      </c>
      <c r="O270" s="13" t="s">
        <v>21</v>
      </c>
    </row>
    <row r="271" spans="1:15" ht="14.25" customHeight="1" x14ac:dyDescent="0.3">
      <c r="A271" s="3" t="s">
        <v>501</v>
      </c>
      <c r="B271" s="3" t="s">
        <v>23</v>
      </c>
      <c r="C271" s="8" t="s">
        <v>400</v>
      </c>
      <c r="D271" s="3" t="s">
        <v>16</v>
      </c>
      <c r="E271" s="3" t="s">
        <v>25</v>
      </c>
      <c r="F271" s="9">
        <v>3774</v>
      </c>
      <c r="G271" s="9">
        <v>239</v>
      </c>
      <c r="H271" s="9">
        <v>39</v>
      </c>
      <c r="I271" s="9">
        <v>60384</v>
      </c>
      <c r="J271" s="9">
        <v>59490</v>
      </c>
      <c r="K271" s="9">
        <v>241</v>
      </c>
      <c r="L271" s="4" t="s">
        <v>26</v>
      </c>
      <c r="M271" s="11" t="s">
        <v>603</v>
      </c>
      <c r="N271" t="s">
        <v>603</v>
      </c>
      <c r="O271" s="13" t="s">
        <v>27</v>
      </c>
    </row>
    <row r="272" spans="1:15" ht="14.25" customHeight="1" x14ac:dyDescent="0.3">
      <c r="A272" s="3" t="s">
        <v>502</v>
      </c>
      <c r="B272" s="3" t="s">
        <v>29</v>
      </c>
      <c r="C272" s="8" t="s">
        <v>503</v>
      </c>
      <c r="D272" s="3" t="s">
        <v>69</v>
      </c>
      <c r="E272" s="3" t="s">
        <v>80</v>
      </c>
      <c r="F272" s="9">
        <v>3575</v>
      </c>
      <c r="G272" s="9">
        <v>749</v>
      </c>
      <c r="H272" s="9">
        <v>111</v>
      </c>
      <c r="I272" s="9">
        <v>21450</v>
      </c>
      <c r="J272" s="9">
        <v>20785</v>
      </c>
      <c r="K272" s="9">
        <v>195</v>
      </c>
      <c r="L272" s="4" t="s">
        <v>33</v>
      </c>
      <c r="M272" s="11" t="s">
        <v>603</v>
      </c>
      <c r="N272" t="s">
        <v>603</v>
      </c>
      <c r="O272" s="13" t="s">
        <v>21</v>
      </c>
    </row>
    <row r="273" spans="1:15" ht="14.25" customHeight="1" x14ac:dyDescent="0.3">
      <c r="A273" s="3" t="s">
        <v>504</v>
      </c>
      <c r="B273" s="3" t="s">
        <v>29</v>
      </c>
      <c r="C273" s="8" t="s">
        <v>472</v>
      </c>
      <c r="D273" s="3" t="s">
        <v>20</v>
      </c>
      <c r="E273" s="3" t="s">
        <v>107</v>
      </c>
      <c r="F273" s="9">
        <v>4941</v>
      </c>
      <c r="G273" s="9">
        <v>414</v>
      </c>
      <c r="H273" s="9">
        <v>266</v>
      </c>
      <c r="I273" s="9">
        <v>39528</v>
      </c>
      <c r="J273" s="9">
        <v>39154</v>
      </c>
      <c r="K273" s="9">
        <v>217</v>
      </c>
      <c r="L273" s="4" t="s">
        <v>26</v>
      </c>
      <c r="M273" s="11" t="s">
        <v>603</v>
      </c>
      <c r="N273" t="s">
        <v>603</v>
      </c>
      <c r="O273" s="13" t="s">
        <v>27</v>
      </c>
    </row>
    <row r="274" spans="1:15" ht="14.25" customHeight="1" x14ac:dyDescent="0.3">
      <c r="A274" s="3" t="s">
        <v>505</v>
      </c>
      <c r="B274" s="3" t="s">
        <v>23</v>
      </c>
      <c r="C274" s="8" t="s">
        <v>506</v>
      </c>
      <c r="D274" s="3" t="s">
        <v>31</v>
      </c>
      <c r="E274" s="3" t="s">
        <v>145</v>
      </c>
      <c r="F274" s="9">
        <v>3641</v>
      </c>
      <c r="G274" s="9">
        <v>226</v>
      </c>
      <c r="H274" s="9">
        <v>46</v>
      </c>
      <c r="I274" s="9">
        <v>40051</v>
      </c>
      <c r="J274" s="9">
        <v>39319</v>
      </c>
      <c r="K274" s="9">
        <v>296</v>
      </c>
      <c r="L274" s="4" t="s">
        <v>33</v>
      </c>
      <c r="M274" s="11" t="s">
        <v>603</v>
      </c>
      <c r="N274" t="s">
        <v>603</v>
      </c>
      <c r="O274" s="13" t="s">
        <v>34</v>
      </c>
    </row>
    <row r="275" spans="1:15" ht="14.25" customHeight="1" x14ac:dyDescent="0.3">
      <c r="A275" s="3" t="s">
        <v>507</v>
      </c>
      <c r="B275" s="3" t="s">
        <v>592</v>
      </c>
      <c r="C275" s="8" t="s">
        <v>322</v>
      </c>
      <c r="D275" s="3" t="s">
        <v>41</v>
      </c>
      <c r="E275" s="3" t="s">
        <v>595</v>
      </c>
      <c r="F275" s="9">
        <v>3535</v>
      </c>
      <c r="G275" s="9">
        <v>494</v>
      </c>
      <c r="H275" s="9">
        <v>152</v>
      </c>
      <c r="I275" s="9">
        <v>53025</v>
      </c>
      <c r="J275" s="9">
        <v>52791</v>
      </c>
      <c r="K275" s="9">
        <v>44</v>
      </c>
      <c r="L275" s="4" t="s">
        <v>26</v>
      </c>
      <c r="M275" s="11" t="s">
        <v>603</v>
      </c>
      <c r="N275" t="s">
        <v>603</v>
      </c>
      <c r="O275" s="13" t="s">
        <v>34</v>
      </c>
    </row>
    <row r="276" spans="1:15" ht="14.25" customHeight="1" x14ac:dyDescent="0.3">
      <c r="A276" s="3" t="s">
        <v>508</v>
      </c>
      <c r="B276" s="3" t="s">
        <v>39</v>
      </c>
      <c r="C276" s="8" t="s">
        <v>482</v>
      </c>
      <c r="D276" s="3" t="s">
        <v>16</v>
      </c>
      <c r="E276" s="3" t="s">
        <v>60</v>
      </c>
      <c r="F276" s="9">
        <v>1741</v>
      </c>
      <c r="G276" s="9">
        <v>831</v>
      </c>
      <c r="H276" s="9">
        <v>345</v>
      </c>
      <c r="I276" s="9">
        <v>17410</v>
      </c>
      <c r="J276" s="9">
        <v>16844</v>
      </c>
      <c r="K276" s="9">
        <v>58</v>
      </c>
      <c r="L276" s="4" t="s">
        <v>33</v>
      </c>
      <c r="M276" s="11" t="s">
        <v>603</v>
      </c>
      <c r="N276" t="s">
        <v>603</v>
      </c>
      <c r="O276" s="13" t="s">
        <v>27</v>
      </c>
    </row>
    <row r="277" spans="1:15" ht="14.25" customHeight="1" x14ac:dyDescent="0.3">
      <c r="A277" s="3" t="s">
        <v>509</v>
      </c>
      <c r="B277" s="3" t="s">
        <v>592</v>
      </c>
      <c r="C277" s="8" t="s">
        <v>510</v>
      </c>
      <c r="D277" s="3" t="s">
        <v>41</v>
      </c>
      <c r="E277" s="3" t="s">
        <v>595</v>
      </c>
      <c r="F277" s="9">
        <v>1556</v>
      </c>
      <c r="G277" s="9">
        <v>195</v>
      </c>
      <c r="H277" s="9">
        <v>131</v>
      </c>
      <c r="I277" s="9">
        <v>9336</v>
      </c>
      <c r="J277" s="9">
        <v>8875</v>
      </c>
      <c r="K277" s="9">
        <v>137</v>
      </c>
      <c r="L277" s="4" t="s">
        <v>26</v>
      </c>
      <c r="M277" s="11" t="s">
        <v>603</v>
      </c>
      <c r="N277" t="s">
        <v>603</v>
      </c>
      <c r="O277" s="13" t="s">
        <v>21</v>
      </c>
    </row>
    <row r="278" spans="1:15" ht="14.25" customHeight="1" x14ac:dyDescent="0.3">
      <c r="A278" s="3" t="s">
        <v>511</v>
      </c>
      <c r="B278" s="3" t="s">
        <v>39</v>
      </c>
      <c r="C278" s="8" t="s">
        <v>279</v>
      </c>
      <c r="D278" s="3" t="s">
        <v>47</v>
      </c>
      <c r="E278" s="3" t="s">
        <v>54</v>
      </c>
      <c r="F278" s="9">
        <v>4236</v>
      </c>
      <c r="G278" s="9">
        <v>711</v>
      </c>
      <c r="H278" s="9">
        <v>298</v>
      </c>
      <c r="I278" s="9">
        <v>21180</v>
      </c>
      <c r="J278" s="9">
        <v>20516</v>
      </c>
      <c r="K278" s="9">
        <v>238</v>
      </c>
      <c r="L278" s="4" t="s">
        <v>57</v>
      </c>
      <c r="M278" s="11" t="s">
        <v>603</v>
      </c>
      <c r="N278" t="s">
        <v>603</v>
      </c>
      <c r="O278" s="13" t="s">
        <v>17</v>
      </c>
    </row>
    <row r="279" spans="1:15" ht="14.25" customHeight="1" x14ac:dyDescent="0.3">
      <c r="A279" s="3" t="s">
        <v>512</v>
      </c>
      <c r="B279" s="3" t="s">
        <v>592</v>
      </c>
      <c r="C279" s="8" t="s">
        <v>513</v>
      </c>
      <c r="D279" s="3" t="s">
        <v>20</v>
      </c>
      <c r="E279" s="3" t="s">
        <v>594</v>
      </c>
      <c r="F279" s="9">
        <v>4516</v>
      </c>
      <c r="G279" s="9">
        <v>836</v>
      </c>
      <c r="H279" s="9">
        <v>169</v>
      </c>
      <c r="I279" s="9">
        <v>49676</v>
      </c>
      <c r="J279" s="9">
        <v>49257</v>
      </c>
      <c r="K279" s="9">
        <v>282</v>
      </c>
      <c r="L279" s="4" t="s">
        <v>33</v>
      </c>
      <c r="M279" s="11" t="s">
        <v>603</v>
      </c>
      <c r="N279" t="s">
        <v>603</v>
      </c>
      <c r="O279" s="13" t="s">
        <v>34</v>
      </c>
    </row>
    <row r="280" spans="1:15" ht="14.25" customHeight="1" x14ac:dyDescent="0.3">
      <c r="A280" s="3" t="s">
        <v>514</v>
      </c>
      <c r="B280" s="3" t="s">
        <v>23</v>
      </c>
      <c r="C280" s="8" t="s">
        <v>184</v>
      </c>
      <c r="D280" s="3" t="s">
        <v>47</v>
      </c>
      <c r="E280" s="3" t="s">
        <v>48</v>
      </c>
      <c r="F280" s="9">
        <v>4905</v>
      </c>
      <c r="G280" s="9">
        <v>845</v>
      </c>
      <c r="H280" s="9">
        <v>129</v>
      </c>
      <c r="I280" s="9">
        <v>98100</v>
      </c>
      <c r="J280" s="9">
        <v>97772</v>
      </c>
      <c r="K280" s="9">
        <v>279</v>
      </c>
      <c r="L280" s="4" t="s">
        <v>26</v>
      </c>
      <c r="M280" s="11" t="s">
        <v>603</v>
      </c>
      <c r="N280" t="s">
        <v>603</v>
      </c>
      <c r="O280" s="13" t="s">
        <v>21</v>
      </c>
    </row>
    <row r="281" spans="1:15" ht="14.25" customHeight="1" x14ac:dyDescent="0.3">
      <c r="A281" s="3" t="s">
        <v>515</v>
      </c>
      <c r="B281" s="3" t="s">
        <v>23</v>
      </c>
      <c r="C281" s="8" t="s">
        <v>158</v>
      </c>
      <c r="D281" s="3" t="s">
        <v>69</v>
      </c>
      <c r="E281" s="3" t="s">
        <v>207</v>
      </c>
      <c r="F281" s="9">
        <v>4275</v>
      </c>
      <c r="G281" s="9">
        <v>680</v>
      </c>
      <c r="H281" s="9">
        <v>385</v>
      </c>
      <c r="I281" s="9">
        <v>64125</v>
      </c>
      <c r="J281" s="9">
        <v>63650</v>
      </c>
      <c r="K281" s="9">
        <v>104</v>
      </c>
      <c r="L281" s="4" t="s">
        <v>33</v>
      </c>
      <c r="M281" s="100" t="s">
        <v>26</v>
      </c>
      <c r="N281" s="100" t="s">
        <v>601</v>
      </c>
      <c r="O281" s="13" t="s">
        <v>34</v>
      </c>
    </row>
    <row r="282" spans="1:15" ht="14.25" customHeight="1" x14ac:dyDescent="0.3">
      <c r="A282" s="3" t="s">
        <v>516</v>
      </c>
      <c r="B282" s="3" t="s">
        <v>23</v>
      </c>
      <c r="C282" s="8" t="s">
        <v>517</v>
      </c>
      <c r="D282" s="3" t="s">
        <v>47</v>
      </c>
      <c r="E282" s="3" t="s">
        <v>48</v>
      </c>
      <c r="F282" s="9">
        <v>3166</v>
      </c>
      <c r="G282" s="9">
        <v>90</v>
      </c>
      <c r="H282" s="9">
        <v>341</v>
      </c>
      <c r="I282" s="9">
        <v>56988</v>
      </c>
      <c r="J282" s="9">
        <v>56125</v>
      </c>
      <c r="K282" s="9">
        <v>135</v>
      </c>
      <c r="L282" s="4" t="s">
        <v>33</v>
      </c>
      <c r="M282" s="11" t="s">
        <v>603</v>
      </c>
      <c r="N282" t="s">
        <v>603</v>
      </c>
      <c r="O282" s="13" t="s">
        <v>21</v>
      </c>
    </row>
    <row r="283" spans="1:15" ht="14.25" customHeight="1" x14ac:dyDescent="0.3">
      <c r="A283" s="3" t="s">
        <v>518</v>
      </c>
      <c r="B283" s="3" t="s">
        <v>29</v>
      </c>
      <c r="C283" s="8" t="s">
        <v>519</v>
      </c>
      <c r="D283" s="3" t="s">
        <v>69</v>
      </c>
      <c r="E283" s="3" t="s">
        <v>80</v>
      </c>
      <c r="F283" s="9">
        <v>1488</v>
      </c>
      <c r="G283" s="9">
        <v>417</v>
      </c>
      <c r="H283" s="9">
        <v>168</v>
      </c>
      <c r="I283" s="9">
        <v>19344</v>
      </c>
      <c r="J283" s="9">
        <v>18395</v>
      </c>
      <c r="K283" s="9">
        <v>30</v>
      </c>
      <c r="L283" s="4" t="s">
        <v>57</v>
      </c>
      <c r="M283" s="11" t="s">
        <v>603</v>
      </c>
      <c r="N283" t="s">
        <v>603</v>
      </c>
      <c r="O283" s="13" t="s">
        <v>27</v>
      </c>
    </row>
    <row r="284" spans="1:15" ht="14.25" customHeight="1" x14ac:dyDescent="0.3">
      <c r="A284" s="3" t="s">
        <v>520</v>
      </c>
      <c r="B284" s="3" t="s">
        <v>592</v>
      </c>
      <c r="C284" s="8" t="s">
        <v>521</v>
      </c>
      <c r="D284" s="3" t="s">
        <v>16</v>
      </c>
      <c r="E284" s="3" t="s">
        <v>593</v>
      </c>
      <c r="F284" s="9">
        <v>3367</v>
      </c>
      <c r="G284" s="9">
        <v>302</v>
      </c>
      <c r="H284" s="9">
        <v>57</v>
      </c>
      <c r="I284" s="9">
        <v>63973</v>
      </c>
      <c r="J284" s="9">
        <v>63789</v>
      </c>
      <c r="K284" s="9">
        <v>157</v>
      </c>
      <c r="L284" s="4" t="s">
        <v>57</v>
      </c>
      <c r="M284" s="11" t="s">
        <v>603</v>
      </c>
      <c r="N284" t="s">
        <v>603</v>
      </c>
      <c r="O284" s="13" t="s">
        <v>21</v>
      </c>
    </row>
    <row r="285" spans="1:15" ht="14.25" customHeight="1" x14ac:dyDescent="0.3">
      <c r="A285" s="3" t="s">
        <v>522</v>
      </c>
      <c r="B285" s="3" t="s">
        <v>592</v>
      </c>
      <c r="C285" s="8" t="s">
        <v>97</v>
      </c>
      <c r="D285" s="3" t="s">
        <v>20</v>
      </c>
      <c r="E285" s="3" t="s">
        <v>594</v>
      </c>
      <c r="F285" s="9">
        <v>571</v>
      </c>
      <c r="G285" s="9">
        <v>190</v>
      </c>
      <c r="H285" s="9">
        <v>352</v>
      </c>
      <c r="I285" s="9">
        <v>9707</v>
      </c>
      <c r="J285" s="9">
        <v>9418</v>
      </c>
      <c r="K285" s="9">
        <v>231</v>
      </c>
      <c r="L285" s="4" t="s">
        <v>26</v>
      </c>
      <c r="M285" s="11" t="s">
        <v>603</v>
      </c>
      <c r="N285" t="s">
        <v>603</v>
      </c>
      <c r="O285" s="13" t="s">
        <v>34</v>
      </c>
    </row>
    <row r="286" spans="1:15" ht="14.25" customHeight="1" x14ac:dyDescent="0.3">
      <c r="A286" s="3" t="s">
        <v>523</v>
      </c>
      <c r="B286" s="3" t="s">
        <v>23</v>
      </c>
      <c r="C286" s="8" t="s">
        <v>415</v>
      </c>
      <c r="D286" s="3" t="s">
        <v>20</v>
      </c>
      <c r="E286" s="3" t="s">
        <v>98</v>
      </c>
      <c r="F286" s="9">
        <v>4021</v>
      </c>
      <c r="G286" s="9">
        <v>794</v>
      </c>
      <c r="H286" s="9">
        <v>77</v>
      </c>
      <c r="I286" s="9">
        <v>36189</v>
      </c>
      <c r="J286" s="9">
        <v>35505</v>
      </c>
      <c r="K286" s="9">
        <v>174</v>
      </c>
      <c r="L286" s="4" t="s">
        <v>33</v>
      </c>
      <c r="M286" s="11" t="s">
        <v>603</v>
      </c>
      <c r="N286" t="s">
        <v>603</v>
      </c>
      <c r="O286" s="13" t="s">
        <v>603</v>
      </c>
    </row>
    <row r="287" spans="1:15" ht="14.25" customHeight="1" x14ac:dyDescent="0.3">
      <c r="A287" s="3" t="s">
        <v>524</v>
      </c>
      <c r="B287" s="3" t="s">
        <v>23</v>
      </c>
      <c r="C287" s="8" t="s">
        <v>525</v>
      </c>
      <c r="D287" s="3" t="s">
        <v>69</v>
      </c>
      <c r="E287" s="3" t="s">
        <v>207</v>
      </c>
      <c r="F287" s="9">
        <v>3389</v>
      </c>
      <c r="G287" s="9">
        <v>344</v>
      </c>
      <c r="H287" s="9">
        <v>229</v>
      </c>
      <c r="I287" s="9">
        <v>20334</v>
      </c>
      <c r="J287" s="9">
        <v>19443</v>
      </c>
      <c r="K287" s="9">
        <v>228</v>
      </c>
      <c r="L287" s="4" t="s">
        <v>57</v>
      </c>
      <c r="M287" s="11" t="s">
        <v>603</v>
      </c>
      <c r="N287" t="s">
        <v>603</v>
      </c>
      <c r="O287" s="13" t="s">
        <v>27</v>
      </c>
    </row>
    <row r="288" spans="1:15" ht="14.25" customHeight="1" x14ac:dyDescent="0.3">
      <c r="A288" s="3" t="s">
        <v>526</v>
      </c>
      <c r="B288" s="3" t="s">
        <v>29</v>
      </c>
      <c r="C288" s="8" t="s">
        <v>390</v>
      </c>
      <c r="D288" s="3" t="s">
        <v>16</v>
      </c>
      <c r="E288" s="3" t="s">
        <v>77</v>
      </c>
      <c r="F288" s="9">
        <v>1164</v>
      </c>
      <c r="G288" s="9">
        <v>616</v>
      </c>
      <c r="H288" s="9">
        <v>324</v>
      </c>
      <c r="I288" s="9">
        <v>6984</v>
      </c>
      <c r="J288" s="9">
        <v>6636</v>
      </c>
      <c r="K288" s="9">
        <v>82</v>
      </c>
      <c r="L288" s="4" t="s">
        <v>33</v>
      </c>
      <c r="M288" s="11" t="s">
        <v>603</v>
      </c>
      <c r="N288" t="s">
        <v>603</v>
      </c>
      <c r="O288" s="13" t="s">
        <v>17</v>
      </c>
    </row>
    <row r="289" spans="1:15" ht="14.25" customHeight="1" x14ac:dyDescent="0.3">
      <c r="A289" s="3" t="s">
        <v>527</v>
      </c>
      <c r="B289" s="3" t="s">
        <v>23</v>
      </c>
      <c r="C289" s="8" t="s">
        <v>528</v>
      </c>
      <c r="D289" s="3" t="s">
        <v>41</v>
      </c>
      <c r="E289" s="3" t="s">
        <v>63</v>
      </c>
      <c r="F289" s="9">
        <v>4780</v>
      </c>
      <c r="G289" s="9">
        <v>691</v>
      </c>
      <c r="H289" s="9">
        <v>380</v>
      </c>
      <c r="I289" s="9">
        <v>86040</v>
      </c>
      <c r="J289" s="9">
        <v>85743</v>
      </c>
      <c r="K289" s="9">
        <v>262</v>
      </c>
      <c r="L289" s="4" t="s">
        <v>57</v>
      </c>
      <c r="M289" s="11" t="s">
        <v>603</v>
      </c>
      <c r="N289" t="s">
        <v>603</v>
      </c>
      <c r="O289" s="13" t="s">
        <v>27</v>
      </c>
    </row>
    <row r="290" spans="1:15" ht="14.25" customHeight="1" x14ac:dyDescent="0.3">
      <c r="A290" s="3" t="s">
        <v>529</v>
      </c>
      <c r="B290" s="3" t="s">
        <v>39</v>
      </c>
      <c r="C290" s="8" t="s">
        <v>295</v>
      </c>
      <c r="D290" s="3" t="s">
        <v>41</v>
      </c>
      <c r="E290" s="3" t="s">
        <v>42</v>
      </c>
      <c r="F290" s="9">
        <v>2751</v>
      </c>
      <c r="G290" s="9">
        <v>33</v>
      </c>
      <c r="H290" s="9">
        <v>430</v>
      </c>
      <c r="I290" s="9">
        <v>44016</v>
      </c>
      <c r="J290" s="9">
        <v>43415</v>
      </c>
      <c r="K290" s="9">
        <v>129</v>
      </c>
      <c r="L290" s="4" t="s">
        <v>57</v>
      </c>
      <c r="M290" s="11" t="s">
        <v>603</v>
      </c>
      <c r="N290" t="s">
        <v>603</v>
      </c>
      <c r="O290" s="13" t="s">
        <v>603</v>
      </c>
    </row>
    <row r="291" spans="1:15" ht="14.25" customHeight="1" x14ac:dyDescent="0.3">
      <c r="A291" s="3" t="s">
        <v>530</v>
      </c>
      <c r="B291" s="3" t="s">
        <v>29</v>
      </c>
      <c r="C291" s="8" t="s">
        <v>531</v>
      </c>
      <c r="D291" s="3" t="s">
        <v>41</v>
      </c>
      <c r="E291" s="3" t="s">
        <v>83</v>
      </c>
      <c r="F291" s="9">
        <v>2107</v>
      </c>
      <c r="G291" s="9">
        <v>550</v>
      </c>
      <c r="H291" s="9">
        <v>349</v>
      </c>
      <c r="I291" s="9">
        <v>35819</v>
      </c>
      <c r="J291" s="9">
        <v>35340</v>
      </c>
      <c r="K291" s="9">
        <v>191</v>
      </c>
      <c r="L291" s="4" t="s">
        <v>33</v>
      </c>
      <c r="M291" s="11" t="s">
        <v>603</v>
      </c>
      <c r="N291" t="s">
        <v>603</v>
      </c>
      <c r="O291" s="13" t="s">
        <v>34</v>
      </c>
    </row>
    <row r="292" spans="1:15" ht="14.25" customHeight="1" x14ac:dyDescent="0.3">
      <c r="A292" s="3" t="s">
        <v>532</v>
      </c>
      <c r="B292" s="3" t="s">
        <v>39</v>
      </c>
      <c r="C292" s="8" t="s">
        <v>89</v>
      </c>
      <c r="D292" s="3" t="s">
        <v>69</v>
      </c>
      <c r="E292" s="3" t="s">
        <v>70</v>
      </c>
      <c r="F292" s="9">
        <v>4663</v>
      </c>
      <c r="G292" s="9">
        <v>145</v>
      </c>
      <c r="H292" s="9">
        <v>225</v>
      </c>
      <c r="I292" s="9">
        <v>69945</v>
      </c>
      <c r="J292" s="9">
        <v>69596</v>
      </c>
      <c r="K292" s="9">
        <v>35</v>
      </c>
      <c r="L292" s="4" t="s">
        <v>33</v>
      </c>
      <c r="M292" s="11" t="s">
        <v>603</v>
      </c>
      <c r="N292" t="s">
        <v>603</v>
      </c>
      <c r="O292" s="13" t="s">
        <v>34</v>
      </c>
    </row>
    <row r="293" spans="1:15" ht="14.25" customHeight="1" x14ac:dyDescent="0.3">
      <c r="A293" s="3" t="s">
        <v>533</v>
      </c>
      <c r="B293" s="3" t="s">
        <v>39</v>
      </c>
      <c r="C293" s="8" t="s">
        <v>534</v>
      </c>
      <c r="D293" s="3" t="s">
        <v>20</v>
      </c>
      <c r="E293" s="3" t="s">
        <v>51</v>
      </c>
      <c r="F293" s="9">
        <v>880</v>
      </c>
      <c r="G293" s="9">
        <v>297</v>
      </c>
      <c r="H293" s="9">
        <v>345</v>
      </c>
      <c r="I293" s="9">
        <v>12320</v>
      </c>
      <c r="J293" s="9">
        <v>11978</v>
      </c>
      <c r="K293" s="9">
        <v>238</v>
      </c>
      <c r="L293" s="4" t="s">
        <v>26</v>
      </c>
      <c r="M293" s="100" t="s">
        <v>601</v>
      </c>
      <c r="N293" t="s">
        <v>603</v>
      </c>
      <c r="O293" s="13" t="s">
        <v>603</v>
      </c>
    </row>
    <row r="294" spans="1:15" ht="14.25" customHeight="1" x14ac:dyDescent="0.3">
      <c r="A294" s="3" t="s">
        <v>535</v>
      </c>
      <c r="B294" s="3" t="s">
        <v>39</v>
      </c>
      <c r="C294" s="8" t="s">
        <v>536</v>
      </c>
      <c r="D294" s="3" t="s">
        <v>20</v>
      </c>
      <c r="E294" s="3" t="s">
        <v>51</v>
      </c>
      <c r="F294" s="9">
        <v>2634</v>
      </c>
      <c r="G294" s="9">
        <v>726</v>
      </c>
      <c r="H294" s="9">
        <v>241</v>
      </c>
      <c r="I294" s="9">
        <v>28974</v>
      </c>
      <c r="J294" s="9">
        <v>28102</v>
      </c>
      <c r="K294" s="9">
        <v>277</v>
      </c>
      <c r="L294" s="4" t="s">
        <v>33</v>
      </c>
      <c r="M294" s="11" t="s">
        <v>603</v>
      </c>
      <c r="N294" t="s">
        <v>603</v>
      </c>
      <c r="O294" s="13" t="s">
        <v>17</v>
      </c>
    </row>
    <row r="295" spans="1:15" ht="14.25" customHeight="1" x14ac:dyDescent="0.3">
      <c r="A295" s="3" t="s">
        <v>537</v>
      </c>
      <c r="B295" s="3" t="s">
        <v>39</v>
      </c>
      <c r="C295" s="8" t="s">
        <v>538</v>
      </c>
      <c r="D295" s="3" t="s">
        <v>41</v>
      </c>
      <c r="E295" s="3" t="s">
        <v>42</v>
      </c>
      <c r="F295" s="9">
        <v>4731</v>
      </c>
      <c r="G295" s="9">
        <v>173</v>
      </c>
      <c r="H295" s="9">
        <v>276</v>
      </c>
      <c r="I295" s="9">
        <v>28386</v>
      </c>
      <c r="J295" s="9">
        <v>28185</v>
      </c>
      <c r="K295" s="9">
        <v>89</v>
      </c>
      <c r="L295" s="4" t="s">
        <v>33</v>
      </c>
      <c r="M295" s="11" t="s">
        <v>603</v>
      </c>
      <c r="N295" t="s">
        <v>603</v>
      </c>
      <c r="O295" s="13" t="s">
        <v>27</v>
      </c>
    </row>
    <row r="296" spans="1:15" ht="14.25" customHeight="1" x14ac:dyDescent="0.3">
      <c r="A296" s="3" t="s">
        <v>539</v>
      </c>
      <c r="B296" s="3" t="s">
        <v>592</v>
      </c>
      <c r="C296" s="8" t="s">
        <v>421</v>
      </c>
      <c r="D296" s="3" t="s">
        <v>47</v>
      </c>
      <c r="E296" s="3" t="s">
        <v>596</v>
      </c>
      <c r="F296" s="9">
        <v>1952</v>
      </c>
      <c r="G296" s="9">
        <v>344</v>
      </c>
      <c r="H296" s="9">
        <v>287</v>
      </c>
      <c r="I296" s="9">
        <v>15616</v>
      </c>
      <c r="J296" s="9">
        <v>15403</v>
      </c>
      <c r="K296" s="9">
        <v>235</v>
      </c>
      <c r="L296" s="4" t="s">
        <v>57</v>
      </c>
      <c r="M296" s="100" t="s">
        <v>26</v>
      </c>
      <c r="N296" s="100" t="s">
        <v>601</v>
      </c>
      <c r="O296" s="13" t="s">
        <v>21</v>
      </c>
    </row>
    <row r="297" spans="1:15" ht="14.25" customHeight="1" x14ac:dyDescent="0.3">
      <c r="A297" s="3" t="s">
        <v>540</v>
      </c>
      <c r="B297" s="3" t="s">
        <v>592</v>
      </c>
      <c r="C297" s="8" t="s">
        <v>541</v>
      </c>
      <c r="D297" s="3" t="s">
        <v>69</v>
      </c>
      <c r="E297" s="3" t="s">
        <v>597</v>
      </c>
      <c r="F297" s="9">
        <v>3440</v>
      </c>
      <c r="G297" s="9">
        <v>13</v>
      </c>
      <c r="H297" s="9">
        <v>20</v>
      </c>
      <c r="I297" s="9">
        <v>58480</v>
      </c>
      <c r="J297" s="9">
        <v>58146</v>
      </c>
      <c r="K297" s="9">
        <v>210</v>
      </c>
      <c r="L297" s="4" t="s">
        <v>26</v>
      </c>
      <c r="M297" s="100" t="s">
        <v>587</v>
      </c>
      <c r="N297" t="s">
        <v>603</v>
      </c>
      <c r="O297" s="13" t="s">
        <v>34</v>
      </c>
    </row>
    <row r="298" spans="1:15" ht="14.25" customHeight="1" x14ac:dyDescent="0.3">
      <c r="A298" s="3" t="s">
        <v>542</v>
      </c>
      <c r="B298" s="3" t="s">
        <v>592</v>
      </c>
      <c r="C298" s="8" t="s">
        <v>543</v>
      </c>
      <c r="D298" s="3" t="s">
        <v>20</v>
      </c>
      <c r="E298" s="3" t="s">
        <v>594</v>
      </c>
      <c r="F298" s="9">
        <v>2166</v>
      </c>
      <c r="G298" s="9">
        <v>354</v>
      </c>
      <c r="H298" s="9">
        <v>117</v>
      </c>
      <c r="I298" s="9">
        <v>10830</v>
      </c>
      <c r="J298" s="9">
        <v>10245</v>
      </c>
      <c r="K298" s="9">
        <v>24</v>
      </c>
      <c r="L298" s="4" t="s">
        <v>33</v>
      </c>
      <c r="M298" s="11" t="s">
        <v>603</v>
      </c>
      <c r="N298" t="s">
        <v>603</v>
      </c>
      <c r="O298" s="13" t="s">
        <v>34</v>
      </c>
    </row>
    <row r="299" spans="1:15" ht="14.25" customHeight="1" x14ac:dyDescent="0.3">
      <c r="A299" s="3" t="s">
        <v>544</v>
      </c>
      <c r="B299" s="3" t="s">
        <v>39</v>
      </c>
      <c r="C299" s="8" t="s">
        <v>68</v>
      </c>
      <c r="D299" s="3" t="s">
        <v>47</v>
      </c>
      <c r="E299" s="3" t="s">
        <v>54</v>
      </c>
      <c r="F299" s="9">
        <v>4303</v>
      </c>
      <c r="G299" s="9">
        <v>451</v>
      </c>
      <c r="H299" s="9">
        <v>286</v>
      </c>
      <c r="I299" s="9">
        <v>86060</v>
      </c>
      <c r="J299" s="9">
        <v>85823</v>
      </c>
      <c r="K299" s="9">
        <v>14</v>
      </c>
      <c r="L299" s="4" t="s">
        <v>26</v>
      </c>
      <c r="M299" s="11" t="s">
        <v>603</v>
      </c>
      <c r="N299" t="s">
        <v>603</v>
      </c>
      <c r="O299" s="13" t="s">
        <v>27</v>
      </c>
    </row>
    <row r="300" spans="1:15" ht="14.25" customHeight="1" x14ac:dyDescent="0.3">
      <c r="A300" s="3" t="s">
        <v>545</v>
      </c>
      <c r="B300" s="3" t="s">
        <v>39</v>
      </c>
      <c r="C300" s="8" t="s">
        <v>72</v>
      </c>
      <c r="D300" s="3" t="s">
        <v>47</v>
      </c>
      <c r="E300" s="3" t="s">
        <v>54</v>
      </c>
      <c r="F300" s="9">
        <v>2581</v>
      </c>
      <c r="G300" s="9">
        <v>517</v>
      </c>
      <c r="H300" s="9">
        <v>117</v>
      </c>
      <c r="I300" s="9">
        <v>23229</v>
      </c>
      <c r="J300" s="9">
        <v>22331</v>
      </c>
      <c r="K300" s="9">
        <v>70</v>
      </c>
      <c r="L300" s="4" t="s">
        <v>57</v>
      </c>
      <c r="M300" s="11" t="s">
        <v>603</v>
      </c>
      <c r="N300" t="s">
        <v>603</v>
      </c>
      <c r="O300" s="13" t="s">
        <v>27</v>
      </c>
    </row>
    <row r="301" spans="1:15" ht="14.25" customHeight="1" x14ac:dyDescent="0.3">
      <c r="A301" s="3" t="s">
        <v>546</v>
      </c>
      <c r="B301" s="3" t="s">
        <v>592</v>
      </c>
      <c r="C301" s="8" t="s">
        <v>305</v>
      </c>
      <c r="D301" s="3" t="s">
        <v>41</v>
      </c>
      <c r="E301" s="3" t="s">
        <v>595</v>
      </c>
      <c r="F301" s="9">
        <v>4494</v>
      </c>
      <c r="G301" s="9">
        <v>717</v>
      </c>
      <c r="H301" s="9">
        <v>45</v>
      </c>
      <c r="I301" s="9">
        <v>62916</v>
      </c>
      <c r="J301" s="9">
        <v>62688</v>
      </c>
      <c r="K301" s="9">
        <v>191</v>
      </c>
      <c r="L301" s="4" t="s">
        <v>26</v>
      </c>
      <c r="M301" s="100" t="s">
        <v>33</v>
      </c>
      <c r="N301" s="100" t="s">
        <v>602</v>
      </c>
      <c r="O301" s="13" t="s">
        <v>17</v>
      </c>
    </row>
    <row r="302" spans="1:15" ht="14.25" customHeight="1" x14ac:dyDescent="0.3"/>
    <row r="303" spans="1:15" ht="14.25" customHeight="1" x14ac:dyDescent="0.3"/>
    <row r="304" spans="1:15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05DD-8D44-418E-AFC1-3A8F9657EFA8}">
  <sheetPr codeName="Sheet2">
    <tabColor theme="6" tint="0.39997558519241921"/>
  </sheetPr>
  <dimension ref="A1:S301"/>
  <sheetViews>
    <sheetView topLeftCell="C15" zoomScale="93" zoomScaleNormal="79" workbookViewId="0">
      <selection activeCell="C2" sqref="C2"/>
    </sheetView>
  </sheetViews>
  <sheetFormatPr defaultRowHeight="14.4" x14ac:dyDescent="0.3"/>
  <cols>
    <col min="1" max="1" width="22.6640625" customWidth="1"/>
    <col min="2" max="2" width="10.21875" customWidth="1"/>
    <col min="3" max="3" width="25.5546875" customWidth="1"/>
    <col min="6" max="6" width="8.88671875" customWidth="1"/>
    <col min="7" max="7" width="32.21875" customWidth="1"/>
    <col min="8" max="8" width="11.33203125" bestFit="1" customWidth="1"/>
    <col min="9" max="9" width="15.33203125" bestFit="1" customWidth="1"/>
    <col min="10" max="10" width="11.5546875" bestFit="1" customWidth="1"/>
    <col min="11" max="11" width="10.109375" bestFit="1" customWidth="1"/>
    <col min="12" max="12" width="15.33203125" bestFit="1" customWidth="1"/>
    <col min="13" max="13" width="11.5546875" bestFit="1" customWidth="1"/>
    <col min="14" max="14" width="10.109375" bestFit="1" customWidth="1"/>
    <col min="15" max="15" width="15.33203125" customWidth="1"/>
    <col min="16" max="16" width="11.5546875" bestFit="1" customWidth="1"/>
    <col min="17" max="17" width="10.109375" bestFit="1" customWidth="1"/>
    <col min="18" max="18" width="15.33203125" bestFit="1" customWidth="1"/>
    <col min="19" max="19" width="11.5546875" bestFit="1" customWidth="1"/>
    <col min="20" max="20" width="9.77734375" bestFit="1" customWidth="1"/>
    <col min="21" max="21" width="14.88671875" bestFit="1" customWidth="1"/>
    <col min="22" max="22" width="11.21875" bestFit="1" customWidth="1"/>
  </cols>
  <sheetData>
    <row r="1" spans="1:15" ht="22.2" customHeight="1" x14ac:dyDescent="0.3">
      <c r="A1" s="1" t="s">
        <v>551</v>
      </c>
      <c r="B1" s="49" t="s">
        <v>1</v>
      </c>
      <c r="C1" s="40" t="s">
        <v>606</v>
      </c>
    </row>
    <row r="2" spans="1:15" ht="19.2" customHeight="1" x14ac:dyDescent="0.3">
      <c r="A2" s="60">
        <v>9.48</v>
      </c>
      <c r="B2" s="26" t="s">
        <v>23</v>
      </c>
      <c r="C2" s="41">
        <f>AVERAGE((Table1[[#This Row],[Likes]]+Table1[[#This Row],[Shares]]+Table1[[#This Row],[Comments]])/Table1[[#This Row],[Impressions]])</f>
        <v>9.0759753593429152E-2</v>
      </c>
    </row>
    <row r="3" spans="1:15" x14ac:dyDescent="0.3">
      <c r="A3" s="61">
        <v>9.4600000000000009</v>
      </c>
      <c r="B3" s="27" t="s">
        <v>39</v>
      </c>
      <c r="C3" s="42">
        <f>AVERAGE((Table1[[#This Row],[Likes]]+Table1[[#This Row],[Shares]]+Table1[[#This Row],[Comments]])/Table1[[#This Row],[Impressions]])</f>
        <v>7.6097681302417369E-2</v>
      </c>
    </row>
    <row r="4" spans="1:15" ht="15.6" customHeight="1" x14ac:dyDescent="0.3">
      <c r="A4" s="61">
        <v>9.43</v>
      </c>
      <c r="B4" s="27" t="s">
        <v>592</v>
      </c>
      <c r="C4" s="42">
        <f>AVERAGE((Table1[[#This Row],[Likes]]+Table1[[#This Row],[Shares]]+Table1[[#This Row],[Comments]])/Table1[[#This Row],[Impressions]])</f>
        <v>5.5531494209584788E-2</v>
      </c>
      <c r="F4" s="123" t="s">
        <v>1</v>
      </c>
      <c r="G4" s="123" t="s">
        <v>604</v>
      </c>
    </row>
    <row r="5" spans="1:15" x14ac:dyDescent="0.3">
      <c r="A5" s="61">
        <v>9.41</v>
      </c>
      <c r="B5" s="27" t="s">
        <v>29</v>
      </c>
      <c r="C5" s="42">
        <f>AVERAGE((Table1[[#This Row],[Likes]]+Table1[[#This Row],[Shares]]+Table1[[#This Row],[Comments]])/Table1[[#This Row],[Impressions]])</f>
        <v>0.15105033277870217</v>
      </c>
      <c r="F5" s="124" t="s">
        <v>23</v>
      </c>
      <c r="G5" s="28">
        <v>9.48</v>
      </c>
    </row>
    <row r="6" spans="1:15" x14ac:dyDescent="0.3">
      <c r="A6" s="61">
        <v>9.4</v>
      </c>
      <c r="B6" s="27" t="s">
        <v>23</v>
      </c>
      <c r="C6" s="42">
        <f>AVERAGE((Table1[[#This Row],[Likes]]+Table1[[#This Row],[Shares]]+Table1[[#This Row],[Comments]])/Table1[[#This Row],[Impressions]])</f>
        <v>6.5617093055946027E-2</v>
      </c>
      <c r="F6" s="125" t="s">
        <v>39</v>
      </c>
      <c r="G6" s="28">
        <v>9.4600000000000009</v>
      </c>
    </row>
    <row r="7" spans="1:15" x14ac:dyDescent="0.3">
      <c r="A7" s="61">
        <v>9.39</v>
      </c>
      <c r="B7" s="27" t="s">
        <v>39</v>
      </c>
      <c r="C7" s="42">
        <f>AVERAGE((Table1[[#This Row],[Likes]]+Table1[[#This Row],[Shares]]+Table1[[#This Row],[Comments]])/Table1[[#This Row],[Impressions]])</f>
        <v>0.17954159592529711</v>
      </c>
      <c r="F7" s="125" t="s">
        <v>592</v>
      </c>
      <c r="G7" s="28">
        <v>9.43</v>
      </c>
    </row>
    <row r="8" spans="1:15" x14ac:dyDescent="0.3">
      <c r="A8" s="61">
        <v>9.36</v>
      </c>
      <c r="B8" s="27" t="s">
        <v>29</v>
      </c>
      <c r="C8" s="42">
        <f>AVERAGE((Table1[[#This Row],[Likes]]+Table1[[#This Row],[Shares]]+Table1[[#This Row],[Comments]])/Table1[[#This Row],[Impressions]])</f>
        <v>7.0272020725388601E-2</v>
      </c>
      <c r="F8" s="126" t="s">
        <v>29</v>
      </c>
      <c r="G8" s="28">
        <v>9.41</v>
      </c>
    </row>
    <row r="9" spans="1:15" x14ac:dyDescent="0.3">
      <c r="A9" s="61">
        <v>9.3000000000000007</v>
      </c>
      <c r="B9" s="27" t="s">
        <v>23</v>
      </c>
      <c r="C9" s="42">
        <f>AVERAGE((Table1[[#This Row],[Likes]]+Table1[[#This Row],[Shares]]+Table1[[#This Row],[Comments]])/Table1[[#This Row],[Impressions]])</f>
        <v>0.10340359564080613</v>
      </c>
      <c r="F9" s="126" t="s">
        <v>23</v>
      </c>
      <c r="G9" s="28">
        <v>9.4</v>
      </c>
    </row>
    <row r="10" spans="1:15" x14ac:dyDescent="0.3">
      <c r="A10" s="61">
        <v>9.24</v>
      </c>
      <c r="B10" s="27" t="s">
        <v>592</v>
      </c>
      <c r="C10" s="42">
        <f>AVERAGE((Table1[[#This Row],[Likes]]+Table1[[#This Row],[Shares]]+Table1[[#This Row],[Comments]])/Table1[[#This Row],[Impressions]])</f>
        <v>8.8019732205778717E-2</v>
      </c>
      <c r="F10" s="126" t="s">
        <v>39</v>
      </c>
      <c r="G10" s="28">
        <v>9.39</v>
      </c>
    </row>
    <row r="11" spans="1:15" x14ac:dyDescent="0.3">
      <c r="A11" s="61">
        <v>9.24</v>
      </c>
      <c r="B11" s="27" t="s">
        <v>29</v>
      </c>
      <c r="C11" s="42">
        <f>AVERAGE((Table1[[#This Row],[Likes]]+Table1[[#This Row],[Shares]]+Table1[[#This Row],[Comments]])/Table1[[#This Row],[Impressions]])</f>
        <v>7.198635172059864E-2</v>
      </c>
      <c r="F11" s="126" t="s">
        <v>29</v>
      </c>
      <c r="G11" s="28">
        <v>9.36</v>
      </c>
    </row>
    <row r="12" spans="1:15" x14ac:dyDescent="0.3">
      <c r="A12" s="61">
        <v>9.23</v>
      </c>
      <c r="B12" s="27" t="s">
        <v>29</v>
      </c>
      <c r="C12" s="42">
        <f>AVERAGE((Table1[[#This Row],[Likes]]+Table1[[#This Row],[Shares]]+Table1[[#This Row],[Comments]])/Table1[[#This Row],[Impressions]])</f>
        <v>0.11571269132653061</v>
      </c>
      <c r="F12" s="127" t="s">
        <v>23</v>
      </c>
      <c r="G12" s="28">
        <v>9.3000000000000007</v>
      </c>
    </row>
    <row r="13" spans="1:15" x14ac:dyDescent="0.3">
      <c r="A13" s="61">
        <v>9.1999999999999993</v>
      </c>
      <c r="B13" s="27" t="s">
        <v>39</v>
      </c>
      <c r="C13" s="42">
        <f>AVERAGE((Table1[[#This Row],[Likes]]+Table1[[#This Row],[Shares]]+Table1[[#This Row],[Comments]])/Table1[[#This Row],[Impressions]])</f>
        <v>0.12885405960945528</v>
      </c>
      <c r="F13" s="127" t="s">
        <v>592</v>
      </c>
      <c r="G13" s="28">
        <v>9.24</v>
      </c>
      <c r="O13" s="43"/>
    </row>
    <row r="14" spans="1:15" x14ac:dyDescent="0.3">
      <c r="A14" s="61">
        <v>9.1199999999999992</v>
      </c>
      <c r="B14" s="27" t="s">
        <v>39</v>
      </c>
      <c r="C14" s="42">
        <f>AVERAGE((Table1[[#This Row],[Likes]]+Table1[[#This Row],[Shares]]+Table1[[#This Row],[Comments]])/Table1[[#This Row],[Impressions]])</f>
        <v>7.5868578363072495E-2</v>
      </c>
      <c r="F14" s="127" t="s">
        <v>29</v>
      </c>
      <c r="G14" s="28">
        <v>9.24</v>
      </c>
    </row>
    <row r="15" spans="1:15" x14ac:dyDescent="0.3">
      <c r="A15" s="61">
        <v>9.09</v>
      </c>
      <c r="B15" s="27" t="s">
        <v>29</v>
      </c>
      <c r="C15" s="42">
        <f>AVERAGE((Table1[[#This Row],[Likes]]+Table1[[#This Row],[Shares]]+Table1[[#This Row],[Comments]])/Table1[[#This Row],[Impressions]])</f>
        <v>0.14521452145214522</v>
      </c>
    </row>
    <row r="16" spans="1:15" x14ac:dyDescent="0.3">
      <c r="A16" s="61">
        <v>9.08</v>
      </c>
      <c r="B16" s="27" t="s">
        <v>23</v>
      </c>
      <c r="C16" s="42">
        <f>AVERAGE((Table1[[#This Row],[Likes]]+Table1[[#This Row],[Shares]]+Table1[[#This Row],[Comments]])/Table1[[#This Row],[Impressions]])</f>
        <v>5.941358024691358E-2</v>
      </c>
    </row>
    <row r="17" spans="1:19" x14ac:dyDescent="0.3">
      <c r="A17" s="61">
        <v>9.0500000000000007</v>
      </c>
      <c r="B17" s="27" t="s">
        <v>29</v>
      </c>
      <c r="C17" s="42">
        <f>AVERAGE((Table1[[#This Row],[Likes]]+Table1[[#This Row],[Shares]]+Table1[[#This Row],[Comments]])/Table1[[#This Row],[Impressions]])</f>
        <v>7.5843713789107758E-2</v>
      </c>
      <c r="H17" s="207" t="s">
        <v>610</v>
      </c>
      <c r="I17" s="207"/>
      <c r="J17" s="207"/>
      <c r="K17" s="207"/>
      <c r="L17" s="207"/>
      <c r="M17" s="207"/>
      <c r="N17" s="207"/>
      <c r="O17" s="207"/>
    </row>
    <row r="18" spans="1:19" x14ac:dyDescent="0.3">
      <c r="A18" s="61">
        <v>9.0399999999999991</v>
      </c>
      <c r="B18" s="27" t="s">
        <v>39</v>
      </c>
      <c r="C18" s="42">
        <f>AVERAGE((Table1[[#This Row],[Likes]]+Table1[[#This Row],[Shares]]+Table1[[#This Row],[Comments]])/Table1[[#This Row],[Impressions]])</f>
        <v>9.4235532537716729E-2</v>
      </c>
    </row>
    <row r="19" spans="1:19" x14ac:dyDescent="0.3">
      <c r="A19" s="61">
        <v>9.0299999999999994</v>
      </c>
      <c r="B19" s="27" t="s">
        <v>23</v>
      </c>
      <c r="C19" s="42">
        <f>AVERAGE((Table1[[#This Row],[Likes]]+Table1[[#This Row],[Shares]]+Table1[[#This Row],[Comments]])/Table1[[#This Row],[Impressions]])</f>
        <v>0.10297222222222223</v>
      </c>
      <c r="G19" s="18"/>
      <c r="H19" s="17" t="s">
        <v>1</v>
      </c>
      <c r="I19" s="16"/>
      <c r="J19" s="16"/>
      <c r="K19" s="24"/>
      <c r="L19" s="24"/>
      <c r="M19" s="25"/>
      <c r="N19" s="24"/>
      <c r="O19" s="24"/>
      <c r="P19" s="25"/>
      <c r="Q19" s="24"/>
      <c r="R19" s="24"/>
      <c r="S19" s="25"/>
    </row>
    <row r="20" spans="1:19" x14ac:dyDescent="0.3">
      <c r="A20" s="61">
        <v>8.99</v>
      </c>
      <c r="B20" s="27" t="s">
        <v>23</v>
      </c>
      <c r="C20" s="42">
        <f>AVERAGE((Table1[[#This Row],[Likes]]+Table1[[#This Row],[Shares]]+Table1[[#This Row],[Comments]])/Table1[[#This Row],[Impressions]])</f>
        <v>0.10034235916588857</v>
      </c>
      <c r="G20" s="19"/>
      <c r="H20" s="23" t="s">
        <v>39</v>
      </c>
      <c r="I20" s="24"/>
      <c r="J20" s="25"/>
      <c r="K20" s="63" t="s">
        <v>29</v>
      </c>
      <c r="L20" s="63"/>
      <c r="M20" s="63"/>
      <c r="N20" t="s">
        <v>592</v>
      </c>
      <c r="Q20" t="s">
        <v>23</v>
      </c>
    </row>
    <row r="21" spans="1:19" x14ac:dyDescent="0.3">
      <c r="A21" s="61">
        <v>8.9</v>
      </c>
      <c r="B21" s="27" t="s">
        <v>29</v>
      </c>
      <c r="C21" s="42">
        <f>AVERAGE((Table1[[#This Row],[Likes]]+Table1[[#This Row],[Shares]]+Table1[[#This Row],[Comments]])/Table1[[#This Row],[Impressions]])</f>
        <v>6.3809622724794221E-2</v>
      </c>
      <c r="G21" s="17" t="s">
        <v>3</v>
      </c>
      <c r="H21" s="23" t="s">
        <v>607</v>
      </c>
      <c r="I21" s="24" t="s">
        <v>608</v>
      </c>
      <c r="J21" s="25" t="s">
        <v>609</v>
      </c>
      <c r="K21" s="24" t="s">
        <v>607</v>
      </c>
      <c r="L21" s="24" t="s">
        <v>608</v>
      </c>
      <c r="M21" s="25" t="s">
        <v>609</v>
      </c>
      <c r="N21" s="24" t="s">
        <v>607</v>
      </c>
      <c r="O21" s="24" t="s">
        <v>608</v>
      </c>
      <c r="P21" s="25" t="s">
        <v>609</v>
      </c>
      <c r="Q21" s="24" t="s">
        <v>607</v>
      </c>
      <c r="R21" s="24" t="s">
        <v>608</v>
      </c>
      <c r="S21" s="25" t="s">
        <v>609</v>
      </c>
    </row>
    <row r="22" spans="1:19" x14ac:dyDescent="0.3">
      <c r="A22" s="61">
        <v>8.9</v>
      </c>
      <c r="B22" s="27" t="s">
        <v>23</v>
      </c>
      <c r="C22" s="42">
        <f>AVERAGE((Table1[[#This Row],[Likes]]+Table1[[#This Row],[Shares]]+Table1[[#This Row],[Comments]])/Table1[[#This Row],[Impressions]])</f>
        <v>7.7249552156538517E-2</v>
      </c>
      <c r="G22" s="20" t="s">
        <v>41</v>
      </c>
      <c r="H22" s="29">
        <v>44476</v>
      </c>
      <c r="I22" s="30">
        <v>4589</v>
      </c>
      <c r="J22" s="31">
        <v>7400</v>
      </c>
      <c r="K22" s="30">
        <v>43948</v>
      </c>
      <c r="L22" s="30">
        <v>3890</v>
      </c>
      <c r="M22" s="31">
        <v>6975</v>
      </c>
      <c r="N22" s="30">
        <v>48649</v>
      </c>
      <c r="O22" s="30">
        <v>3607</v>
      </c>
      <c r="P22" s="31">
        <v>5791</v>
      </c>
      <c r="Q22" s="30">
        <v>24926</v>
      </c>
      <c r="R22" s="30">
        <v>2422</v>
      </c>
      <c r="S22" s="31">
        <v>6305</v>
      </c>
    </row>
    <row r="23" spans="1:19" x14ac:dyDescent="0.3">
      <c r="A23" s="61">
        <v>8.84</v>
      </c>
      <c r="B23" s="27" t="s">
        <v>39</v>
      </c>
      <c r="C23" s="42">
        <f>AVERAGE((Table1[[#This Row],[Likes]]+Table1[[#This Row],[Shares]]+Table1[[#This Row],[Comments]])/Table1[[#This Row],[Impressions]])</f>
        <v>8.0294585987261149E-2</v>
      </c>
      <c r="G23" s="21" t="s">
        <v>47</v>
      </c>
      <c r="H23" s="32">
        <v>71602</v>
      </c>
      <c r="I23" s="62">
        <v>6495</v>
      </c>
      <c r="J23" s="33">
        <v>12904</v>
      </c>
      <c r="K23" s="62">
        <v>34202</v>
      </c>
      <c r="L23" s="62">
        <v>2655</v>
      </c>
      <c r="M23" s="33">
        <v>5286</v>
      </c>
      <c r="N23" s="62">
        <v>43761</v>
      </c>
      <c r="O23" s="62">
        <v>5125</v>
      </c>
      <c r="P23" s="33">
        <v>7110</v>
      </c>
      <c r="Q23" s="62">
        <v>23903</v>
      </c>
      <c r="R23" s="62">
        <v>2077</v>
      </c>
      <c r="S23" s="33">
        <v>4310</v>
      </c>
    </row>
    <row r="24" spans="1:19" x14ac:dyDescent="0.3">
      <c r="A24" s="61">
        <v>8.74</v>
      </c>
      <c r="B24" s="27" t="s">
        <v>29</v>
      </c>
      <c r="C24" s="42">
        <f>AVERAGE((Table1[[#This Row],[Likes]]+Table1[[#This Row],[Shares]]+Table1[[#This Row],[Comments]])/Table1[[#This Row],[Impressions]])</f>
        <v>7.6867995018679955E-2</v>
      </c>
      <c r="G24" s="21" t="s">
        <v>16</v>
      </c>
      <c r="H24" s="32">
        <v>36368</v>
      </c>
      <c r="I24" s="62">
        <v>3353</v>
      </c>
      <c r="J24" s="33">
        <v>5964</v>
      </c>
      <c r="K24" s="62">
        <v>32148</v>
      </c>
      <c r="L24" s="62">
        <v>3386</v>
      </c>
      <c r="M24" s="33">
        <v>8110</v>
      </c>
      <c r="N24" s="62">
        <v>27029</v>
      </c>
      <c r="O24" s="62">
        <v>1913</v>
      </c>
      <c r="P24" s="33">
        <v>4550</v>
      </c>
      <c r="Q24" s="62">
        <v>32400</v>
      </c>
      <c r="R24" s="62">
        <v>2668</v>
      </c>
      <c r="S24" s="33">
        <v>4577</v>
      </c>
    </row>
    <row r="25" spans="1:19" x14ac:dyDescent="0.3">
      <c r="A25" s="61">
        <v>8.7200000000000006</v>
      </c>
      <c r="B25" s="27" t="s">
        <v>23</v>
      </c>
      <c r="C25" s="42">
        <f>AVERAGE((Table1[[#This Row],[Likes]]+Table1[[#This Row],[Shares]]+Table1[[#This Row],[Comments]])/Table1[[#This Row],[Impressions]])</f>
        <v>7.2070332803659209E-2</v>
      </c>
      <c r="G25" s="21" t="s">
        <v>31</v>
      </c>
      <c r="H25" s="32">
        <v>29405</v>
      </c>
      <c r="I25" s="62">
        <v>3223</v>
      </c>
      <c r="J25" s="33">
        <v>4950</v>
      </c>
      <c r="K25" s="62">
        <v>42649</v>
      </c>
      <c r="L25" s="62">
        <v>3846</v>
      </c>
      <c r="M25" s="33">
        <v>10049</v>
      </c>
      <c r="N25" s="62">
        <v>20466</v>
      </c>
      <c r="O25" s="62">
        <v>3026</v>
      </c>
      <c r="P25" s="33">
        <v>5090</v>
      </c>
      <c r="Q25" s="62">
        <v>31968</v>
      </c>
      <c r="R25" s="62">
        <v>2012</v>
      </c>
      <c r="S25" s="33">
        <v>3866</v>
      </c>
    </row>
    <row r="26" spans="1:19" x14ac:dyDescent="0.3">
      <c r="A26" s="61">
        <v>8.6999999999999993</v>
      </c>
      <c r="B26" s="27" t="s">
        <v>39</v>
      </c>
      <c r="C26" s="42">
        <f>AVERAGE((Table1[[#This Row],[Likes]]+Table1[[#This Row],[Shares]]+Table1[[#This Row],[Comments]])/Table1[[#This Row],[Impressions]])</f>
        <v>5.9496567505720827E-2</v>
      </c>
      <c r="G26" s="21" t="s">
        <v>20</v>
      </c>
      <c r="H26" s="32">
        <v>31963</v>
      </c>
      <c r="I26" s="62">
        <v>3377</v>
      </c>
      <c r="J26" s="33">
        <v>4792</v>
      </c>
      <c r="K26" s="62">
        <v>25567</v>
      </c>
      <c r="L26" s="62">
        <v>1946</v>
      </c>
      <c r="M26" s="33">
        <v>5112</v>
      </c>
      <c r="N26" s="62">
        <v>31899</v>
      </c>
      <c r="O26" s="62">
        <v>3910</v>
      </c>
      <c r="P26" s="33">
        <v>4861</v>
      </c>
      <c r="Q26" s="62">
        <v>27067</v>
      </c>
      <c r="R26" s="62">
        <v>1052</v>
      </c>
      <c r="S26" s="33">
        <v>3928</v>
      </c>
    </row>
    <row r="27" spans="1:19" x14ac:dyDescent="0.3">
      <c r="A27" s="61">
        <v>8.6999999999999993</v>
      </c>
      <c r="B27" s="27" t="s">
        <v>39</v>
      </c>
      <c r="C27" s="42">
        <f>AVERAGE((Table1[[#This Row],[Likes]]+Table1[[#This Row],[Shares]]+Table1[[#This Row],[Comments]])/Table1[[#This Row],[Impressions]])</f>
        <v>8.9730807577268201E-2</v>
      </c>
      <c r="G27" s="22" t="s">
        <v>69</v>
      </c>
      <c r="H27" s="34">
        <v>28947</v>
      </c>
      <c r="I27" s="35">
        <v>2263</v>
      </c>
      <c r="J27" s="36">
        <v>3171</v>
      </c>
      <c r="K27" s="35">
        <v>25770</v>
      </c>
      <c r="L27" s="35">
        <v>2128</v>
      </c>
      <c r="M27" s="36">
        <v>5912</v>
      </c>
      <c r="N27" s="35">
        <v>29593</v>
      </c>
      <c r="O27" s="35">
        <v>3299</v>
      </c>
      <c r="P27" s="36">
        <v>6326</v>
      </c>
      <c r="Q27" s="35">
        <v>31285</v>
      </c>
      <c r="R27" s="35">
        <v>2589</v>
      </c>
      <c r="S27" s="36">
        <v>5586</v>
      </c>
    </row>
    <row r="28" spans="1:19" x14ac:dyDescent="0.3">
      <c r="A28" s="61">
        <v>8.64</v>
      </c>
      <c r="B28" s="27" t="s">
        <v>23</v>
      </c>
      <c r="C28" s="42">
        <f>AVERAGE((Table1[[#This Row],[Likes]]+Table1[[#This Row],[Shares]]+Table1[[#This Row],[Comments]])/Table1[[#This Row],[Impressions]])</f>
        <v>7.1501685934489398E-2</v>
      </c>
    </row>
    <row r="29" spans="1:19" x14ac:dyDescent="0.3">
      <c r="A29" s="61">
        <v>8.6199999999999992</v>
      </c>
      <c r="B29" s="27" t="s">
        <v>29</v>
      </c>
      <c r="C29" s="42">
        <f>AVERAGE((Table1[[#This Row],[Likes]]+Table1[[#This Row],[Shares]]+Table1[[#This Row],[Comments]])/Table1[[#This Row],[Impressions]])</f>
        <v>0.17057291666666666</v>
      </c>
    </row>
    <row r="30" spans="1:19" x14ac:dyDescent="0.3">
      <c r="A30" s="61">
        <v>8.59</v>
      </c>
      <c r="B30" s="27" t="s">
        <v>592</v>
      </c>
      <c r="C30" s="42">
        <f>AVERAGE((Table1[[#This Row],[Likes]]+Table1[[#This Row],[Shares]]+Table1[[#This Row],[Comments]])/Table1[[#This Row],[Impressions]])</f>
        <v>0.21208106001558846</v>
      </c>
      <c r="H30" s="65"/>
      <c r="I30" s="65"/>
      <c r="J30" s="65"/>
      <c r="K30" s="65"/>
      <c r="L30" s="65"/>
    </row>
    <row r="31" spans="1:19" x14ac:dyDescent="0.3">
      <c r="A31" s="61">
        <v>8.56</v>
      </c>
      <c r="B31" s="27" t="s">
        <v>592</v>
      </c>
      <c r="C31" s="42">
        <f>AVERAGE((Table1[[#This Row],[Likes]]+Table1[[#This Row],[Shares]]+Table1[[#This Row],[Comments]])/Table1[[#This Row],[Impressions]])</f>
        <v>5.7655717106444085E-2</v>
      </c>
      <c r="H31" s="187" t="s">
        <v>720</v>
      </c>
      <c r="I31" s="65"/>
      <c r="J31" s="65"/>
      <c r="K31" s="65"/>
      <c r="L31" s="65"/>
    </row>
    <row r="32" spans="1:19" x14ac:dyDescent="0.3">
      <c r="A32" s="61">
        <v>8.5500000000000007</v>
      </c>
      <c r="B32" s="27" t="s">
        <v>592</v>
      </c>
      <c r="C32" s="42">
        <f>AVERAGE((Table1[[#This Row],[Likes]]+Table1[[#This Row],[Shares]]+Table1[[#This Row],[Comments]])/Table1[[#This Row],[Impressions]])</f>
        <v>0.28245270711024134</v>
      </c>
      <c r="H32" s="65"/>
      <c r="I32" s="65"/>
      <c r="J32" s="65"/>
      <c r="K32" s="65"/>
      <c r="L32" s="65"/>
    </row>
    <row r="33" spans="1:13" x14ac:dyDescent="0.3">
      <c r="A33" s="61">
        <v>8.5500000000000007</v>
      </c>
      <c r="B33" s="27" t="s">
        <v>592</v>
      </c>
      <c r="C33" s="42">
        <f>AVERAGE((Table1[[#This Row],[Likes]]+Table1[[#This Row],[Shares]]+Table1[[#This Row],[Comments]])/Table1[[#This Row],[Impressions]])</f>
        <v>0.19088381621305239</v>
      </c>
      <c r="H33" s="188" t="s">
        <v>721</v>
      </c>
      <c r="I33" s="188"/>
      <c r="J33" s="65"/>
      <c r="K33" s="65"/>
      <c r="L33" s="65"/>
    </row>
    <row r="34" spans="1:13" x14ac:dyDescent="0.3">
      <c r="A34" s="61">
        <v>8.52</v>
      </c>
      <c r="B34" s="27" t="s">
        <v>39</v>
      </c>
      <c r="C34" s="42">
        <f>AVERAGE((Table1[[#This Row],[Likes]]+Table1[[#This Row],[Shares]]+Table1[[#This Row],[Comments]])/Table1[[#This Row],[Impressions]])</f>
        <v>0.12781331438047855</v>
      </c>
      <c r="H34" s="65"/>
      <c r="I34" s="65"/>
      <c r="J34" s="65"/>
      <c r="K34" s="65"/>
      <c r="L34" s="65"/>
    </row>
    <row r="35" spans="1:13" x14ac:dyDescent="0.3">
      <c r="A35" s="61">
        <v>8.44</v>
      </c>
      <c r="B35" s="27" t="s">
        <v>29</v>
      </c>
      <c r="C35" s="42">
        <f>AVERAGE((Table1[[#This Row],[Likes]]+Table1[[#This Row],[Shares]]+Table1[[#This Row],[Comments]])/Table1[[#This Row],[Impressions]])</f>
        <v>7.055421038471886E-2</v>
      </c>
      <c r="H35" s="187" t="s">
        <v>718</v>
      </c>
      <c r="I35" s="65"/>
      <c r="J35" s="65"/>
      <c r="K35" s="65"/>
      <c r="L35" s="65"/>
    </row>
    <row r="36" spans="1:13" x14ac:dyDescent="0.3">
      <c r="A36" s="61">
        <v>8.33</v>
      </c>
      <c r="B36" s="27" t="s">
        <v>23</v>
      </c>
      <c r="C36" s="42">
        <f>AVERAGE((Table1[[#This Row],[Likes]]+Table1[[#This Row],[Shares]]+Table1[[#This Row],[Comments]])/Table1[[#This Row],[Impressions]])</f>
        <v>0.11861662987490802</v>
      </c>
      <c r="H36" s="65"/>
      <c r="I36" s="65"/>
      <c r="J36" s="65"/>
      <c r="K36" s="65"/>
      <c r="L36" s="65"/>
    </row>
    <row r="37" spans="1:13" x14ac:dyDescent="0.3">
      <c r="A37" s="61">
        <v>8.33</v>
      </c>
      <c r="B37" s="27" t="s">
        <v>592</v>
      </c>
      <c r="C37" s="42">
        <f>AVERAGE((Table1[[#This Row],[Likes]]+Table1[[#This Row],[Shares]]+Table1[[#This Row],[Comments]])/Table1[[#This Row],[Impressions]])</f>
        <v>7.6523535487678915E-2</v>
      </c>
      <c r="H37" s="187" t="s">
        <v>719</v>
      </c>
      <c r="I37" s="65"/>
      <c r="J37" s="65"/>
      <c r="K37" s="65"/>
      <c r="L37" s="65"/>
    </row>
    <row r="38" spans="1:13" x14ac:dyDescent="0.3">
      <c r="A38" s="61">
        <v>8.31</v>
      </c>
      <c r="B38" s="27" t="s">
        <v>592</v>
      </c>
      <c r="C38" s="42">
        <f>AVERAGE((Table1[[#This Row],[Likes]]+Table1[[#This Row],[Shares]]+Table1[[#This Row],[Comments]])/Table1[[#This Row],[Impressions]])</f>
        <v>0.17770337301587302</v>
      </c>
      <c r="H38" s="65"/>
      <c r="I38" s="65"/>
      <c r="J38" s="65"/>
      <c r="K38" s="65"/>
      <c r="L38" s="65"/>
    </row>
    <row r="39" spans="1:13" x14ac:dyDescent="0.3">
      <c r="A39" s="61">
        <v>8.25</v>
      </c>
      <c r="B39" s="27" t="s">
        <v>592</v>
      </c>
      <c r="C39" s="42">
        <f>AVERAGE((Table1[[#This Row],[Likes]]+Table1[[#This Row],[Shares]]+Table1[[#This Row],[Comments]])/Table1[[#This Row],[Impressions]])</f>
        <v>0.12577012959422137</v>
      </c>
      <c r="H39" s="65"/>
      <c r="I39" s="65"/>
      <c r="J39" s="65"/>
      <c r="K39" s="65"/>
      <c r="L39" s="65"/>
    </row>
    <row r="40" spans="1:13" x14ac:dyDescent="0.3">
      <c r="A40" s="61">
        <v>8.1999999999999993</v>
      </c>
      <c r="B40" s="27" t="s">
        <v>39</v>
      </c>
      <c r="C40" s="42">
        <f>AVERAGE((Table1[[#This Row],[Likes]]+Table1[[#This Row],[Shares]]+Table1[[#This Row],[Comments]])/Table1[[#This Row],[Impressions]])</f>
        <v>7.2126493695121141E-2</v>
      </c>
      <c r="H40" s="65"/>
      <c r="I40" s="65"/>
      <c r="J40" s="65"/>
      <c r="K40" s="65"/>
      <c r="L40" s="65"/>
    </row>
    <row r="41" spans="1:13" x14ac:dyDescent="0.3">
      <c r="A41" s="61">
        <v>8.19</v>
      </c>
      <c r="B41" s="27" t="s">
        <v>592</v>
      </c>
      <c r="C41" s="42">
        <f>AVERAGE((Table1[[#This Row],[Likes]]+Table1[[#This Row],[Shares]]+Table1[[#This Row],[Comments]])/Table1[[#This Row],[Impressions]])</f>
        <v>0.13989473684210527</v>
      </c>
    </row>
    <row r="42" spans="1:13" x14ac:dyDescent="0.3">
      <c r="A42" s="61">
        <v>8.1300000000000008</v>
      </c>
      <c r="B42" s="27" t="s">
        <v>23</v>
      </c>
      <c r="C42" s="42">
        <f>AVERAGE((Table1[[#This Row],[Likes]]+Table1[[#This Row],[Shares]]+Table1[[#This Row],[Comments]])/Table1[[#This Row],[Impressions]])</f>
        <v>0.18433235867446393</v>
      </c>
    </row>
    <row r="43" spans="1:13" ht="21" x14ac:dyDescent="0.4">
      <c r="A43" s="61">
        <v>8.11</v>
      </c>
      <c r="B43" s="27" t="s">
        <v>39</v>
      </c>
      <c r="C43" s="42">
        <f>AVERAGE((Table1[[#This Row],[Likes]]+Table1[[#This Row],[Shares]]+Table1[[#This Row],[Comments]])/Table1[[#This Row],[Impressions]])</f>
        <v>0.21840570317563188</v>
      </c>
      <c r="G43" s="128" t="s">
        <v>622</v>
      </c>
      <c r="H43" s="129"/>
      <c r="I43" s="129"/>
    </row>
    <row r="44" spans="1:13" x14ac:dyDescent="0.3">
      <c r="A44" s="61">
        <v>8.11</v>
      </c>
      <c r="B44" s="27" t="s">
        <v>39</v>
      </c>
      <c r="C44" s="42">
        <f>AVERAGE((Table1[[#This Row],[Likes]]+Table1[[#This Row],[Shares]]+Table1[[#This Row],[Comments]])/Table1[[#This Row],[Impressions]])</f>
        <v>0.21826126954921804</v>
      </c>
      <c r="G44" s="64" t="s">
        <v>623</v>
      </c>
      <c r="H44" s="65"/>
      <c r="I44" s="65"/>
      <c r="J44" s="65"/>
      <c r="K44" s="65"/>
      <c r="L44" s="65"/>
      <c r="M44" s="65"/>
    </row>
    <row r="45" spans="1:13" x14ac:dyDescent="0.3">
      <c r="A45" s="61">
        <v>8.09</v>
      </c>
      <c r="B45" s="27" t="s">
        <v>23</v>
      </c>
      <c r="C45" s="42">
        <f>AVERAGE((Table1[[#This Row],[Likes]]+Table1[[#This Row],[Shares]]+Table1[[#This Row],[Comments]])/Table1[[#This Row],[Impressions]])</f>
        <v>9.8558100084817649E-2</v>
      </c>
      <c r="G45" s="66"/>
      <c r="H45" s="65"/>
      <c r="I45" s="65"/>
      <c r="J45" s="65"/>
      <c r="K45" s="65"/>
      <c r="L45" s="65"/>
      <c r="M45" s="65"/>
    </row>
    <row r="46" spans="1:13" x14ac:dyDescent="0.3">
      <c r="A46" s="61">
        <v>8.06</v>
      </c>
      <c r="B46" s="27" t="s">
        <v>29</v>
      </c>
      <c r="C46" s="42">
        <f>AVERAGE((Table1[[#This Row],[Likes]]+Table1[[#This Row],[Shares]]+Table1[[#This Row],[Comments]])/Table1[[#This Row],[Impressions]])</f>
        <v>7.5229902106199939E-2</v>
      </c>
      <c r="G46" s="64" t="s">
        <v>638</v>
      </c>
      <c r="H46" s="65"/>
      <c r="I46" s="65"/>
      <c r="J46" s="65"/>
      <c r="K46" s="65"/>
      <c r="L46" s="65"/>
      <c r="M46" s="65"/>
    </row>
    <row r="47" spans="1:13" x14ac:dyDescent="0.3">
      <c r="A47" s="61">
        <v>8.0299999999999994</v>
      </c>
      <c r="B47" s="27" t="s">
        <v>39</v>
      </c>
      <c r="C47" s="42">
        <f>AVERAGE((Table1[[#This Row],[Likes]]+Table1[[#This Row],[Shares]]+Table1[[#This Row],[Comments]])/Table1[[#This Row],[Impressions]])</f>
        <v>0.16888537906137185</v>
      </c>
      <c r="G47" s="66"/>
      <c r="H47" s="65"/>
      <c r="I47" s="65"/>
      <c r="J47" s="65"/>
      <c r="K47" s="65"/>
      <c r="L47" s="65"/>
      <c r="M47" s="65"/>
    </row>
    <row r="48" spans="1:13" x14ac:dyDescent="0.3">
      <c r="A48" s="61">
        <v>8.02</v>
      </c>
      <c r="B48" s="27" t="s">
        <v>592</v>
      </c>
      <c r="C48" s="42">
        <f>AVERAGE((Table1[[#This Row],[Likes]]+Table1[[#This Row],[Shares]]+Table1[[#This Row],[Comments]])/Table1[[#This Row],[Impressions]])</f>
        <v>0.16683616863905326</v>
      </c>
      <c r="G48" s="64" t="s">
        <v>624</v>
      </c>
      <c r="H48" s="65"/>
      <c r="I48" s="65"/>
      <c r="J48" s="65"/>
      <c r="K48" s="65"/>
      <c r="L48" s="65"/>
      <c r="M48" s="65"/>
    </row>
    <row r="49" spans="1:3" x14ac:dyDescent="0.3">
      <c r="A49" s="61">
        <v>7.97</v>
      </c>
      <c r="B49" s="27" t="s">
        <v>23</v>
      </c>
      <c r="C49" s="42">
        <f>AVERAGE((Table1[[#This Row],[Likes]]+Table1[[#This Row],[Shares]]+Table1[[#This Row],[Comments]])/Table1[[#This Row],[Impressions]])</f>
        <v>7.349527665317139E-2</v>
      </c>
    </row>
    <row r="50" spans="1:3" x14ac:dyDescent="0.3">
      <c r="A50" s="61">
        <v>7.88</v>
      </c>
      <c r="B50" s="27" t="s">
        <v>29</v>
      </c>
      <c r="C50" s="42">
        <f>AVERAGE((Table1[[#This Row],[Likes]]+Table1[[#This Row],[Shares]]+Table1[[#This Row],[Comments]])/Table1[[#This Row],[Impressions]])</f>
        <v>0.10617801791554102</v>
      </c>
    </row>
    <row r="51" spans="1:3" x14ac:dyDescent="0.3">
      <c r="A51" s="61">
        <v>7.86</v>
      </c>
      <c r="B51" s="27" t="s">
        <v>39</v>
      </c>
      <c r="C51" s="42">
        <f>AVERAGE((Table1[[#This Row],[Likes]]+Table1[[#This Row],[Shares]]+Table1[[#This Row],[Comments]])/Table1[[#This Row],[Impressions]])</f>
        <v>0.13498547567175018</v>
      </c>
    </row>
    <row r="52" spans="1:3" x14ac:dyDescent="0.3">
      <c r="A52" s="61">
        <v>7.83</v>
      </c>
      <c r="B52" s="27" t="s">
        <v>29</v>
      </c>
      <c r="C52" s="42">
        <f>AVERAGE((Table1[[#This Row],[Likes]]+Table1[[#This Row],[Shares]]+Table1[[#This Row],[Comments]])/Table1[[#This Row],[Impressions]])</f>
        <v>7.8689839572192513E-2</v>
      </c>
    </row>
    <row r="53" spans="1:3" x14ac:dyDescent="0.3">
      <c r="A53" s="61">
        <v>7.83</v>
      </c>
      <c r="B53" s="27" t="s">
        <v>23</v>
      </c>
      <c r="C53" s="42">
        <f>AVERAGE((Table1[[#This Row],[Likes]]+Table1[[#This Row],[Shares]]+Table1[[#This Row],[Comments]])/Table1[[#This Row],[Impressions]])</f>
        <v>0.1569549774407219</v>
      </c>
    </row>
    <row r="54" spans="1:3" x14ac:dyDescent="0.3">
      <c r="A54" s="61">
        <v>7.8</v>
      </c>
      <c r="B54" s="27" t="s">
        <v>39</v>
      </c>
      <c r="C54" s="42">
        <f>AVERAGE((Table1[[#This Row],[Likes]]+Table1[[#This Row],[Shares]]+Table1[[#This Row],[Comments]])/Table1[[#This Row],[Impressions]])</f>
        <v>0.36965174129353234</v>
      </c>
    </row>
    <row r="55" spans="1:3" x14ac:dyDescent="0.3">
      <c r="A55" s="61">
        <v>7.74</v>
      </c>
      <c r="B55" s="27" t="s">
        <v>592</v>
      </c>
      <c r="C55" s="42">
        <f>AVERAGE((Table1[[#This Row],[Likes]]+Table1[[#This Row],[Shares]]+Table1[[#This Row],[Comments]])/Table1[[#This Row],[Impressions]])</f>
        <v>0.16510298716704411</v>
      </c>
    </row>
    <row r="56" spans="1:3" x14ac:dyDescent="0.3">
      <c r="A56" s="61">
        <v>7.74</v>
      </c>
      <c r="B56" s="27" t="s">
        <v>29</v>
      </c>
      <c r="C56" s="42">
        <f>AVERAGE((Table1[[#This Row],[Likes]]+Table1[[#This Row],[Shares]]+Table1[[#This Row],[Comments]])/Table1[[#This Row],[Impressions]])</f>
        <v>9.1897770527460579E-2</v>
      </c>
    </row>
    <row r="57" spans="1:3" x14ac:dyDescent="0.3">
      <c r="A57" s="61">
        <v>7.73</v>
      </c>
      <c r="B57" s="27" t="s">
        <v>39</v>
      </c>
      <c r="C57" s="42">
        <f>AVERAGE((Table1[[#This Row],[Likes]]+Table1[[#This Row],[Shares]]+Table1[[#This Row],[Comments]])/Table1[[#This Row],[Impressions]])</f>
        <v>0.12936184657162253</v>
      </c>
    </row>
    <row r="58" spans="1:3" x14ac:dyDescent="0.3">
      <c r="A58" s="61">
        <v>7.57</v>
      </c>
      <c r="B58" s="27" t="s">
        <v>592</v>
      </c>
      <c r="C58" s="42">
        <f>AVERAGE((Table1[[#This Row],[Likes]]+Table1[[#This Row],[Shares]]+Table1[[#This Row],[Comments]])/Table1[[#This Row],[Impressions]])</f>
        <v>8.0862831858407078E-2</v>
      </c>
    </row>
    <row r="59" spans="1:3" x14ac:dyDescent="0.3">
      <c r="A59" s="61">
        <v>7.5</v>
      </c>
      <c r="B59" s="27" t="s">
        <v>592</v>
      </c>
      <c r="C59" s="42">
        <f>AVERAGE((Table1[[#This Row],[Likes]]+Table1[[#This Row],[Shares]]+Table1[[#This Row],[Comments]])/Table1[[#This Row],[Impressions]])</f>
        <v>0.86601941747572819</v>
      </c>
    </row>
    <row r="60" spans="1:3" x14ac:dyDescent="0.3">
      <c r="A60" s="61">
        <v>7.47</v>
      </c>
      <c r="B60" s="27" t="s">
        <v>39</v>
      </c>
      <c r="C60" s="42">
        <f>AVERAGE((Table1[[#This Row],[Likes]]+Table1[[#This Row],[Shares]]+Table1[[#This Row],[Comments]])/Table1[[#This Row],[Impressions]])</f>
        <v>9.2726081258191345E-2</v>
      </c>
    </row>
    <row r="61" spans="1:3" x14ac:dyDescent="0.3">
      <c r="A61" s="61">
        <v>7.36</v>
      </c>
      <c r="B61" s="27" t="s">
        <v>39</v>
      </c>
      <c r="C61" s="42">
        <f>AVERAGE((Table1[[#This Row],[Likes]]+Table1[[#This Row],[Shares]]+Table1[[#This Row],[Comments]])/Table1[[#This Row],[Impressions]])</f>
        <v>0.1650782845473111</v>
      </c>
    </row>
    <row r="62" spans="1:3" x14ac:dyDescent="0.3">
      <c r="A62" s="61">
        <v>7.36</v>
      </c>
      <c r="B62" s="27" t="s">
        <v>23</v>
      </c>
      <c r="C62" s="42">
        <f>AVERAGE((Table1[[#This Row],[Likes]]+Table1[[#This Row],[Shares]]+Table1[[#This Row],[Comments]])/Table1[[#This Row],[Impressions]])</f>
        <v>0.14276618001546368</v>
      </c>
    </row>
    <row r="63" spans="1:3" x14ac:dyDescent="0.3">
      <c r="A63" s="61">
        <v>7.32</v>
      </c>
      <c r="B63" s="27" t="s">
        <v>592</v>
      </c>
      <c r="C63" s="42">
        <f>AVERAGE((Table1[[#This Row],[Likes]]+Table1[[#This Row],[Shares]]+Table1[[#This Row],[Comments]])/Table1[[#This Row],[Impressions]])</f>
        <v>0.53773584905660377</v>
      </c>
    </row>
    <row r="64" spans="1:3" x14ac:dyDescent="0.3">
      <c r="A64" s="61">
        <v>7.3</v>
      </c>
      <c r="B64" s="27" t="s">
        <v>592</v>
      </c>
      <c r="C64" s="42">
        <f>AVERAGE((Table1[[#This Row],[Likes]]+Table1[[#This Row],[Shares]]+Table1[[#This Row],[Comments]])/Table1[[#This Row],[Impressions]])</f>
        <v>5.2551586421122697E-2</v>
      </c>
    </row>
    <row r="65" spans="1:3" x14ac:dyDescent="0.3">
      <c r="A65" s="61">
        <v>7.24</v>
      </c>
      <c r="B65" s="27" t="s">
        <v>592</v>
      </c>
      <c r="C65" s="42">
        <f>AVERAGE((Table1[[#This Row],[Likes]]+Table1[[#This Row],[Shares]]+Table1[[#This Row],[Comments]])/Table1[[#This Row],[Impressions]])</f>
        <v>8.2047718322909427E-2</v>
      </c>
    </row>
    <row r="66" spans="1:3" x14ac:dyDescent="0.3">
      <c r="A66" s="61">
        <v>7.23</v>
      </c>
      <c r="B66" s="27" t="s">
        <v>29</v>
      </c>
      <c r="C66" s="42">
        <f>AVERAGE((Table1[[#This Row],[Likes]]+Table1[[#This Row],[Shares]]+Table1[[#This Row],[Comments]])/Table1[[#This Row],[Impressions]])</f>
        <v>0.11990720603160794</v>
      </c>
    </row>
    <row r="67" spans="1:3" x14ac:dyDescent="0.3">
      <c r="A67" s="61">
        <v>7.16</v>
      </c>
      <c r="B67" s="27" t="s">
        <v>29</v>
      </c>
      <c r="C67" s="42">
        <f>AVERAGE((Table1[[#This Row],[Likes]]+Table1[[#This Row],[Shares]]+Table1[[#This Row],[Comments]])/Table1[[#This Row],[Impressions]])</f>
        <v>0.29199735449735448</v>
      </c>
    </row>
    <row r="68" spans="1:3" x14ac:dyDescent="0.3">
      <c r="A68" s="61">
        <v>6.99</v>
      </c>
      <c r="B68" s="27" t="s">
        <v>592</v>
      </c>
      <c r="C68" s="42">
        <f>AVERAGE((Table1[[#This Row],[Likes]]+Table1[[#This Row],[Shares]]+Table1[[#This Row],[Comments]])/Table1[[#This Row],[Impressions]])</f>
        <v>6.3749764195434822E-2</v>
      </c>
    </row>
    <row r="69" spans="1:3" x14ac:dyDescent="0.3">
      <c r="A69" s="61">
        <v>6.95</v>
      </c>
      <c r="B69" s="27" t="s">
        <v>592</v>
      </c>
      <c r="C69" s="42">
        <f>AVERAGE((Table1[[#This Row],[Likes]]+Table1[[#This Row],[Shares]]+Table1[[#This Row],[Comments]])/Table1[[#This Row],[Impressions]])</f>
        <v>0.19310344827586207</v>
      </c>
    </row>
    <row r="70" spans="1:3" x14ac:dyDescent="0.3">
      <c r="A70" s="61">
        <v>6.92</v>
      </c>
      <c r="B70" s="27" t="s">
        <v>29</v>
      </c>
      <c r="C70" s="42">
        <f>AVERAGE((Table1[[#This Row],[Likes]]+Table1[[#This Row],[Shares]]+Table1[[#This Row],[Comments]])/Table1[[#This Row],[Impressions]])</f>
        <v>9.3421052631578946E-2</v>
      </c>
    </row>
    <row r="71" spans="1:3" x14ac:dyDescent="0.3">
      <c r="A71" s="61">
        <v>6.85</v>
      </c>
      <c r="B71" s="27" t="s">
        <v>29</v>
      </c>
      <c r="C71" s="42">
        <f>AVERAGE((Table1[[#This Row],[Likes]]+Table1[[#This Row],[Shares]]+Table1[[#This Row],[Comments]])/Table1[[#This Row],[Impressions]])</f>
        <v>0.38274706867671693</v>
      </c>
    </row>
    <row r="72" spans="1:3" x14ac:dyDescent="0.3">
      <c r="A72" s="61">
        <v>6.81</v>
      </c>
      <c r="B72" s="27" t="s">
        <v>23</v>
      </c>
      <c r="C72" s="42">
        <f>AVERAGE((Table1[[#This Row],[Likes]]+Table1[[#This Row],[Shares]]+Table1[[#This Row],[Comments]])/Table1[[#This Row],[Impressions]])</f>
        <v>0.1199202926956749</v>
      </c>
    </row>
    <row r="73" spans="1:3" x14ac:dyDescent="0.3">
      <c r="A73" s="61">
        <v>6.8</v>
      </c>
      <c r="B73" s="27" t="s">
        <v>29</v>
      </c>
      <c r="C73" s="42">
        <f>AVERAGE((Table1[[#This Row],[Likes]]+Table1[[#This Row],[Shares]]+Table1[[#This Row],[Comments]])/Table1[[#This Row],[Impressions]])</f>
        <v>8.837126600284495E-2</v>
      </c>
    </row>
    <row r="74" spans="1:3" x14ac:dyDescent="0.3">
      <c r="A74" s="61">
        <v>6.73</v>
      </c>
      <c r="B74" s="27" t="s">
        <v>29</v>
      </c>
      <c r="C74" s="42">
        <f>AVERAGE((Table1[[#This Row],[Likes]]+Table1[[#This Row],[Shares]]+Table1[[#This Row],[Comments]])/Table1[[#This Row],[Impressions]])</f>
        <v>6.4265122330790625E-2</v>
      </c>
    </row>
    <row r="75" spans="1:3" x14ac:dyDescent="0.3">
      <c r="A75" s="61">
        <v>6.66</v>
      </c>
      <c r="B75" s="27" t="s">
        <v>592</v>
      </c>
      <c r="C75" s="42">
        <f>AVERAGE((Table1[[#This Row],[Likes]]+Table1[[#This Row],[Shares]]+Table1[[#This Row],[Comments]])/Table1[[#This Row],[Impressions]])</f>
        <v>0.13351302785265048</v>
      </c>
    </row>
    <row r="76" spans="1:3" x14ac:dyDescent="0.3">
      <c r="A76" s="61">
        <v>6.58</v>
      </c>
      <c r="B76" s="27" t="s">
        <v>23</v>
      </c>
      <c r="C76" s="42">
        <f>AVERAGE((Table1[[#This Row],[Likes]]+Table1[[#This Row],[Shares]]+Table1[[#This Row],[Comments]])/Table1[[#This Row],[Impressions]])</f>
        <v>0.12131237937689551</v>
      </c>
    </row>
    <row r="77" spans="1:3" x14ac:dyDescent="0.3">
      <c r="A77" s="61">
        <v>6.54</v>
      </c>
      <c r="B77" s="27" t="s">
        <v>23</v>
      </c>
      <c r="C77" s="42">
        <f>AVERAGE((Table1[[#This Row],[Likes]]+Table1[[#This Row],[Shares]]+Table1[[#This Row],[Comments]])/Table1[[#This Row],[Impressions]])</f>
        <v>8.1177520071364848E-2</v>
      </c>
    </row>
    <row r="78" spans="1:3" x14ac:dyDescent="0.3">
      <c r="A78" s="61">
        <v>6.5</v>
      </c>
      <c r="B78" s="27" t="s">
        <v>29</v>
      </c>
      <c r="C78" s="42">
        <f>AVERAGE((Table1[[#This Row],[Likes]]+Table1[[#This Row],[Shares]]+Table1[[#This Row],[Comments]])/Table1[[#This Row],[Impressions]])</f>
        <v>0.20416333066453163</v>
      </c>
    </row>
    <row r="79" spans="1:3" x14ac:dyDescent="0.3">
      <c r="A79" s="61">
        <v>6.49</v>
      </c>
      <c r="B79" s="27" t="s">
        <v>23</v>
      </c>
      <c r="C79" s="42">
        <f>AVERAGE((Table1[[#This Row],[Likes]]+Table1[[#This Row],[Shares]]+Table1[[#This Row],[Comments]])/Table1[[#This Row],[Impressions]])</f>
        <v>8.2075471698113203E-2</v>
      </c>
    </row>
    <row r="80" spans="1:3" x14ac:dyDescent="0.3">
      <c r="A80" s="61">
        <v>6.44</v>
      </c>
      <c r="B80" s="27" t="s">
        <v>39</v>
      </c>
      <c r="C80" s="42">
        <f>AVERAGE((Table1[[#This Row],[Likes]]+Table1[[#This Row],[Shares]]+Table1[[#This Row],[Comments]])/Table1[[#This Row],[Impressions]])</f>
        <v>8.860696018453515E-2</v>
      </c>
    </row>
    <row r="81" spans="1:3" x14ac:dyDescent="0.3">
      <c r="A81" s="61">
        <v>6.41</v>
      </c>
      <c r="B81" s="27" t="s">
        <v>39</v>
      </c>
      <c r="C81" s="42">
        <f>AVERAGE((Table1[[#This Row],[Likes]]+Table1[[#This Row],[Shares]]+Table1[[#This Row],[Comments]])/Table1[[#This Row],[Impressions]])</f>
        <v>7.7533348349475686E-2</v>
      </c>
    </row>
    <row r="82" spans="1:3" x14ac:dyDescent="0.3">
      <c r="A82" s="61">
        <v>6.37</v>
      </c>
      <c r="B82" s="27" t="s">
        <v>592</v>
      </c>
      <c r="C82" s="42">
        <f>AVERAGE((Table1[[#This Row],[Likes]]+Table1[[#This Row],[Shares]]+Table1[[#This Row],[Comments]])/Table1[[#This Row],[Impressions]])</f>
        <v>9.4413295955146179E-2</v>
      </c>
    </row>
    <row r="83" spans="1:3" x14ac:dyDescent="0.3">
      <c r="A83" s="61">
        <v>6.37</v>
      </c>
      <c r="B83" s="27" t="s">
        <v>39</v>
      </c>
      <c r="C83" s="42">
        <f>AVERAGE((Table1[[#This Row],[Likes]]+Table1[[#This Row],[Shares]]+Table1[[#This Row],[Comments]])/Table1[[#This Row],[Impressions]])</f>
        <v>8.558620689655172E-2</v>
      </c>
    </row>
    <row r="84" spans="1:3" x14ac:dyDescent="0.3">
      <c r="A84" s="61">
        <v>6.27</v>
      </c>
      <c r="B84" s="27" t="s">
        <v>29</v>
      </c>
      <c r="C84" s="42">
        <f>AVERAGE((Table1[[#This Row],[Likes]]+Table1[[#This Row],[Shares]]+Table1[[#This Row],[Comments]])/Table1[[#This Row],[Impressions]])</f>
        <v>0.16118220597196831</v>
      </c>
    </row>
    <row r="85" spans="1:3" x14ac:dyDescent="0.3">
      <c r="A85" s="61">
        <v>6.25</v>
      </c>
      <c r="B85" s="27" t="s">
        <v>29</v>
      </c>
      <c r="C85" s="42">
        <f>AVERAGE((Table1[[#This Row],[Likes]]+Table1[[#This Row],[Shares]]+Table1[[#This Row],[Comments]])/Table1[[#This Row],[Impressions]])</f>
        <v>8.6737756939878216E-2</v>
      </c>
    </row>
    <row r="86" spans="1:3" x14ac:dyDescent="0.3">
      <c r="A86" s="61">
        <v>6.23</v>
      </c>
      <c r="B86" s="27" t="s">
        <v>29</v>
      </c>
      <c r="C86" s="42">
        <f>AVERAGE((Table1[[#This Row],[Likes]]+Table1[[#This Row],[Shares]]+Table1[[#This Row],[Comments]])/Table1[[#This Row],[Impressions]])</f>
        <v>0.19156491900087783</v>
      </c>
    </row>
    <row r="87" spans="1:3" x14ac:dyDescent="0.3">
      <c r="A87" s="61">
        <v>6.2</v>
      </c>
      <c r="B87" s="27" t="s">
        <v>39</v>
      </c>
      <c r="C87" s="42">
        <f>AVERAGE((Table1[[#This Row],[Likes]]+Table1[[#This Row],[Shares]]+Table1[[#This Row],[Comments]])/Table1[[#This Row],[Impressions]])</f>
        <v>6.5515821264328367E-2</v>
      </c>
    </row>
    <row r="88" spans="1:3" x14ac:dyDescent="0.3">
      <c r="A88" s="61">
        <v>6.19</v>
      </c>
      <c r="B88" s="27" t="s">
        <v>592</v>
      </c>
      <c r="C88" s="42">
        <f>AVERAGE((Table1[[#This Row],[Likes]]+Table1[[#This Row],[Shares]]+Table1[[#This Row],[Comments]])/Table1[[#This Row],[Impressions]])</f>
        <v>0.20868152274837512</v>
      </c>
    </row>
    <row r="89" spans="1:3" x14ac:dyDescent="0.3">
      <c r="A89" s="61">
        <v>6.19</v>
      </c>
      <c r="B89" s="27" t="s">
        <v>23</v>
      </c>
      <c r="C89" s="42">
        <f>AVERAGE((Table1[[#This Row],[Likes]]+Table1[[#This Row],[Shares]]+Table1[[#This Row],[Comments]])/Table1[[#This Row],[Impressions]])</f>
        <v>0.13576158940397351</v>
      </c>
    </row>
    <row r="90" spans="1:3" x14ac:dyDescent="0.3">
      <c r="A90" s="61">
        <v>6.11</v>
      </c>
      <c r="B90" s="27" t="s">
        <v>39</v>
      </c>
      <c r="C90" s="42">
        <f>AVERAGE((Table1[[#This Row],[Likes]]+Table1[[#This Row],[Shares]]+Table1[[#This Row],[Comments]])/Table1[[#This Row],[Impressions]])</f>
        <v>0.16873144921925409</v>
      </c>
    </row>
    <row r="91" spans="1:3" x14ac:dyDescent="0.3">
      <c r="A91" s="61">
        <v>6.11</v>
      </c>
      <c r="B91" s="27" t="s">
        <v>23</v>
      </c>
      <c r="C91" s="42">
        <f>AVERAGE((Table1[[#This Row],[Likes]]+Table1[[#This Row],[Shares]]+Table1[[#This Row],[Comments]])/Table1[[#This Row],[Impressions]])</f>
        <v>7.0822181933293038E-2</v>
      </c>
    </row>
    <row r="92" spans="1:3" x14ac:dyDescent="0.3">
      <c r="A92" s="61">
        <v>6.09</v>
      </c>
      <c r="B92" s="27" t="s">
        <v>29</v>
      </c>
      <c r="C92" s="42">
        <f>AVERAGE((Table1[[#This Row],[Likes]]+Table1[[#This Row],[Shares]]+Table1[[#This Row],[Comments]])/Table1[[#This Row],[Impressions]])</f>
        <v>7.984956452889945E-2</v>
      </c>
    </row>
    <row r="93" spans="1:3" x14ac:dyDescent="0.3">
      <c r="A93" s="61">
        <v>6.08</v>
      </c>
      <c r="B93" s="27" t="s">
        <v>23</v>
      </c>
      <c r="C93" s="42">
        <f>AVERAGE((Table1[[#This Row],[Likes]]+Table1[[#This Row],[Shares]]+Table1[[#This Row],[Comments]])/Table1[[#This Row],[Impressions]])</f>
        <v>0.13599052880820836</v>
      </c>
    </row>
    <row r="94" spans="1:3" x14ac:dyDescent="0.3">
      <c r="A94" s="61">
        <v>6.01</v>
      </c>
      <c r="B94" s="27" t="s">
        <v>39</v>
      </c>
      <c r="C94" s="42">
        <f>AVERAGE((Table1[[#This Row],[Likes]]+Table1[[#This Row],[Shares]]+Table1[[#This Row],[Comments]])/Table1[[#This Row],[Impressions]])</f>
        <v>0.28045655718611695</v>
      </c>
    </row>
    <row r="95" spans="1:3" x14ac:dyDescent="0.3">
      <c r="A95" s="61">
        <v>5.9</v>
      </c>
      <c r="B95" s="27" t="s">
        <v>592</v>
      </c>
      <c r="C95" s="42">
        <f>AVERAGE((Table1[[#This Row],[Likes]]+Table1[[#This Row],[Shares]]+Table1[[#This Row],[Comments]])/Table1[[#This Row],[Impressions]])</f>
        <v>0.16843866371633656</v>
      </c>
    </row>
    <row r="96" spans="1:3" x14ac:dyDescent="0.3">
      <c r="A96" s="61">
        <v>5.85</v>
      </c>
      <c r="B96" s="27" t="s">
        <v>29</v>
      </c>
      <c r="C96" s="42">
        <f>AVERAGE((Table1[[#This Row],[Likes]]+Table1[[#This Row],[Shares]]+Table1[[#This Row],[Comments]])/Table1[[#This Row],[Impressions]])</f>
        <v>6.8108806480899509E-2</v>
      </c>
    </row>
    <row r="97" spans="1:3" x14ac:dyDescent="0.3">
      <c r="A97" s="61">
        <v>5.71</v>
      </c>
      <c r="B97" s="27" t="s">
        <v>29</v>
      </c>
      <c r="C97" s="42">
        <f>AVERAGE((Table1[[#This Row],[Likes]]+Table1[[#This Row],[Shares]]+Table1[[#This Row],[Comments]])/Table1[[#This Row],[Impressions]])</f>
        <v>0.10339256865912763</v>
      </c>
    </row>
    <row r="98" spans="1:3" x14ac:dyDescent="0.3">
      <c r="A98" s="61">
        <v>5.69</v>
      </c>
      <c r="B98" s="27" t="s">
        <v>29</v>
      </c>
      <c r="C98" s="42">
        <f>AVERAGE((Table1[[#This Row],[Likes]]+Table1[[#This Row],[Shares]]+Table1[[#This Row],[Comments]])/Table1[[#This Row],[Impressions]])</f>
        <v>8.7668609086629767E-2</v>
      </c>
    </row>
    <row r="99" spans="1:3" x14ac:dyDescent="0.3">
      <c r="A99" s="61">
        <v>5.68</v>
      </c>
      <c r="B99" s="27" t="s">
        <v>592</v>
      </c>
      <c r="C99" s="42">
        <f>AVERAGE((Table1[[#This Row],[Likes]]+Table1[[#This Row],[Shares]]+Table1[[#This Row],[Comments]])/Table1[[#This Row],[Impressions]])</f>
        <v>0.11238095238095239</v>
      </c>
    </row>
    <row r="100" spans="1:3" x14ac:dyDescent="0.3">
      <c r="A100" s="61">
        <v>5.61</v>
      </c>
      <c r="B100" s="27" t="s">
        <v>39</v>
      </c>
      <c r="C100" s="42">
        <f>AVERAGE((Table1[[#This Row],[Likes]]+Table1[[#This Row],[Shares]]+Table1[[#This Row],[Comments]])/Table1[[#This Row],[Impressions]])</f>
        <v>7.2000119875329657E-2</v>
      </c>
    </row>
    <row r="101" spans="1:3" x14ac:dyDescent="0.3">
      <c r="A101" s="61">
        <v>5.59</v>
      </c>
      <c r="B101" s="27" t="s">
        <v>39</v>
      </c>
      <c r="C101" s="42">
        <f>AVERAGE((Table1[[#This Row],[Likes]]+Table1[[#This Row],[Shares]]+Table1[[#This Row],[Comments]])/Table1[[#This Row],[Impressions]])</f>
        <v>9.2298980747451867E-2</v>
      </c>
    </row>
    <row r="102" spans="1:3" x14ac:dyDescent="0.3">
      <c r="A102" s="61">
        <v>5.53</v>
      </c>
      <c r="B102" s="27" t="s">
        <v>592</v>
      </c>
      <c r="C102" s="42">
        <f>AVERAGE((Table1[[#This Row],[Likes]]+Table1[[#This Row],[Shares]]+Table1[[#This Row],[Comments]])/Table1[[#This Row],[Impressions]])</f>
        <v>7.3707865168539333E-2</v>
      </c>
    </row>
    <row r="103" spans="1:3" x14ac:dyDescent="0.3">
      <c r="A103" s="61">
        <v>5.52</v>
      </c>
      <c r="B103" s="27" t="s">
        <v>23</v>
      </c>
      <c r="C103" s="42">
        <f>AVERAGE((Table1[[#This Row],[Likes]]+Table1[[#This Row],[Shares]]+Table1[[#This Row],[Comments]])/Table1[[#This Row],[Impressions]])</f>
        <v>0.35666666666666669</v>
      </c>
    </row>
    <row r="104" spans="1:3" x14ac:dyDescent="0.3">
      <c r="A104" s="61">
        <v>5.43</v>
      </c>
      <c r="B104" s="27" t="s">
        <v>23</v>
      </c>
      <c r="C104" s="42">
        <f>AVERAGE((Table1[[#This Row],[Likes]]+Table1[[#This Row],[Shares]]+Table1[[#This Row],[Comments]])/Table1[[#This Row],[Impressions]])</f>
        <v>9.9632815002833983E-2</v>
      </c>
    </row>
    <row r="105" spans="1:3" x14ac:dyDescent="0.3">
      <c r="A105" s="61">
        <v>5.42</v>
      </c>
      <c r="B105" s="27" t="s">
        <v>23</v>
      </c>
      <c r="C105" s="42">
        <f>AVERAGE((Table1[[#This Row],[Likes]]+Table1[[#This Row],[Shares]]+Table1[[#This Row],[Comments]])/Table1[[#This Row],[Impressions]])</f>
        <v>0.13707250341997265</v>
      </c>
    </row>
    <row r="106" spans="1:3" x14ac:dyDescent="0.3">
      <c r="A106" s="61">
        <v>5.41</v>
      </c>
      <c r="B106" s="27" t="s">
        <v>23</v>
      </c>
      <c r="C106" s="42">
        <f>AVERAGE((Table1[[#This Row],[Likes]]+Table1[[#This Row],[Shares]]+Table1[[#This Row],[Comments]])/Table1[[#This Row],[Impressions]])</f>
        <v>0.12896028558679162</v>
      </c>
    </row>
    <row r="107" spans="1:3" x14ac:dyDescent="0.3">
      <c r="A107" s="61">
        <v>5.34</v>
      </c>
      <c r="B107" s="27" t="s">
        <v>592</v>
      </c>
      <c r="C107" s="42">
        <f>AVERAGE((Table1[[#This Row],[Likes]]+Table1[[#This Row],[Shares]]+Table1[[#This Row],[Comments]])/Table1[[#This Row],[Impressions]])</f>
        <v>8.5718409468138843E-2</v>
      </c>
    </row>
    <row r="108" spans="1:3" x14ac:dyDescent="0.3">
      <c r="A108" s="61">
        <v>5.3</v>
      </c>
      <c r="B108" s="27" t="s">
        <v>29</v>
      </c>
      <c r="C108" s="42">
        <f>AVERAGE((Table1[[#This Row],[Likes]]+Table1[[#This Row],[Shares]]+Table1[[#This Row],[Comments]])/Table1[[#This Row],[Impressions]])</f>
        <v>6.2467323109097243E-2</v>
      </c>
    </row>
    <row r="109" spans="1:3" x14ac:dyDescent="0.3">
      <c r="A109" s="61">
        <v>5.3</v>
      </c>
      <c r="B109" s="27" t="s">
        <v>592</v>
      </c>
      <c r="C109" s="42">
        <f>AVERAGE((Table1[[#This Row],[Likes]]+Table1[[#This Row],[Shares]]+Table1[[#This Row],[Comments]])/Table1[[#This Row],[Impressions]])</f>
        <v>0.10005698005698006</v>
      </c>
    </row>
    <row r="110" spans="1:3" x14ac:dyDescent="0.3">
      <c r="A110" s="61">
        <v>5.23</v>
      </c>
      <c r="B110" s="27" t="s">
        <v>592</v>
      </c>
      <c r="C110" s="42">
        <f>AVERAGE((Table1[[#This Row],[Likes]]+Table1[[#This Row],[Shares]]+Table1[[#This Row],[Comments]])/Table1[[#This Row],[Impressions]])</f>
        <v>0.16744313510550835</v>
      </c>
    </row>
    <row r="111" spans="1:3" x14ac:dyDescent="0.3">
      <c r="A111" s="61">
        <v>5.22</v>
      </c>
      <c r="B111" s="27" t="s">
        <v>592</v>
      </c>
      <c r="C111" s="42">
        <f>AVERAGE((Table1[[#This Row],[Likes]]+Table1[[#This Row],[Shares]]+Table1[[#This Row],[Comments]])/Table1[[#This Row],[Impressions]])</f>
        <v>0.12277759141227776</v>
      </c>
    </row>
    <row r="112" spans="1:3" x14ac:dyDescent="0.3">
      <c r="A112" s="61">
        <v>5.21</v>
      </c>
      <c r="B112" s="27" t="s">
        <v>23</v>
      </c>
      <c r="C112" s="42">
        <f>AVERAGE((Table1[[#This Row],[Likes]]+Table1[[#This Row],[Shares]]+Table1[[#This Row],[Comments]])/Table1[[#This Row],[Impressions]])</f>
        <v>7.4071349760941527E-2</v>
      </c>
    </row>
    <row r="113" spans="1:3" x14ac:dyDescent="0.3">
      <c r="A113" s="61">
        <v>5.17</v>
      </c>
      <c r="B113" s="27" t="s">
        <v>29</v>
      </c>
      <c r="C113" s="42">
        <f>AVERAGE((Table1[[#This Row],[Likes]]+Table1[[#This Row],[Shares]]+Table1[[#This Row],[Comments]])/Table1[[#This Row],[Impressions]])</f>
        <v>0.17441662408448305</v>
      </c>
    </row>
    <row r="114" spans="1:3" x14ac:dyDescent="0.3">
      <c r="A114" s="61">
        <v>5.12</v>
      </c>
      <c r="B114" s="27" t="s">
        <v>592</v>
      </c>
      <c r="C114" s="42">
        <f>AVERAGE((Table1[[#This Row],[Likes]]+Table1[[#This Row],[Shares]]+Table1[[#This Row],[Comments]])/Table1[[#This Row],[Impressions]])</f>
        <v>0.11369088028965829</v>
      </c>
    </row>
    <row r="115" spans="1:3" x14ac:dyDescent="0.3">
      <c r="A115" s="61">
        <v>4.9800000000000004</v>
      </c>
      <c r="B115" s="27" t="s">
        <v>39</v>
      </c>
      <c r="C115" s="42">
        <f>AVERAGE((Table1[[#This Row],[Likes]]+Table1[[#This Row],[Shares]]+Table1[[#This Row],[Comments]])/Table1[[#This Row],[Impressions]])</f>
        <v>0.12942500000000001</v>
      </c>
    </row>
    <row r="116" spans="1:3" x14ac:dyDescent="0.3">
      <c r="A116" s="61">
        <v>4.97</v>
      </c>
      <c r="B116" s="27" t="s">
        <v>592</v>
      </c>
      <c r="C116" s="42">
        <f>AVERAGE((Table1[[#This Row],[Likes]]+Table1[[#This Row],[Shares]]+Table1[[#This Row],[Comments]])/Table1[[#This Row],[Impressions]])</f>
        <v>6.2150491965739366E-2</v>
      </c>
    </row>
    <row r="117" spans="1:3" x14ac:dyDescent="0.3">
      <c r="A117" s="61">
        <v>4.9400000000000004</v>
      </c>
      <c r="B117" s="27" t="s">
        <v>39</v>
      </c>
      <c r="C117" s="42">
        <f>AVERAGE((Table1[[#This Row],[Likes]]+Table1[[#This Row],[Shares]]+Table1[[#This Row],[Comments]])/Table1[[#This Row],[Impressions]])</f>
        <v>0.16769515581610614</v>
      </c>
    </row>
    <row r="118" spans="1:3" x14ac:dyDescent="0.3">
      <c r="A118" s="61">
        <v>4.83</v>
      </c>
      <c r="B118" s="27" t="s">
        <v>39</v>
      </c>
      <c r="C118" s="42">
        <f>AVERAGE((Table1[[#This Row],[Likes]]+Table1[[#This Row],[Shares]]+Table1[[#This Row],[Comments]])/Table1[[#This Row],[Impressions]])</f>
        <v>0.11792317271769326</v>
      </c>
    </row>
    <row r="119" spans="1:3" x14ac:dyDescent="0.3">
      <c r="A119" s="61">
        <v>4.79</v>
      </c>
      <c r="B119" s="27" t="s">
        <v>39</v>
      </c>
      <c r="C119" s="42">
        <f>AVERAGE((Table1[[#This Row],[Likes]]+Table1[[#This Row],[Shares]]+Table1[[#This Row],[Comments]])/Table1[[#This Row],[Impressions]])</f>
        <v>8.0158206987475278E-2</v>
      </c>
    </row>
    <row r="120" spans="1:3" x14ac:dyDescent="0.3">
      <c r="A120" s="61">
        <v>4.7300000000000004</v>
      </c>
      <c r="B120" s="27" t="s">
        <v>23</v>
      </c>
      <c r="C120" s="42">
        <f>AVERAGE((Table1[[#This Row],[Likes]]+Table1[[#This Row],[Shares]]+Table1[[#This Row],[Comments]])/Table1[[#This Row],[Impressions]])</f>
        <v>0.31705583756345179</v>
      </c>
    </row>
    <row r="121" spans="1:3" x14ac:dyDescent="0.3">
      <c r="A121" s="61">
        <v>4.68</v>
      </c>
      <c r="B121" s="27" t="s">
        <v>23</v>
      </c>
      <c r="C121" s="42">
        <f>AVERAGE((Table1[[#This Row],[Likes]]+Table1[[#This Row],[Shares]]+Table1[[#This Row],[Comments]])/Table1[[#This Row],[Impressions]])</f>
        <v>0.23414918414918415</v>
      </c>
    </row>
    <row r="122" spans="1:3" x14ac:dyDescent="0.3">
      <c r="A122" s="61">
        <v>4.68</v>
      </c>
      <c r="B122" s="27" t="s">
        <v>592</v>
      </c>
      <c r="C122" s="42">
        <f>AVERAGE((Table1[[#This Row],[Likes]]+Table1[[#This Row],[Shares]]+Table1[[#This Row],[Comments]])/Table1[[#This Row],[Impressions]])</f>
        <v>0.32349397590361445</v>
      </c>
    </row>
    <row r="123" spans="1:3" x14ac:dyDescent="0.3">
      <c r="A123" s="61">
        <v>4.68</v>
      </c>
      <c r="B123" s="27" t="s">
        <v>23</v>
      </c>
      <c r="C123" s="42">
        <f>AVERAGE((Table1[[#This Row],[Likes]]+Table1[[#This Row],[Shares]]+Table1[[#This Row],[Comments]])/Table1[[#This Row],[Impressions]])</f>
        <v>8.0565268065268064E-2</v>
      </c>
    </row>
    <row r="124" spans="1:3" x14ac:dyDescent="0.3">
      <c r="A124" s="61">
        <v>4.66</v>
      </c>
      <c r="B124" s="27" t="s">
        <v>592</v>
      </c>
      <c r="C124" s="42">
        <f>AVERAGE((Table1[[#This Row],[Likes]]+Table1[[#This Row],[Shares]]+Table1[[#This Row],[Comments]])/Table1[[#This Row],[Impressions]])</f>
        <v>0.23616777446710979</v>
      </c>
    </row>
    <row r="125" spans="1:3" x14ac:dyDescent="0.3">
      <c r="A125" s="61">
        <v>4.66</v>
      </c>
      <c r="B125" s="27" t="s">
        <v>29</v>
      </c>
      <c r="C125" s="42">
        <f>AVERAGE((Table1[[#This Row],[Likes]]+Table1[[#This Row],[Shares]]+Table1[[#This Row],[Comments]])/Table1[[#This Row],[Impressions]])</f>
        <v>0.33618012422360249</v>
      </c>
    </row>
    <row r="126" spans="1:3" x14ac:dyDescent="0.3">
      <c r="A126" s="61">
        <v>4.6100000000000003</v>
      </c>
      <c r="B126" s="27" t="s">
        <v>29</v>
      </c>
      <c r="C126" s="42">
        <f>AVERAGE((Table1[[#This Row],[Likes]]+Table1[[#This Row],[Shares]]+Table1[[#This Row],[Comments]])/Table1[[#This Row],[Impressions]])</f>
        <v>0.14265722032712325</v>
      </c>
    </row>
    <row r="127" spans="1:3" x14ac:dyDescent="0.3">
      <c r="A127" s="61">
        <v>4.5599999999999996</v>
      </c>
      <c r="B127" s="27" t="s">
        <v>23</v>
      </c>
      <c r="C127" s="42">
        <f>AVERAGE((Table1[[#This Row],[Likes]]+Table1[[#This Row],[Shares]]+Table1[[#This Row],[Comments]])/Table1[[#This Row],[Impressions]])</f>
        <v>9.9829463465827106E-2</v>
      </c>
    </row>
    <row r="128" spans="1:3" x14ac:dyDescent="0.3">
      <c r="A128" s="61">
        <v>4.55</v>
      </c>
      <c r="B128" s="27" t="s">
        <v>39</v>
      </c>
      <c r="C128" s="42">
        <f>AVERAGE((Table1[[#This Row],[Likes]]+Table1[[#This Row],[Shares]]+Table1[[#This Row],[Comments]])/Table1[[#This Row],[Impressions]])</f>
        <v>6.9311459413307311E-2</v>
      </c>
    </row>
    <row r="129" spans="1:3" x14ac:dyDescent="0.3">
      <c r="A129" s="61">
        <v>4.51</v>
      </c>
      <c r="B129" s="27" t="s">
        <v>39</v>
      </c>
      <c r="C129" s="42">
        <f>AVERAGE((Table1[[#This Row],[Likes]]+Table1[[#This Row],[Shares]]+Table1[[#This Row],[Comments]])/Table1[[#This Row],[Impressions]])</f>
        <v>0.12537731780940059</v>
      </c>
    </row>
    <row r="130" spans="1:3" x14ac:dyDescent="0.3">
      <c r="A130" s="61">
        <v>4.5</v>
      </c>
      <c r="B130" s="27" t="s">
        <v>592</v>
      </c>
      <c r="C130" s="42">
        <f>AVERAGE((Table1[[#This Row],[Likes]]+Table1[[#This Row],[Shares]]+Table1[[#This Row],[Comments]])/Table1[[#This Row],[Impressions]])</f>
        <v>0.17291569632044715</v>
      </c>
    </row>
    <row r="131" spans="1:3" x14ac:dyDescent="0.3">
      <c r="A131" s="61">
        <v>4.4800000000000004</v>
      </c>
      <c r="B131" s="27" t="s">
        <v>39</v>
      </c>
      <c r="C131" s="42">
        <f>AVERAGE((Table1[[#This Row],[Likes]]+Table1[[#This Row],[Shares]]+Table1[[#This Row],[Comments]])/Table1[[#This Row],[Impressions]])</f>
        <v>8.9577656675749323E-2</v>
      </c>
    </row>
    <row r="132" spans="1:3" x14ac:dyDescent="0.3">
      <c r="A132" s="61">
        <v>4.4800000000000004</v>
      </c>
      <c r="B132" s="27" t="s">
        <v>23</v>
      </c>
      <c r="C132" s="42">
        <f>AVERAGE((Table1[[#This Row],[Likes]]+Table1[[#This Row],[Shares]]+Table1[[#This Row],[Comments]])/Table1[[#This Row],[Impressions]])</f>
        <v>0.13106060606060607</v>
      </c>
    </row>
    <row r="133" spans="1:3" x14ac:dyDescent="0.3">
      <c r="A133" s="61">
        <v>4.46</v>
      </c>
      <c r="B133" s="27" t="s">
        <v>39</v>
      </c>
      <c r="C133" s="42">
        <f>AVERAGE((Table1[[#This Row],[Likes]]+Table1[[#This Row],[Shares]]+Table1[[#This Row],[Comments]])/Table1[[#This Row],[Impressions]])</f>
        <v>0.13493953401503478</v>
      </c>
    </row>
    <row r="134" spans="1:3" x14ac:dyDescent="0.3">
      <c r="A134" s="61">
        <v>4.3600000000000003</v>
      </c>
      <c r="B134" s="27" t="s">
        <v>592</v>
      </c>
      <c r="C134" s="42">
        <f>AVERAGE((Table1[[#This Row],[Likes]]+Table1[[#This Row],[Shares]]+Table1[[#This Row],[Comments]])/Table1[[#This Row],[Impressions]])</f>
        <v>7.172350922350923E-2</v>
      </c>
    </row>
    <row r="135" spans="1:3" x14ac:dyDescent="0.3">
      <c r="A135" s="61">
        <v>4.34</v>
      </c>
      <c r="B135" s="27" t="s">
        <v>29</v>
      </c>
      <c r="C135" s="42">
        <f>AVERAGE((Table1[[#This Row],[Likes]]+Table1[[#This Row],[Shares]]+Table1[[#This Row],[Comments]])/Table1[[#This Row],[Impressions]])</f>
        <v>7.1133744304476013E-2</v>
      </c>
    </row>
    <row r="136" spans="1:3" x14ac:dyDescent="0.3">
      <c r="A136" s="61">
        <v>4.2</v>
      </c>
      <c r="B136" s="27" t="s">
        <v>592</v>
      </c>
      <c r="C136" s="42">
        <f>AVERAGE((Table1[[#This Row],[Likes]]+Table1[[#This Row],[Shares]]+Table1[[#This Row],[Comments]])/Table1[[#This Row],[Impressions]])</f>
        <v>6.461481657304112E-2</v>
      </c>
    </row>
    <row r="137" spans="1:3" x14ac:dyDescent="0.3">
      <c r="A137" s="61">
        <v>4.1100000000000003</v>
      </c>
      <c r="B137" s="27" t="s">
        <v>23</v>
      </c>
      <c r="C137" s="42">
        <f>AVERAGE((Table1[[#This Row],[Likes]]+Table1[[#This Row],[Shares]]+Table1[[#This Row],[Comments]])/Table1[[#This Row],[Impressions]])</f>
        <v>0.20357370772176134</v>
      </c>
    </row>
    <row r="138" spans="1:3" x14ac:dyDescent="0.3">
      <c r="A138" s="61">
        <v>4.05</v>
      </c>
      <c r="B138" s="27" t="s">
        <v>29</v>
      </c>
      <c r="C138" s="42">
        <f>AVERAGE((Table1[[#This Row],[Likes]]+Table1[[#This Row],[Shares]]+Table1[[#This Row],[Comments]])/Table1[[#This Row],[Impressions]])</f>
        <v>0.20871010638297871</v>
      </c>
    </row>
    <row r="139" spans="1:3" x14ac:dyDescent="0.3">
      <c r="A139" s="61">
        <v>4.04</v>
      </c>
      <c r="B139" s="27" t="s">
        <v>23</v>
      </c>
      <c r="C139" s="42">
        <f>AVERAGE((Table1[[#This Row],[Likes]]+Table1[[#This Row],[Shares]]+Table1[[#This Row],[Comments]])/Table1[[#This Row],[Impressions]])</f>
        <v>0.16065573770491803</v>
      </c>
    </row>
    <row r="140" spans="1:3" x14ac:dyDescent="0.3">
      <c r="A140" s="61">
        <v>4.01</v>
      </c>
      <c r="B140" s="27" t="s">
        <v>592</v>
      </c>
      <c r="C140" s="42">
        <f>AVERAGE((Table1[[#This Row],[Likes]]+Table1[[#This Row],[Shares]]+Table1[[#This Row],[Comments]])/Table1[[#This Row],[Impressions]])</f>
        <v>9.422796795338674E-2</v>
      </c>
    </row>
    <row r="141" spans="1:3" x14ac:dyDescent="0.3">
      <c r="A141" s="61">
        <v>4</v>
      </c>
      <c r="B141" s="27" t="s">
        <v>39</v>
      </c>
      <c r="C141" s="42">
        <f>AVERAGE((Table1[[#This Row],[Likes]]+Table1[[#This Row],[Shares]]+Table1[[#This Row],[Comments]])/Table1[[#This Row],[Impressions]])</f>
        <v>0.15571802706241816</v>
      </c>
    </row>
    <row r="142" spans="1:3" x14ac:dyDescent="0.3">
      <c r="A142" s="61">
        <v>3.91</v>
      </c>
      <c r="B142" s="27" t="s">
        <v>592</v>
      </c>
      <c r="C142" s="42">
        <f>AVERAGE((Table1[[#This Row],[Likes]]+Table1[[#This Row],[Shares]]+Table1[[#This Row],[Comments]])/Table1[[#This Row],[Impressions]])</f>
        <v>0.2316508937960042</v>
      </c>
    </row>
    <row r="143" spans="1:3" x14ac:dyDescent="0.3">
      <c r="A143" s="61">
        <v>3.89</v>
      </c>
      <c r="B143" s="27" t="s">
        <v>29</v>
      </c>
      <c r="C143" s="42">
        <f>AVERAGE((Table1[[#This Row],[Likes]]+Table1[[#This Row],[Shares]]+Table1[[#This Row],[Comments]])/Table1[[#This Row],[Impressions]])</f>
        <v>6.9438087973557078E-2</v>
      </c>
    </row>
    <row r="144" spans="1:3" x14ac:dyDescent="0.3">
      <c r="A144" s="61">
        <v>3.88</v>
      </c>
      <c r="B144" s="27" t="s">
        <v>39</v>
      </c>
      <c r="C144" s="42">
        <f>AVERAGE((Table1[[#This Row],[Likes]]+Table1[[#This Row],[Shares]]+Table1[[#This Row],[Comments]])/Table1[[#This Row],[Impressions]])</f>
        <v>0.50192307692307692</v>
      </c>
    </row>
    <row r="145" spans="1:3" x14ac:dyDescent="0.3">
      <c r="A145" s="61">
        <v>3.86</v>
      </c>
      <c r="B145" s="27" t="s">
        <v>23</v>
      </c>
      <c r="C145" s="42">
        <f>AVERAGE((Table1[[#This Row],[Likes]]+Table1[[#This Row],[Shares]]+Table1[[#This Row],[Comments]])/Table1[[#This Row],[Impressions]])</f>
        <v>6.5455787978772245E-2</v>
      </c>
    </row>
    <row r="146" spans="1:3" x14ac:dyDescent="0.3">
      <c r="A146" s="61">
        <v>3.86</v>
      </c>
      <c r="B146" s="27" t="s">
        <v>39</v>
      </c>
      <c r="C146" s="42">
        <f>AVERAGE((Table1[[#This Row],[Likes]]+Table1[[#This Row],[Shares]]+Table1[[#This Row],[Comments]])/Table1[[#This Row],[Impressions]])</f>
        <v>5.6416400425985093E-2</v>
      </c>
    </row>
    <row r="147" spans="1:3" x14ac:dyDescent="0.3">
      <c r="A147" s="61">
        <v>3.85</v>
      </c>
      <c r="B147" s="27" t="s">
        <v>39</v>
      </c>
      <c r="C147" s="42">
        <f>AVERAGE((Table1[[#This Row],[Likes]]+Table1[[#This Row],[Shares]]+Table1[[#This Row],[Comments]])/Table1[[#This Row],[Impressions]])</f>
        <v>0.21636759108210984</v>
      </c>
    </row>
    <row r="148" spans="1:3" x14ac:dyDescent="0.3">
      <c r="A148" s="61">
        <v>3.85</v>
      </c>
      <c r="B148" s="27" t="s">
        <v>592</v>
      </c>
      <c r="C148" s="42">
        <f>AVERAGE((Table1[[#This Row],[Likes]]+Table1[[#This Row],[Shares]]+Table1[[#This Row],[Comments]])/Table1[[#This Row],[Impressions]])</f>
        <v>0.15283323095823095</v>
      </c>
    </row>
    <row r="149" spans="1:3" x14ac:dyDescent="0.3">
      <c r="A149" s="61">
        <v>3.79</v>
      </c>
      <c r="B149" s="27" t="s">
        <v>29</v>
      </c>
      <c r="C149" s="42">
        <f>AVERAGE((Table1[[#This Row],[Likes]]+Table1[[#This Row],[Shares]]+Table1[[#This Row],[Comments]])/Table1[[#This Row],[Impressions]])</f>
        <v>0.19864505202032423</v>
      </c>
    </row>
    <row r="150" spans="1:3" x14ac:dyDescent="0.3">
      <c r="A150" s="61">
        <v>3.74</v>
      </c>
      <c r="B150" s="27" t="s">
        <v>29</v>
      </c>
      <c r="C150" s="42">
        <f>AVERAGE((Table1[[#This Row],[Likes]]+Table1[[#This Row],[Shares]]+Table1[[#This Row],[Comments]])/Table1[[#This Row],[Impressions]])</f>
        <v>7.7291421856639245E-2</v>
      </c>
    </row>
    <row r="151" spans="1:3" x14ac:dyDescent="0.3">
      <c r="A151" s="61">
        <v>3.72</v>
      </c>
      <c r="B151" s="27" t="s">
        <v>23</v>
      </c>
      <c r="C151" s="42">
        <f>AVERAGE((Table1[[#This Row],[Likes]]+Table1[[#This Row],[Shares]]+Table1[[#This Row],[Comments]])/Table1[[#This Row],[Impressions]])</f>
        <v>6.3713620488940623E-2</v>
      </c>
    </row>
    <row r="152" spans="1:3" x14ac:dyDescent="0.3">
      <c r="A152" s="61">
        <v>3.55</v>
      </c>
      <c r="B152" s="27" t="s">
        <v>592</v>
      </c>
      <c r="C152" s="42">
        <f>AVERAGE((Table1[[#This Row],[Likes]]+Table1[[#This Row],[Shares]]+Table1[[#This Row],[Comments]])/Table1[[#This Row],[Impressions]])</f>
        <v>0.10977802753582468</v>
      </c>
    </row>
    <row r="153" spans="1:3" x14ac:dyDescent="0.3">
      <c r="A153" s="61">
        <v>3.5</v>
      </c>
      <c r="B153" s="27" t="s">
        <v>592</v>
      </c>
      <c r="C153" s="42">
        <f>AVERAGE((Table1[[#This Row],[Likes]]+Table1[[#This Row],[Shares]]+Table1[[#This Row],[Comments]])/Table1[[#This Row],[Impressions]])</f>
        <v>0.19511518179295032</v>
      </c>
    </row>
    <row r="154" spans="1:3" x14ac:dyDescent="0.3">
      <c r="A154" s="61">
        <v>3.5</v>
      </c>
      <c r="B154" s="27" t="s">
        <v>23</v>
      </c>
      <c r="C154" s="42">
        <f>AVERAGE((Table1[[#This Row],[Likes]]+Table1[[#This Row],[Shares]]+Table1[[#This Row],[Comments]])/Table1[[#This Row],[Impressions]])</f>
        <v>0.17801355732390214</v>
      </c>
    </row>
    <row r="155" spans="1:3" x14ac:dyDescent="0.3">
      <c r="A155" s="61">
        <v>3.49</v>
      </c>
      <c r="B155" s="27" t="s">
        <v>23</v>
      </c>
      <c r="C155" s="42">
        <f>AVERAGE((Table1[[#This Row],[Likes]]+Table1[[#This Row],[Shares]]+Table1[[#This Row],[Comments]])/Table1[[#This Row],[Impressions]])</f>
        <v>0.31965192168237855</v>
      </c>
    </row>
    <row r="156" spans="1:3" x14ac:dyDescent="0.3">
      <c r="A156" s="61">
        <v>3.48</v>
      </c>
      <c r="B156" s="27" t="s">
        <v>23</v>
      </c>
      <c r="C156" s="42">
        <f>AVERAGE((Table1[[#This Row],[Likes]]+Table1[[#This Row],[Shares]]+Table1[[#This Row],[Comments]])/Table1[[#This Row],[Impressions]])</f>
        <v>0.11489268506351293</v>
      </c>
    </row>
    <row r="157" spans="1:3" x14ac:dyDescent="0.3">
      <c r="A157" s="61">
        <v>3.4</v>
      </c>
      <c r="B157" s="27" t="s">
        <v>29</v>
      </c>
      <c r="C157" s="42">
        <f>AVERAGE((Table1[[#This Row],[Likes]]+Table1[[#This Row],[Shares]]+Table1[[#This Row],[Comments]])/Table1[[#This Row],[Impressions]])</f>
        <v>0.1095786671562328</v>
      </c>
    </row>
    <row r="158" spans="1:3" x14ac:dyDescent="0.3">
      <c r="A158" s="61">
        <v>3.32</v>
      </c>
      <c r="B158" s="27" t="s">
        <v>39</v>
      </c>
      <c r="C158" s="42">
        <f>AVERAGE((Table1[[#This Row],[Likes]]+Table1[[#This Row],[Shares]]+Table1[[#This Row],[Comments]])/Table1[[#This Row],[Impressions]])</f>
        <v>0.10793717277486911</v>
      </c>
    </row>
    <row r="159" spans="1:3" x14ac:dyDescent="0.3">
      <c r="A159" s="61">
        <v>3.32</v>
      </c>
      <c r="B159" s="27" t="s">
        <v>29</v>
      </c>
      <c r="C159" s="42">
        <f>AVERAGE((Table1[[#This Row],[Likes]]+Table1[[#This Row],[Shares]]+Table1[[#This Row],[Comments]])/Table1[[#This Row],[Impressions]])</f>
        <v>0.11307081114118571</v>
      </c>
    </row>
    <row r="160" spans="1:3" x14ac:dyDescent="0.3">
      <c r="A160" s="61">
        <v>3.3</v>
      </c>
      <c r="B160" s="27" t="s">
        <v>29</v>
      </c>
      <c r="C160" s="42">
        <f>AVERAGE((Table1[[#This Row],[Likes]]+Table1[[#This Row],[Shares]]+Table1[[#This Row],[Comments]])/Table1[[#This Row],[Impressions]])</f>
        <v>0.21745283018867925</v>
      </c>
    </row>
    <row r="161" spans="1:3" x14ac:dyDescent="0.3">
      <c r="A161" s="61">
        <v>3.3</v>
      </c>
      <c r="B161" s="27" t="s">
        <v>29</v>
      </c>
      <c r="C161" s="42">
        <f>AVERAGE((Table1[[#This Row],[Likes]]+Table1[[#This Row],[Shares]]+Table1[[#This Row],[Comments]])/Table1[[#This Row],[Impressions]])</f>
        <v>9.1137810638734856E-2</v>
      </c>
    </row>
    <row r="162" spans="1:3" x14ac:dyDescent="0.3">
      <c r="A162" s="61">
        <v>3.29</v>
      </c>
      <c r="B162" s="27" t="s">
        <v>23</v>
      </c>
      <c r="C162" s="42">
        <f>AVERAGE((Table1[[#This Row],[Likes]]+Table1[[#This Row],[Shares]]+Table1[[#This Row],[Comments]])/Table1[[#This Row],[Impressions]])</f>
        <v>0.11508145034156594</v>
      </c>
    </row>
    <row r="163" spans="1:3" x14ac:dyDescent="0.3">
      <c r="A163" s="61">
        <v>3.25</v>
      </c>
      <c r="B163" s="27" t="s">
        <v>29</v>
      </c>
      <c r="C163" s="42">
        <f>AVERAGE((Table1[[#This Row],[Likes]]+Table1[[#This Row],[Shares]]+Table1[[#This Row],[Comments]])/Table1[[#This Row],[Impressions]])</f>
        <v>8.6630570595585168E-2</v>
      </c>
    </row>
    <row r="164" spans="1:3" x14ac:dyDescent="0.3">
      <c r="A164" s="61">
        <v>3.19</v>
      </c>
      <c r="B164" s="27" t="s">
        <v>29</v>
      </c>
      <c r="C164" s="42">
        <f>AVERAGE((Table1[[#This Row],[Likes]]+Table1[[#This Row],[Shares]]+Table1[[#This Row],[Comments]])/Table1[[#This Row],[Impressions]])</f>
        <v>0.23101532992668297</v>
      </c>
    </row>
    <row r="165" spans="1:3" x14ac:dyDescent="0.3">
      <c r="A165" s="61">
        <v>3.16</v>
      </c>
      <c r="B165" s="27" t="s">
        <v>23</v>
      </c>
      <c r="C165" s="42">
        <f>AVERAGE((Table1[[#This Row],[Likes]]+Table1[[#This Row],[Shares]]+Table1[[#This Row],[Comments]])/Table1[[#This Row],[Impressions]])</f>
        <v>0.15355188488042157</v>
      </c>
    </row>
    <row r="166" spans="1:3" x14ac:dyDescent="0.3">
      <c r="A166" s="61">
        <v>3.16</v>
      </c>
      <c r="B166" s="27" t="s">
        <v>39</v>
      </c>
      <c r="C166" s="42">
        <f>AVERAGE((Table1[[#This Row],[Likes]]+Table1[[#This Row],[Shares]]+Table1[[#This Row],[Comments]])/Table1[[#This Row],[Impressions]])</f>
        <v>0.15405989502933004</v>
      </c>
    </row>
    <row r="167" spans="1:3" x14ac:dyDescent="0.3">
      <c r="A167" s="61">
        <v>3.16</v>
      </c>
      <c r="B167" s="27" t="s">
        <v>592</v>
      </c>
      <c r="C167" s="42">
        <f>AVERAGE((Table1[[#This Row],[Likes]]+Table1[[#This Row],[Shares]]+Table1[[#This Row],[Comments]])/Table1[[#This Row],[Impressions]])</f>
        <v>0.14320716458262928</v>
      </c>
    </row>
    <row r="168" spans="1:3" x14ac:dyDescent="0.3">
      <c r="A168" s="61">
        <v>3.09</v>
      </c>
      <c r="B168" s="27" t="s">
        <v>39</v>
      </c>
      <c r="C168" s="42">
        <f>AVERAGE((Table1[[#This Row],[Likes]]+Table1[[#This Row],[Shares]]+Table1[[#This Row],[Comments]])/Table1[[#This Row],[Impressions]])</f>
        <v>9.859917557465242E-2</v>
      </c>
    </row>
    <row r="169" spans="1:3" x14ac:dyDescent="0.3">
      <c r="A169" s="61">
        <v>3.09</v>
      </c>
      <c r="B169" s="27" t="s">
        <v>23</v>
      </c>
      <c r="C169" s="42">
        <f>AVERAGE((Table1[[#This Row],[Likes]]+Table1[[#This Row],[Shares]]+Table1[[#This Row],[Comments]])/Table1[[#This Row],[Impressions]])</f>
        <v>7.412002573292896E-2</v>
      </c>
    </row>
    <row r="170" spans="1:3" x14ac:dyDescent="0.3">
      <c r="A170" s="61">
        <v>2.89</v>
      </c>
      <c r="B170" s="27" t="s">
        <v>23</v>
      </c>
      <c r="C170" s="42">
        <f>AVERAGE((Table1[[#This Row],[Likes]]+Table1[[#This Row],[Shares]]+Table1[[#This Row],[Comments]])/Table1[[#This Row],[Impressions]])</f>
        <v>0.12490884163239112</v>
      </c>
    </row>
    <row r="171" spans="1:3" x14ac:dyDescent="0.3">
      <c r="A171" s="61">
        <v>2.88</v>
      </c>
      <c r="B171" s="27" t="s">
        <v>23</v>
      </c>
      <c r="C171" s="42">
        <f>AVERAGE((Table1[[#This Row],[Likes]]+Table1[[#This Row],[Shares]]+Table1[[#This Row],[Comments]])/Table1[[#This Row],[Impressions]])</f>
        <v>6.8655003457763777E-2</v>
      </c>
    </row>
    <row r="172" spans="1:3" x14ac:dyDescent="0.3">
      <c r="A172" s="61">
        <v>2.86</v>
      </c>
      <c r="B172" s="27" t="s">
        <v>29</v>
      </c>
      <c r="C172" s="42">
        <f>AVERAGE((Table1[[#This Row],[Likes]]+Table1[[#This Row],[Shares]]+Table1[[#This Row],[Comments]])/Table1[[#This Row],[Impressions]])</f>
        <v>9.8068107400130972E-2</v>
      </c>
    </row>
    <row r="173" spans="1:3" x14ac:dyDescent="0.3">
      <c r="A173" s="61">
        <v>2.69</v>
      </c>
      <c r="B173" s="27" t="s">
        <v>592</v>
      </c>
      <c r="C173" s="42">
        <f>AVERAGE((Table1[[#This Row],[Likes]]+Table1[[#This Row],[Shares]]+Table1[[#This Row],[Comments]])/Table1[[#This Row],[Impressions]])</f>
        <v>7.2739802071170159E-2</v>
      </c>
    </row>
    <row r="174" spans="1:3" x14ac:dyDescent="0.3">
      <c r="A174" s="61">
        <v>2.68</v>
      </c>
      <c r="B174" s="27" t="s">
        <v>39</v>
      </c>
      <c r="C174" s="42">
        <f>AVERAGE((Table1[[#This Row],[Likes]]+Table1[[#This Row],[Shares]]+Table1[[#This Row],[Comments]])/Table1[[#This Row],[Impressions]])</f>
        <v>0.14348370927318296</v>
      </c>
    </row>
    <row r="175" spans="1:3" x14ac:dyDescent="0.3">
      <c r="A175" s="61">
        <v>2.65</v>
      </c>
      <c r="B175" s="27" t="s">
        <v>23</v>
      </c>
      <c r="C175" s="42">
        <f>AVERAGE((Table1[[#This Row],[Likes]]+Table1[[#This Row],[Shares]]+Table1[[#This Row],[Comments]])/Table1[[#This Row],[Impressions]])</f>
        <v>0.13809430512016718</v>
      </c>
    </row>
    <row r="176" spans="1:3" x14ac:dyDescent="0.3">
      <c r="A176" s="61">
        <v>2.62</v>
      </c>
      <c r="B176" s="27" t="s">
        <v>23</v>
      </c>
      <c r="C176" s="42">
        <f>AVERAGE((Table1[[#This Row],[Likes]]+Table1[[#This Row],[Shares]]+Table1[[#This Row],[Comments]])/Table1[[#This Row],[Impressions]])</f>
        <v>0.6508215962441315</v>
      </c>
    </row>
    <row r="177" spans="1:3" x14ac:dyDescent="0.3">
      <c r="A177" s="61">
        <v>2.6</v>
      </c>
      <c r="B177" s="27" t="s">
        <v>39</v>
      </c>
      <c r="C177" s="42">
        <f>AVERAGE((Table1[[#This Row],[Likes]]+Table1[[#This Row],[Shares]]+Table1[[#This Row],[Comments]])/Table1[[#This Row],[Impressions]])</f>
        <v>5.4081095313322801E-2</v>
      </c>
    </row>
    <row r="178" spans="1:3" x14ac:dyDescent="0.3">
      <c r="A178" s="61">
        <v>2.56</v>
      </c>
      <c r="B178" s="27" t="s">
        <v>592</v>
      </c>
      <c r="C178" s="42">
        <f>AVERAGE((Table1[[#This Row],[Likes]]+Table1[[#This Row],[Shares]]+Table1[[#This Row],[Comments]])/Table1[[#This Row],[Impressions]])</f>
        <v>9.1365878393951966E-2</v>
      </c>
    </row>
    <row r="179" spans="1:3" x14ac:dyDescent="0.3">
      <c r="A179" s="61">
        <v>2.4900000000000002</v>
      </c>
      <c r="B179" s="27" t="s">
        <v>39</v>
      </c>
      <c r="C179" s="42">
        <f>AVERAGE((Table1[[#This Row],[Likes]]+Table1[[#This Row],[Shares]]+Table1[[#This Row],[Comments]])/Table1[[#This Row],[Impressions]])</f>
        <v>0.70387596899224802</v>
      </c>
    </row>
    <row r="180" spans="1:3" x14ac:dyDescent="0.3">
      <c r="A180" s="61">
        <v>2.46</v>
      </c>
      <c r="B180" s="27" t="s">
        <v>29</v>
      </c>
      <c r="C180" s="42">
        <f>AVERAGE((Table1[[#This Row],[Likes]]+Table1[[#This Row],[Shares]]+Table1[[#This Row],[Comments]])/Table1[[#This Row],[Impressions]])</f>
        <v>7.5280481001673588E-2</v>
      </c>
    </row>
    <row r="181" spans="1:3" x14ac:dyDescent="0.3">
      <c r="A181" s="61">
        <v>2.46</v>
      </c>
      <c r="B181" s="27" t="s">
        <v>592</v>
      </c>
      <c r="C181" s="42">
        <f>AVERAGE((Table1[[#This Row],[Likes]]+Table1[[#This Row],[Shares]]+Table1[[#This Row],[Comments]])/Table1[[#This Row],[Impressions]])</f>
        <v>9.023070704558174E-2</v>
      </c>
    </row>
    <row r="182" spans="1:3" x14ac:dyDescent="0.3">
      <c r="A182" s="61">
        <v>2.44</v>
      </c>
      <c r="B182" s="27" t="s">
        <v>592</v>
      </c>
      <c r="C182" s="42">
        <f>AVERAGE((Table1[[#This Row],[Likes]]+Table1[[#This Row],[Shares]]+Table1[[#This Row],[Comments]])/Table1[[#This Row],[Impressions]])</f>
        <v>0.23673521198273673</v>
      </c>
    </row>
    <row r="183" spans="1:3" x14ac:dyDescent="0.3">
      <c r="A183" s="61">
        <v>2.37</v>
      </c>
      <c r="B183" s="27" t="s">
        <v>39</v>
      </c>
      <c r="C183" s="42">
        <f>AVERAGE((Table1[[#This Row],[Likes]]+Table1[[#This Row],[Shares]]+Table1[[#This Row],[Comments]])/Table1[[#This Row],[Impressions]])</f>
        <v>0.10132030477519921</v>
      </c>
    </row>
    <row r="184" spans="1:3" x14ac:dyDescent="0.3">
      <c r="A184" s="61">
        <v>2.36</v>
      </c>
      <c r="B184" s="27" t="s">
        <v>29</v>
      </c>
      <c r="C184" s="42">
        <f>AVERAGE((Table1[[#This Row],[Likes]]+Table1[[#This Row],[Shares]]+Table1[[#This Row],[Comments]])/Table1[[#This Row],[Impressions]])</f>
        <v>0.28696581196581195</v>
      </c>
    </row>
    <row r="185" spans="1:3" x14ac:dyDescent="0.3">
      <c r="A185" s="61">
        <v>2.2200000000000002</v>
      </c>
      <c r="B185" s="27" t="s">
        <v>592</v>
      </c>
      <c r="C185" s="42">
        <f>AVERAGE((Table1[[#This Row],[Likes]]+Table1[[#This Row],[Shares]]+Table1[[#This Row],[Comments]])/Table1[[#This Row],[Impressions]])</f>
        <v>0.13614307931570763</v>
      </c>
    </row>
    <row r="186" spans="1:3" x14ac:dyDescent="0.3">
      <c r="A186" s="61">
        <v>2.09</v>
      </c>
      <c r="B186" s="27" t="s">
        <v>592</v>
      </c>
      <c r="C186" s="42">
        <f>AVERAGE((Table1[[#This Row],[Likes]]+Table1[[#This Row],[Shares]]+Table1[[#This Row],[Comments]])/Table1[[#This Row],[Impressions]])</f>
        <v>9.5290736237010829E-2</v>
      </c>
    </row>
    <row r="187" spans="1:3" x14ac:dyDescent="0.3">
      <c r="A187" s="61">
        <v>2.02</v>
      </c>
      <c r="B187" s="27" t="s">
        <v>39</v>
      </c>
      <c r="C187" s="42">
        <f>AVERAGE((Table1[[#This Row],[Likes]]+Table1[[#This Row],[Shares]]+Table1[[#This Row],[Comments]])/Table1[[#This Row],[Impressions]])</f>
        <v>8.4862714173059003E-2</v>
      </c>
    </row>
    <row r="188" spans="1:3" x14ac:dyDescent="0.3">
      <c r="A188" s="61">
        <v>2.0099999999999998</v>
      </c>
      <c r="B188" s="27" t="s">
        <v>592</v>
      </c>
      <c r="C188" s="42">
        <f>AVERAGE((Table1[[#This Row],[Likes]]+Table1[[#This Row],[Shares]]+Table1[[#This Row],[Comments]])/Table1[[#This Row],[Impressions]])</f>
        <v>8.3726921425504502E-2</v>
      </c>
    </row>
    <row r="189" spans="1:3" x14ac:dyDescent="0.3">
      <c r="A189" s="61">
        <v>1.99</v>
      </c>
      <c r="B189" s="27" t="s">
        <v>23</v>
      </c>
      <c r="C189" s="42">
        <f>AVERAGE((Table1[[#This Row],[Likes]]+Table1[[#This Row],[Shares]]+Table1[[#This Row],[Comments]])/Table1[[#This Row],[Impressions]])</f>
        <v>8.4946236559139784E-2</v>
      </c>
    </row>
    <row r="190" spans="1:3" x14ac:dyDescent="0.3">
      <c r="A190" s="61">
        <v>1.91</v>
      </c>
      <c r="B190" s="27" t="s">
        <v>39</v>
      </c>
      <c r="C190" s="42">
        <f>AVERAGE((Table1[[#This Row],[Likes]]+Table1[[#This Row],[Shares]]+Table1[[#This Row],[Comments]])/Table1[[#This Row],[Impressions]])</f>
        <v>7.2503306878306875E-2</v>
      </c>
    </row>
    <row r="191" spans="1:3" x14ac:dyDescent="0.3">
      <c r="A191" s="61">
        <v>1.87</v>
      </c>
      <c r="B191" s="27" t="s">
        <v>23</v>
      </c>
      <c r="C191" s="42">
        <f>AVERAGE((Table1[[#This Row],[Likes]]+Table1[[#This Row],[Shares]]+Table1[[#This Row],[Comments]])/Table1[[#This Row],[Impressions]])</f>
        <v>5.5909322465613857E-2</v>
      </c>
    </row>
    <row r="192" spans="1:3" x14ac:dyDescent="0.3">
      <c r="A192" s="61">
        <v>1.82</v>
      </c>
      <c r="B192" s="27" t="s">
        <v>29</v>
      </c>
      <c r="C192" s="42">
        <f>AVERAGE((Table1[[#This Row],[Likes]]+Table1[[#This Row],[Shares]]+Table1[[#This Row],[Comments]])/Table1[[#This Row],[Impressions]])</f>
        <v>9.9578134817341346E-2</v>
      </c>
    </row>
    <row r="193" spans="1:3" x14ac:dyDescent="0.3">
      <c r="A193" s="61">
        <v>1.81</v>
      </c>
      <c r="B193" s="27" t="s">
        <v>29</v>
      </c>
      <c r="C193" s="42">
        <f>AVERAGE((Table1[[#This Row],[Likes]]+Table1[[#This Row],[Shares]]+Table1[[#This Row],[Comments]])/Table1[[#This Row],[Impressions]])</f>
        <v>0.1441326530612245</v>
      </c>
    </row>
    <row r="194" spans="1:3" x14ac:dyDescent="0.3">
      <c r="A194" s="61">
        <v>1.8</v>
      </c>
      <c r="B194" s="27" t="s">
        <v>592</v>
      </c>
      <c r="C194" s="42">
        <f>AVERAGE((Table1[[#This Row],[Likes]]+Table1[[#This Row],[Shares]]+Table1[[#This Row],[Comments]])/Table1[[#This Row],[Impressions]])</f>
        <v>9.9255211647142488E-2</v>
      </c>
    </row>
    <row r="195" spans="1:3" x14ac:dyDescent="0.3">
      <c r="A195" s="61">
        <v>1.77</v>
      </c>
      <c r="B195" s="27" t="s">
        <v>39</v>
      </c>
      <c r="C195" s="42">
        <f>AVERAGE((Table1[[#This Row],[Likes]]+Table1[[#This Row],[Shares]]+Table1[[#This Row],[Comments]])/Table1[[#This Row],[Impressions]])</f>
        <v>8.4203612479474554E-2</v>
      </c>
    </row>
    <row r="196" spans="1:3" x14ac:dyDescent="0.3">
      <c r="A196" s="61">
        <v>1.76</v>
      </c>
      <c r="B196" s="27" t="s">
        <v>39</v>
      </c>
      <c r="C196" s="42">
        <f>AVERAGE((Table1[[#This Row],[Likes]]+Table1[[#This Row],[Shares]]+Table1[[#This Row],[Comments]])/Table1[[#This Row],[Impressions]])</f>
        <v>0.13667732704931829</v>
      </c>
    </row>
    <row r="197" spans="1:3" x14ac:dyDescent="0.3">
      <c r="A197" s="61">
        <v>1.76</v>
      </c>
      <c r="B197" s="27" t="s">
        <v>29</v>
      </c>
      <c r="C197" s="42">
        <f>AVERAGE((Table1[[#This Row],[Likes]]+Table1[[#This Row],[Shares]]+Table1[[#This Row],[Comments]])/Table1[[#This Row],[Impressions]])</f>
        <v>0.12575841147269717</v>
      </c>
    </row>
    <row r="198" spans="1:3" x14ac:dyDescent="0.3">
      <c r="A198" s="61">
        <v>1.75</v>
      </c>
      <c r="B198" s="27" t="s">
        <v>39</v>
      </c>
      <c r="C198" s="42">
        <f>AVERAGE((Table1[[#This Row],[Likes]]+Table1[[#This Row],[Shares]]+Table1[[#This Row],[Comments]])/Table1[[#This Row],[Impressions]])</f>
        <v>6.4884520656164318E-2</v>
      </c>
    </row>
    <row r="199" spans="1:3" x14ac:dyDescent="0.3">
      <c r="A199" s="61">
        <v>1.6</v>
      </c>
      <c r="B199" s="27" t="s">
        <v>23</v>
      </c>
      <c r="C199" s="42">
        <f>AVERAGE((Table1[[#This Row],[Likes]]+Table1[[#This Row],[Shares]]+Table1[[#This Row],[Comments]])/Table1[[#This Row],[Impressions]])</f>
        <v>0.19847328244274809</v>
      </c>
    </row>
    <row r="200" spans="1:3" x14ac:dyDescent="0.3">
      <c r="A200" s="61">
        <v>1.53</v>
      </c>
      <c r="B200" s="27" t="s">
        <v>23</v>
      </c>
      <c r="C200" s="42">
        <f>AVERAGE((Table1[[#This Row],[Likes]]+Table1[[#This Row],[Shares]]+Table1[[#This Row],[Comments]])/Table1[[#This Row],[Impressions]])</f>
        <v>8.5520696919660646E-2</v>
      </c>
    </row>
    <row r="201" spans="1:3" x14ac:dyDescent="0.3">
      <c r="A201" s="61">
        <v>1.53</v>
      </c>
      <c r="B201" s="27" t="s">
        <v>29</v>
      </c>
      <c r="C201" s="42">
        <f>AVERAGE((Table1[[#This Row],[Likes]]+Table1[[#This Row],[Shares]]+Table1[[#This Row],[Comments]])/Table1[[#This Row],[Impressions]])</f>
        <v>6.246991874522239E-2</v>
      </c>
    </row>
    <row r="202" spans="1:3" x14ac:dyDescent="0.3">
      <c r="A202" s="15"/>
      <c r="C202" s="42">
        <f>AVERAGE((Table1[[#This Row],[Likes]]+Table1[[#This Row],[Shares]]+Table1[[#This Row],[Comments]])/Table1[[#This Row],[Impressions]])</f>
        <v>9.0606816292601824E-2</v>
      </c>
    </row>
    <row r="203" spans="1:3" x14ac:dyDescent="0.3">
      <c r="A203" s="15"/>
      <c r="C203" s="42">
        <f>AVERAGE((Table1[[#This Row],[Likes]]+Table1[[#This Row],[Shares]]+Table1[[#This Row],[Comments]])/Table1[[#This Row],[Impressions]])</f>
        <v>8.2108498129342594E-2</v>
      </c>
    </row>
    <row r="204" spans="1:3" x14ac:dyDescent="0.3">
      <c r="A204" s="15"/>
      <c r="C204" s="42">
        <f>AVERAGE((Table1[[#This Row],[Likes]]+Table1[[#This Row],[Shares]]+Table1[[#This Row],[Comments]])/Table1[[#This Row],[Impressions]])</f>
        <v>5.7332570758993957E-2</v>
      </c>
    </row>
    <row r="205" spans="1:3" x14ac:dyDescent="0.3">
      <c r="A205" s="15"/>
      <c r="C205" s="42">
        <f>AVERAGE((Table1[[#This Row],[Likes]]+Table1[[#This Row],[Shares]]+Table1[[#This Row],[Comments]])/Table1[[#This Row],[Impressions]])</f>
        <v>0.29713518352730528</v>
      </c>
    </row>
    <row r="206" spans="1:3" x14ac:dyDescent="0.3">
      <c r="A206" s="15"/>
      <c r="C206" s="42">
        <f>AVERAGE((Table1[[#This Row],[Likes]]+Table1[[#This Row],[Shares]]+Table1[[#This Row],[Comments]])/Table1[[#This Row],[Impressions]])</f>
        <v>0.1043848167539267</v>
      </c>
    </row>
    <row r="207" spans="1:3" x14ac:dyDescent="0.3">
      <c r="A207" s="15"/>
      <c r="C207" s="42">
        <f>AVERAGE((Table1[[#This Row],[Likes]]+Table1[[#This Row],[Shares]]+Table1[[#This Row],[Comments]])/Table1[[#This Row],[Impressions]])</f>
        <v>0.10768685795253277</v>
      </c>
    </row>
    <row r="208" spans="1:3" x14ac:dyDescent="0.3">
      <c r="A208" s="15"/>
      <c r="C208" s="42">
        <f>AVERAGE((Table1[[#This Row],[Likes]]+Table1[[#This Row],[Shares]]+Table1[[#This Row],[Comments]])/Table1[[#This Row],[Impressions]])</f>
        <v>0.14316214319138981</v>
      </c>
    </row>
    <row r="209" spans="1:3" x14ac:dyDescent="0.3">
      <c r="A209" s="15"/>
      <c r="C209" s="42">
        <f>AVERAGE((Table1[[#This Row],[Likes]]+Table1[[#This Row],[Shares]]+Table1[[#This Row],[Comments]])/Table1[[#This Row],[Impressions]])</f>
        <v>8.6537809426924378E-2</v>
      </c>
    </row>
    <row r="210" spans="1:3" x14ac:dyDescent="0.3">
      <c r="A210" s="15"/>
      <c r="C210" s="42">
        <f>AVERAGE((Table1[[#This Row],[Likes]]+Table1[[#This Row],[Shares]]+Table1[[#This Row],[Comments]])/Table1[[#This Row],[Impressions]])</f>
        <v>8.2753164556962022E-2</v>
      </c>
    </row>
    <row r="211" spans="1:3" x14ac:dyDescent="0.3">
      <c r="A211" s="15"/>
      <c r="C211" s="42">
        <f>AVERAGE((Table1[[#This Row],[Likes]]+Table1[[#This Row],[Shares]]+Table1[[#This Row],[Comments]])/Table1[[#This Row],[Impressions]])</f>
        <v>0.48518407662376534</v>
      </c>
    </row>
    <row r="212" spans="1:3" x14ac:dyDescent="0.3">
      <c r="A212" s="15"/>
      <c r="C212" s="42">
        <f>AVERAGE((Table1[[#This Row],[Likes]]+Table1[[#This Row],[Shares]]+Table1[[#This Row],[Comments]])/Table1[[#This Row],[Impressions]])</f>
        <v>0.18632075471698112</v>
      </c>
    </row>
    <row r="213" spans="1:3" x14ac:dyDescent="0.3">
      <c r="A213" s="15"/>
      <c r="C213" s="42">
        <f>AVERAGE((Table1[[#This Row],[Likes]]+Table1[[#This Row],[Shares]]+Table1[[#This Row],[Comments]])/Table1[[#This Row],[Impressions]])</f>
        <v>0.123309241094476</v>
      </c>
    </row>
    <row r="214" spans="1:3" x14ac:dyDescent="0.3">
      <c r="A214" s="15"/>
      <c r="C214" s="42">
        <f>AVERAGE((Table1[[#This Row],[Likes]]+Table1[[#This Row],[Shares]]+Table1[[#This Row],[Comments]])/Table1[[#This Row],[Impressions]])</f>
        <v>8.21914819340199E-2</v>
      </c>
    </row>
    <row r="215" spans="1:3" x14ac:dyDescent="0.3">
      <c r="A215" s="15"/>
      <c r="C215" s="42">
        <f>AVERAGE((Table1[[#This Row],[Likes]]+Table1[[#This Row],[Shares]]+Table1[[#This Row],[Comments]])/Table1[[#This Row],[Impressions]])</f>
        <v>0.37955854126679461</v>
      </c>
    </row>
    <row r="216" spans="1:3" x14ac:dyDescent="0.3">
      <c r="A216" s="15"/>
      <c r="C216" s="42">
        <f>AVERAGE((Table1[[#This Row],[Likes]]+Table1[[#This Row],[Shares]]+Table1[[#This Row],[Comments]])/Table1[[#This Row],[Impressions]])</f>
        <v>7.2116777745580993E-2</v>
      </c>
    </row>
    <row r="217" spans="1:3" x14ac:dyDescent="0.3">
      <c r="A217" s="15"/>
      <c r="C217" s="42">
        <f>AVERAGE((Table1[[#This Row],[Likes]]+Table1[[#This Row],[Shares]]+Table1[[#This Row],[Comments]])/Table1[[#This Row],[Impressions]])</f>
        <v>5.8316766070245198E-2</v>
      </c>
    </row>
    <row r="218" spans="1:3" x14ac:dyDescent="0.3">
      <c r="A218" s="15"/>
      <c r="C218" s="42">
        <f>AVERAGE((Table1[[#This Row],[Likes]]+Table1[[#This Row],[Shares]]+Table1[[#This Row],[Comments]])/Table1[[#This Row],[Impressions]])</f>
        <v>6.2603126356925748E-2</v>
      </c>
    </row>
    <row r="219" spans="1:3" x14ac:dyDescent="0.3">
      <c r="A219" s="15"/>
      <c r="C219" s="42">
        <f>AVERAGE((Table1[[#This Row],[Likes]]+Table1[[#This Row],[Shares]]+Table1[[#This Row],[Comments]])/Table1[[#This Row],[Impressions]])</f>
        <v>0.18806848582129482</v>
      </c>
    </row>
    <row r="220" spans="1:3" x14ac:dyDescent="0.3">
      <c r="A220" s="15"/>
      <c r="C220" s="42">
        <f>AVERAGE((Table1[[#This Row],[Likes]]+Table1[[#This Row],[Shares]]+Table1[[#This Row],[Comments]])/Table1[[#This Row],[Impressions]])</f>
        <v>0.25701459034792368</v>
      </c>
    </row>
    <row r="221" spans="1:3" x14ac:dyDescent="0.3">
      <c r="A221" s="15"/>
      <c r="C221" s="42">
        <f>AVERAGE((Table1[[#This Row],[Likes]]+Table1[[#This Row],[Shares]]+Table1[[#This Row],[Comments]])/Table1[[#This Row],[Impressions]])</f>
        <v>1.8129251700680271</v>
      </c>
    </row>
    <row r="222" spans="1:3" x14ac:dyDescent="0.3">
      <c r="A222" s="15"/>
      <c r="C222" s="42">
        <f>AVERAGE((Table1[[#This Row],[Likes]]+Table1[[#This Row],[Shares]]+Table1[[#This Row],[Comments]])/Table1[[#This Row],[Impressions]])</f>
        <v>0.15989220750056141</v>
      </c>
    </row>
    <row r="223" spans="1:3" x14ac:dyDescent="0.3">
      <c r="A223" s="15"/>
      <c r="C223" s="42">
        <f>AVERAGE((Table1[[#This Row],[Likes]]+Table1[[#This Row],[Shares]]+Table1[[#This Row],[Comments]])/Table1[[#This Row],[Impressions]])</f>
        <v>0.11143487163332809</v>
      </c>
    </row>
    <row r="224" spans="1:3" x14ac:dyDescent="0.3">
      <c r="A224" s="15"/>
      <c r="C224" s="42">
        <f>AVERAGE((Table1[[#This Row],[Likes]]+Table1[[#This Row],[Shares]]+Table1[[#This Row],[Comments]])/Table1[[#This Row],[Impressions]])</f>
        <v>6.2129685107516146E-2</v>
      </c>
    </row>
    <row r="225" spans="1:3" x14ac:dyDescent="0.3">
      <c r="A225" s="15"/>
      <c r="C225" s="42">
        <f>AVERAGE((Table1[[#This Row],[Likes]]+Table1[[#This Row],[Shares]]+Table1[[#This Row],[Comments]])/Table1[[#This Row],[Impressions]])</f>
        <v>0.32083531086853345</v>
      </c>
    </row>
    <row r="226" spans="1:3" x14ac:dyDescent="0.3">
      <c r="A226" s="15"/>
      <c r="C226" s="42">
        <f>AVERAGE((Table1[[#This Row],[Likes]]+Table1[[#This Row],[Shares]]+Table1[[#This Row],[Comments]])/Table1[[#This Row],[Impressions]])</f>
        <v>5.6653298485940883E-2</v>
      </c>
    </row>
    <row r="227" spans="1:3" x14ac:dyDescent="0.3">
      <c r="A227" s="15"/>
      <c r="C227" s="42">
        <f>AVERAGE((Table1[[#This Row],[Likes]]+Table1[[#This Row],[Shares]]+Table1[[#This Row],[Comments]])/Table1[[#This Row],[Impressions]])</f>
        <v>0.25537047673750718</v>
      </c>
    </row>
    <row r="228" spans="1:3" x14ac:dyDescent="0.3">
      <c r="A228" s="15"/>
      <c r="C228" s="42">
        <f>AVERAGE((Table1[[#This Row],[Likes]]+Table1[[#This Row],[Shares]]+Table1[[#This Row],[Comments]])/Table1[[#This Row],[Impressions]])</f>
        <v>0.11232349165596919</v>
      </c>
    </row>
    <row r="229" spans="1:3" x14ac:dyDescent="0.3">
      <c r="A229" s="15"/>
      <c r="C229" s="42">
        <f>AVERAGE((Table1[[#This Row],[Likes]]+Table1[[#This Row],[Shares]]+Table1[[#This Row],[Comments]])/Table1[[#This Row],[Impressions]])</f>
        <v>8.1808097615085965E-2</v>
      </c>
    </row>
    <row r="230" spans="1:3" x14ac:dyDescent="0.3">
      <c r="A230" s="15"/>
      <c r="C230" s="42">
        <f>AVERAGE((Table1[[#This Row],[Likes]]+Table1[[#This Row],[Shares]]+Table1[[#This Row],[Comments]])/Table1[[#This Row],[Impressions]])</f>
        <v>0.13387048227640017</v>
      </c>
    </row>
    <row r="231" spans="1:3" x14ac:dyDescent="0.3">
      <c r="A231" s="15"/>
      <c r="C231" s="42">
        <f>AVERAGE((Table1[[#This Row],[Likes]]+Table1[[#This Row],[Shares]]+Table1[[#This Row],[Comments]])/Table1[[#This Row],[Impressions]])</f>
        <v>7.7512577512577507E-2</v>
      </c>
    </row>
    <row r="232" spans="1:3" x14ac:dyDescent="0.3">
      <c r="A232" s="15"/>
      <c r="C232" s="42">
        <f>AVERAGE((Table1[[#This Row],[Likes]]+Table1[[#This Row],[Shares]]+Table1[[#This Row],[Comments]])/Table1[[#This Row],[Impressions]])</f>
        <v>8.5734265734265735E-2</v>
      </c>
    </row>
    <row r="233" spans="1:3" x14ac:dyDescent="0.3">
      <c r="A233" s="15"/>
      <c r="C233" s="42">
        <f>AVERAGE((Table1[[#This Row],[Likes]]+Table1[[#This Row],[Shares]]+Table1[[#This Row],[Comments]])/Table1[[#This Row],[Impressions]])</f>
        <v>0.7168674698795181</v>
      </c>
    </row>
    <row r="234" spans="1:3" x14ac:dyDescent="0.3">
      <c r="A234" s="15"/>
      <c r="C234" s="42">
        <f>AVERAGE((Table1[[#This Row],[Likes]]+Table1[[#This Row],[Shares]]+Table1[[#This Row],[Comments]])/Table1[[#This Row],[Impressions]])</f>
        <v>7.2969143576826198E-2</v>
      </c>
    </row>
    <row r="235" spans="1:3" x14ac:dyDescent="0.3">
      <c r="A235" s="15"/>
      <c r="C235" s="42">
        <f>AVERAGE((Table1[[#This Row],[Likes]]+Table1[[#This Row],[Shares]]+Table1[[#This Row],[Comments]])/Table1[[#This Row],[Impressions]])</f>
        <v>7.5968222442899705E-2</v>
      </c>
    </row>
    <row r="236" spans="1:3" x14ac:dyDescent="0.3">
      <c r="A236" s="15"/>
      <c r="C236" s="42">
        <f>AVERAGE((Table1[[#This Row],[Likes]]+Table1[[#This Row],[Shares]]+Table1[[#This Row],[Comments]])/Table1[[#This Row],[Impressions]])</f>
        <v>0.1283706906360223</v>
      </c>
    </row>
    <row r="237" spans="1:3" x14ac:dyDescent="0.3">
      <c r="A237" s="15"/>
      <c r="C237" s="42">
        <f>AVERAGE((Table1[[#This Row],[Likes]]+Table1[[#This Row],[Shares]]+Table1[[#This Row],[Comments]])/Table1[[#This Row],[Impressions]])</f>
        <v>0.12943516308671441</v>
      </c>
    </row>
    <row r="238" spans="1:3" x14ac:dyDescent="0.3">
      <c r="A238" s="15"/>
      <c r="C238" s="42">
        <f>AVERAGE((Table1[[#This Row],[Likes]]+Table1[[#This Row],[Shares]]+Table1[[#This Row],[Comments]])/Table1[[#This Row],[Impressions]])</f>
        <v>6.7234398994834563E-2</v>
      </c>
    </row>
    <row r="239" spans="1:3" x14ac:dyDescent="0.3">
      <c r="A239" s="15"/>
      <c r="C239" s="42">
        <f>AVERAGE((Table1[[#This Row],[Likes]]+Table1[[#This Row],[Shares]]+Table1[[#This Row],[Comments]])/Table1[[#This Row],[Impressions]])</f>
        <v>7.2579365079365077E-2</v>
      </c>
    </row>
    <row r="240" spans="1:3" x14ac:dyDescent="0.3">
      <c r="A240" s="15"/>
      <c r="C240" s="42">
        <f>AVERAGE((Table1[[#This Row],[Likes]]+Table1[[#This Row],[Shares]]+Table1[[#This Row],[Comments]])/Table1[[#This Row],[Impressions]])</f>
        <v>0.25062082139446035</v>
      </c>
    </row>
    <row r="241" spans="1:3" x14ac:dyDescent="0.3">
      <c r="A241" s="15"/>
      <c r="C241" s="42">
        <f>AVERAGE((Table1[[#This Row],[Likes]]+Table1[[#This Row],[Shares]]+Table1[[#This Row],[Comments]])/Table1[[#This Row],[Impressions]])</f>
        <v>8.6293505561535699E-2</v>
      </c>
    </row>
    <row r="242" spans="1:3" x14ac:dyDescent="0.3">
      <c r="A242" s="15"/>
      <c r="C242" s="42">
        <f>AVERAGE((Table1[[#This Row],[Likes]]+Table1[[#This Row],[Shares]]+Table1[[#This Row],[Comments]])/Table1[[#This Row],[Impressions]])</f>
        <v>0.17743908486792079</v>
      </c>
    </row>
    <row r="243" spans="1:3" x14ac:dyDescent="0.3">
      <c r="A243" s="15"/>
      <c r="C243" s="42">
        <f>AVERAGE((Table1[[#This Row],[Likes]]+Table1[[#This Row],[Shares]]+Table1[[#This Row],[Comments]])/Table1[[#This Row],[Impressions]])</f>
        <v>0.18519683938186141</v>
      </c>
    </row>
    <row r="244" spans="1:3" x14ac:dyDescent="0.3">
      <c r="A244" s="15"/>
      <c r="C244" s="42">
        <f>AVERAGE((Table1[[#This Row],[Likes]]+Table1[[#This Row],[Shares]]+Table1[[#This Row],[Comments]])/Table1[[#This Row],[Impressions]])</f>
        <v>9.7001272669424113E-2</v>
      </c>
    </row>
    <row r="245" spans="1:3" x14ac:dyDescent="0.3">
      <c r="A245" s="15"/>
      <c r="C245" s="42">
        <f>AVERAGE((Table1[[#This Row],[Likes]]+Table1[[#This Row],[Shares]]+Table1[[#This Row],[Comments]])/Table1[[#This Row],[Impressions]])</f>
        <v>0.25869984981763572</v>
      </c>
    </row>
    <row r="246" spans="1:3" x14ac:dyDescent="0.3">
      <c r="A246" s="15"/>
      <c r="C246" s="42">
        <f>AVERAGE((Table1[[#This Row],[Likes]]+Table1[[#This Row],[Shares]]+Table1[[#This Row],[Comments]])/Table1[[#This Row],[Impressions]])</f>
        <v>0.12232704402515723</v>
      </c>
    </row>
    <row r="247" spans="1:3" x14ac:dyDescent="0.3">
      <c r="A247" s="15"/>
      <c r="C247" s="42">
        <f>AVERAGE((Table1[[#This Row],[Likes]]+Table1[[#This Row],[Shares]]+Table1[[#This Row],[Comments]])/Table1[[#This Row],[Impressions]])</f>
        <v>0.23656250000000001</v>
      </c>
    </row>
    <row r="248" spans="1:3" x14ac:dyDescent="0.3">
      <c r="A248" s="15"/>
      <c r="C248" s="42">
        <f>AVERAGE((Table1[[#This Row],[Likes]]+Table1[[#This Row],[Shares]]+Table1[[#This Row],[Comments]])/Table1[[#This Row],[Impressions]])</f>
        <v>0.11879910213243547</v>
      </c>
    </row>
    <row r="249" spans="1:3" x14ac:dyDescent="0.3">
      <c r="A249" s="15"/>
      <c r="C249" s="42">
        <f>AVERAGE((Table1[[#This Row],[Likes]]+Table1[[#This Row],[Shares]]+Table1[[#This Row],[Comments]])/Table1[[#This Row],[Impressions]])</f>
        <v>0.26297968397291194</v>
      </c>
    </row>
    <row r="250" spans="1:3" x14ac:dyDescent="0.3">
      <c r="A250" s="15"/>
      <c r="C250" s="42">
        <f>AVERAGE((Table1[[#This Row],[Likes]]+Table1[[#This Row],[Shares]]+Table1[[#This Row],[Comments]])/Table1[[#This Row],[Impressions]])</f>
        <v>8.7733440816874911E-2</v>
      </c>
    </row>
    <row r="251" spans="1:3" x14ac:dyDescent="0.3">
      <c r="A251" s="15"/>
      <c r="C251" s="42">
        <f>AVERAGE((Table1[[#This Row],[Likes]]+Table1[[#This Row],[Shares]]+Table1[[#This Row],[Comments]])/Table1[[#This Row],[Impressions]])</f>
        <v>7.3170731707317069E-2</v>
      </c>
    </row>
    <row r="252" spans="1:3" x14ac:dyDescent="0.3">
      <c r="A252" s="15"/>
      <c r="C252" s="42">
        <f>AVERAGE((Table1[[#This Row],[Likes]]+Table1[[#This Row],[Shares]]+Table1[[#This Row],[Comments]])/Table1[[#This Row],[Impressions]])</f>
        <v>0.11619462599854757</v>
      </c>
    </row>
    <row r="253" spans="1:3" x14ac:dyDescent="0.3">
      <c r="A253" s="15"/>
      <c r="C253" s="42">
        <f>AVERAGE((Table1[[#This Row],[Likes]]+Table1[[#This Row],[Shares]]+Table1[[#This Row],[Comments]])/Table1[[#This Row],[Impressions]])</f>
        <v>0.15761129727142173</v>
      </c>
    </row>
    <row r="254" spans="1:3" x14ac:dyDescent="0.3">
      <c r="A254" s="15"/>
      <c r="C254" s="42">
        <f>AVERAGE((Table1[[#This Row],[Likes]]+Table1[[#This Row],[Shares]]+Table1[[#This Row],[Comments]])/Table1[[#This Row],[Impressions]])</f>
        <v>8.6897539284772202E-2</v>
      </c>
    </row>
    <row r="255" spans="1:3" x14ac:dyDescent="0.3">
      <c r="A255" s="15"/>
      <c r="C255" s="42">
        <f>AVERAGE((Table1[[#This Row],[Likes]]+Table1[[#This Row],[Shares]]+Table1[[#This Row],[Comments]])/Table1[[#This Row],[Impressions]])</f>
        <v>0.13331166419019316</v>
      </c>
    </row>
    <row r="256" spans="1:3" x14ac:dyDescent="0.3">
      <c r="A256" s="15"/>
      <c r="C256" s="42">
        <f>AVERAGE((Table1[[#This Row],[Likes]]+Table1[[#This Row],[Shares]]+Table1[[#This Row],[Comments]])/Table1[[#This Row],[Impressions]])</f>
        <v>0.11996283514733209</v>
      </c>
    </row>
    <row r="257" spans="1:3" x14ac:dyDescent="0.3">
      <c r="A257" s="15"/>
      <c r="C257" s="42">
        <f>AVERAGE((Table1[[#This Row],[Likes]]+Table1[[#This Row],[Shares]]+Table1[[#This Row],[Comments]])/Table1[[#This Row],[Impressions]])</f>
        <v>5.7936488444630008E-2</v>
      </c>
    </row>
    <row r="258" spans="1:3" x14ac:dyDescent="0.3">
      <c r="A258" s="15"/>
      <c r="C258" s="42">
        <f>AVERAGE((Table1[[#This Row],[Likes]]+Table1[[#This Row],[Shares]]+Table1[[#This Row],[Comments]])/Table1[[#This Row],[Impressions]])</f>
        <v>7.9915048543689318E-2</v>
      </c>
    </row>
    <row r="259" spans="1:3" x14ac:dyDescent="0.3">
      <c r="A259" s="15"/>
      <c r="C259" s="42">
        <f>AVERAGE((Table1[[#This Row],[Likes]]+Table1[[#This Row],[Shares]]+Table1[[#This Row],[Comments]])/Table1[[#This Row],[Impressions]])</f>
        <v>0.2023049153013052</v>
      </c>
    </row>
    <row r="260" spans="1:3" x14ac:dyDescent="0.3">
      <c r="A260" s="15"/>
      <c r="C260" s="42">
        <f>AVERAGE((Table1[[#This Row],[Likes]]+Table1[[#This Row],[Shares]]+Table1[[#This Row],[Comments]])/Table1[[#This Row],[Impressions]])</f>
        <v>0.25771055753262156</v>
      </c>
    </row>
    <row r="261" spans="1:3" x14ac:dyDescent="0.3">
      <c r="A261" s="15"/>
      <c r="C261" s="42">
        <f>AVERAGE((Table1[[#This Row],[Likes]]+Table1[[#This Row],[Shares]]+Table1[[#This Row],[Comments]])/Table1[[#This Row],[Impressions]])</f>
        <v>8.7752275425405618E-2</v>
      </c>
    </row>
    <row r="262" spans="1:3" x14ac:dyDescent="0.3">
      <c r="A262" s="15"/>
      <c r="C262" s="42">
        <f>AVERAGE((Table1[[#This Row],[Likes]]+Table1[[#This Row],[Shares]]+Table1[[#This Row],[Comments]])/Table1[[#This Row],[Impressions]])</f>
        <v>8.2835359571399134E-2</v>
      </c>
    </row>
    <row r="263" spans="1:3" x14ac:dyDescent="0.3">
      <c r="A263" s="15"/>
      <c r="C263" s="42">
        <f>AVERAGE((Table1[[#This Row],[Likes]]+Table1[[#This Row],[Shares]]+Table1[[#This Row],[Comments]])/Table1[[#This Row],[Impressions]])</f>
        <v>0.15339966832504145</v>
      </c>
    </row>
    <row r="264" spans="1:3" x14ac:dyDescent="0.3">
      <c r="A264" s="15"/>
      <c r="C264" s="42">
        <f>AVERAGE((Table1[[#This Row],[Likes]]+Table1[[#This Row],[Shares]]+Table1[[#This Row],[Comments]])/Table1[[#This Row],[Impressions]])</f>
        <v>0.26876680752977333</v>
      </c>
    </row>
    <row r="265" spans="1:3" x14ac:dyDescent="0.3">
      <c r="A265" s="15"/>
      <c r="C265" s="42">
        <f>AVERAGE((Table1[[#This Row],[Likes]]+Table1[[#This Row],[Shares]]+Table1[[#This Row],[Comments]])/Table1[[#This Row],[Impressions]])</f>
        <v>0.53389830508474578</v>
      </c>
    </row>
    <row r="266" spans="1:3" x14ac:dyDescent="0.3">
      <c r="A266" s="15"/>
      <c r="C266" s="42">
        <f>AVERAGE((Table1[[#This Row],[Likes]]+Table1[[#This Row],[Shares]]+Table1[[#This Row],[Comments]])/Table1[[#This Row],[Impressions]])</f>
        <v>0.25279701651571657</v>
      </c>
    </row>
    <row r="267" spans="1:3" x14ac:dyDescent="0.3">
      <c r="A267" s="15"/>
      <c r="C267" s="42">
        <f>AVERAGE((Table1[[#This Row],[Likes]]+Table1[[#This Row],[Shares]]+Table1[[#This Row],[Comments]])/Table1[[#This Row],[Impressions]])</f>
        <v>0.10086880280567512</v>
      </c>
    </row>
    <row r="268" spans="1:3" x14ac:dyDescent="0.3">
      <c r="A268" s="15"/>
      <c r="C268" s="42">
        <f>AVERAGE((Table1[[#This Row],[Likes]]+Table1[[#This Row],[Shares]]+Table1[[#This Row],[Comments]])/Table1[[#This Row],[Impressions]])</f>
        <v>6.3947934081681396E-2</v>
      </c>
    </row>
    <row r="269" spans="1:3" x14ac:dyDescent="0.3">
      <c r="A269" s="15"/>
      <c r="C269" s="42">
        <f>AVERAGE((Table1[[#This Row],[Likes]]+Table1[[#This Row],[Shares]]+Table1[[#This Row],[Comments]])/Table1[[#This Row],[Impressions]])</f>
        <v>8.4062694239588759E-2</v>
      </c>
    </row>
    <row r="270" spans="1:3" x14ac:dyDescent="0.3">
      <c r="A270" s="15"/>
      <c r="C270" s="42">
        <f>AVERAGE((Table1[[#This Row],[Likes]]+Table1[[#This Row],[Shares]]+Table1[[#This Row],[Comments]])/Table1[[#This Row],[Impressions]])</f>
        <v>0.22157421618066214</v>
      </c>
    </row>
    <row r="271" spans="1:3" x14ac:dyDescent="0.3">
      <c r="A271" s="15"/>
      <c r="C271" s="42">
        <f>AVERAGE((Table1[[#This Row],[Likes]]+Table1[[#This Row],[Shares]]+Table1[[#This Row],[Comments]])/Table1[[#This Row],[Impressions]])</f>
        <v>6.7103868574456813E-2</v>
      </c>
    </row>
    <row r="272" spans="1:3" x14ac:dyDescent="0.3">
      <c r="A272" s="15"/>
      <c r="C272" s="42">
        <f>AVERAGE((Table1[[#This Row],[Likes]]+Table1[[#This Row],[Shares]]+Table1[[#This Row],[Comments]])/Table1[[#This Row],[Impressions]])</f>
        <v>0.20675990675990677</v>
      </c>
    </row>
    <row r="273" spans="1:3" x14ac:dyDescent="0.3">
      <c r="A273" s="15"/>
      <c r="C273" s="42">
        <f>AVERAGE((Table1[[#This Row],[Likes]]+Table1[[#This Row],[Shares]]+Table1[[#This Row],[Comments]])/Table1[[#This Row],[Impressions]])</f>
        <v>0.14220299534507186</v>
      </c>
    </row>
    <row r="274" spans="1:3" x14ac:dyDescent="0.3">
      <c r="A274" s="15"/>
      <c r="C274" s="42">
        <f>AVERAGE((Table1[[#This Row],[Likes]]+Table1[[#This Row],[Shares]]+Table1[[#This Row],[Comments]])/Table1[[#This Row],[Impressions]])</f>
        <v>9.7700431949264685E-2</v>
      </c>
    </row>
    <row r="275" spans="1:3" x14ac:dyDescent="0.3">
      <c r="A275" s="15"/>
      <c r="C275" s="42">
        <f>AVERAGE((Table1[[#This Row],[Likes]]+Table1[[#This Row],[Shares]]+Table1[[#This Row],[Comments]])/Table1[[#This Row],[Impressions]])</f>
        <v>7.8849599245638849E-2</v>
      </c>
    </row>
    <row r="276" spans="1:3" x14ac:dyDescent="0.3">
      <c r="A276" s="15"/>
      <c r="C276" s="42">
        <f>AVERAGE((Table1[[#This Row],[Likes]]+Table1[[#This Row],[Shares]]+Table1[[#This Row],[Comments]])/Table1[[#This Row],[Impressions]])</f>
        <v>0.16754738655944859</v>
      </c>
    </row>
    <row r="277" spans="1:3" x14ac:dyDescent="0.3">
      <c r="A277" s="15"/>
      <c r="C277" s="42">
        <f>AVERAGE((Table1[[#This Row],[Likes]]+Table1[[#This Row],[Shares]]+Table1[[#This Row],[Comments]])/Table1[[#This Row],[Impressions]])</f>
        <v>0.2015852613538989</v>
      </c>
    </row>
    <row r="278" spans="1:3" x14ac:dyDescent="0.3">
      <c r="A278" s="15"/>
      <c r="C278" s="42">
        <f>AVERAGE((Table1[[#This Row],[Likes]]+Table1[[#This Row],[Shares]]+Table1[[#This Row],[Comments]])/Table1[[#This Row],[Impressions]])</f>
        <v>0.24763928234183191</v>
      </c>
    </row>
    <row r="279" spans="1:3" x14ac:dyDescent="0.3">
      <c r="A279" s="15"/>
      <c r="C279" s="42">
        <f>AVERAGE((Table1[[#This Row],[Likes]]+Table1[[#This Row],[Shares]]+Table1[[#This Row],[Comments]])/Table1[[#This Row],[Impressions]])</f>
        <v>0.11114018842096787</v>
      </c>
    </row>
    <row r="280" spans="1:3" x14ac:dyDescent="0.3">
      <c r="A280" s="15"/>
      <c r="C280" s="42">
        <f>AVERAGE((Table1[[#This Row],[Likes]]+Table1[[#This Row],[Shares]]+Table1[[#This Row],[Comments]])/Table1[[#This Row],[Impressions]])</f>
        <v>5.9928644240570844E-2</v>
      </c>
    </row>
    <row r="281" spans="1:3" x14ac:dyDescent="0.3">
      <c r="A281" s="15"/>
      <c r="C281" s="42">
        <f>AVERAGE((Table1[[#This Row],[Likes]]+Table1[[#This Row],[Shares]]+Table1[[#This Row],[Comments]])/Table1[[#This Row],[Impressions]])</f>
        <v>8.3274853801169585E-2</v>
      </c>
    </row>
    <row r="282" spans="1:3" x14ac:dyDescent="0.3">
      <c r="A282" s="15"/>
      <c r="C282" s="42">
        <f>AVERAGE((Table1[[#This Row],[Likes]]+Table1[[#This Row],[Shares]]+Table1[[#This Row],[Comments]])/Table1[[#This Row],[Impressions]])</f>
        <v>6.3118551273952411E-2</v>
      </c>
    </row>
    <row r="283" spans="1:3" x14ac:dyDescent="0.3">
      <c r="A283" s="15"/>
      <c r="C283" s="42">
        <f>AVERAGE((Table1[[#This Row],[Likes]]+Table1[[#This Row],[Shares]]+Table1[[#This Row],[Comments]])/Table1[[#This Row],[Impressions]])</f>
        <v>0.1071650124069479</v>
      </c>
    </row>
    <row r="284" spans="1:3" x14ac:dyDescent="0.3">
      <c r="A284" s="15"/>
      <c r="C284" s="42">
        <f>AVERAGE((Table1[[#This Row],[Likes]]+Table1[[#This Row],[Shares]]+Table1[[#This Row],[Comments]])/Table1[[#This Row],[Impressions]])</f>
        <v>5.8243321401216137E-2</v>
      </c>
    </row>
    <row r="285" spans="1:3" x14ac:dyDescent="0.3">
      <c r="A285" s="15"/>
      <c r="C285" s="42">
        <f>AVERAGE((Table1[[#This Row],[Likes]]+Table1[[#This Row],[Shares]]+Table1[[#This Row],[Comments]])/Table1[[#This Row],[Impressions]])</f>
        <v>0.11465952405480581</v>
      </c>
    </row>
    <row r="286" spans="1:3" x14ac:dyDescent="0.3">
      <c r="A286" s="15"/>
      <c r="C286" s="42">
        <f>AVERAGE((Table1[[#This Row],[Likes]]+Table1[[#This Row],[Shares]]+Table1[[#This Row],[Comments]])/Table1[[#This Row],[Impressions]])</f>
        <v>0.13517919809886983</v>
      </c>
    </row>
    <row r="287" spans="1:3" x14ac:dyDescent="0.3">
      <c r="A287" s="15"/>
      <c r="C287" s="42">
        <f>AVERAGE((Table1[[#This Row],[Likes]]+Table1[[#This Row],[Shares]]+Table1[[#This Row],[Comments]])/Table1[[#This Row],[Impressions]])</f>
        <v>0.19484607062063539</v>
      </c>
    </row>
    <row r="288" spans="1:3" x14ac:dyDescent="0.3">
      <c r="A288" s="15"/>
      <c r="C288" s="42">
        <f>AVERAGE((Table1[[#This Row],[Likes]]+Table1[[#This Row],[Shares]]+Table1[[#This Row],[Comments]])/Table1[[#This Row],[Impressions]])</f>
        <v>0.30126002290950743</v>
      </c>
    </row>
    <row r="289" spans="1:3" x14ac:dyDescent="0.3">
      <c r="A289" s="15"/>
      <c r="C289" s="42">
        <f>AVERAGE((Table1[[#This Row],[Likes]]+Table1[[#This Row],[Shares]]+Table1[[#This Row],[Comments]])/Table1[[#This Row],[Impressions]])</f>
        <v>6.800325430032543E-2</v>
      </c>
    </row>
    <row r="290" spans="1:3" x14ac:dyDescent="0.3">
      <c r="A290" s="15"/>
      <c r="C290" s="42">
        <f>AVERAGE((Table1[[#This Row],[Likes]]+Table1[[#This Row],[Shares]]+Table1[[#This Row],[Comments]])/Table1[[#This Row],[Impressions]])</f>
        <v>7.3018902217375503E-2</v>
      </c>
    </row>
    <row r="291" spans="1:3" x14ac:dyDescent="0.3">
      <c r="A291" s="15"/>
      <c r="C291" s="42">
        <f>AVERAGE((Table1[[#This Row],[Likes]]+Table1[[#This Row],[Shares]]+Table1[[#This Row],[Comments]])/Table1[[#This Row],[Impressions]])</f>
        <v>8.3921940869371006E-2</v>
      </c>
    </row>
    <row r="292" spans="1:3" x14ac:dyDescent="0.3">
      <c r="A292" s="15"/>
      <c r="C292" s="42">
        <f>AVERAGE((Table1[[#This Row],[Likes]]+Table1[[#This Row],[Shares]]+Table1[[#This Row],[Comments]])/Table1[[#This Row],[Impressions]])</f>
        <v>7.1956537279290869E-2</v>
      </c>
    </row>
    <row r="293" spans="1:3" x14ac:dyDescent="0.3">
      <c r="A293" s="15"/>
      <c r="C293" s="42">
        <f>AVERAGE((Table1[[#This Row],[Likes]]+Table1[[#This Row],[Shares]]+Table1[[#This Row],[Comments]])/Table1[[#This Row],[Impressions]])</f>
        <v>0.12353896103896105</v>
      </c>
    </row>
    <row r="294" spans="1:3" x14ac:dyDescent="0.3">
      <c r="A294" s="15"/>
      <c r="C294" s="42">
        <f>AVERAGE((Table1[[#This Row],[Likes]]+Table1[[#This Row],[Shares]]+Table1[[#This Row],[Comments]])/Table1[[#This Row],[Impressions]])</f>
        <v>0.12428384068475185</v>
      </c>
    </row>
    <row r="295" spans="1:3" x14ac:dyDescent="0.3">
      <c r="A295" s="15"/>
      <c r="C295" s="42">
        <f>AVERAGE((Table1[[#This Row],[Likes]]+Table1[[#This Row],[Shares]]+Table1[[#This Row],[Comments]])/Table1[[#This Row],[Impressions]])</f>
        <v>0.18248432325794406</v>
      </c>
    </row>
    <row r="296" spans="1:3" x14ac:dyDescent="0.3">
      <c r="A296" s="15"/>
      <c r="C296" s="42">
        <f>AVERAGE((Table1[[#This Row],[Likes]]+Table1[[#This Row],[Shares]]+Table1[[#This Row],[Comments]])/Table1[[#This Row],[Impressions]])</f>
        <v>0.16540727459016394</v>
      </c>
    </row>
    <row r="297" spans="1:3" x14ac:dyDescent="0.3">
      <c r="A297" s="15"/>
      <c r="C297" s="42">
        <f>AVERAGE((Table1[[#This Row],[Likes]]+Table1[[#This Row],[Shares]]+Table1[[#This Row],[Comments]])/Table1[[#This Row],[Impressions]])</f>
        <v>5.9387824897400819E-2</v>
      </c>
    </row>
    <row r="298" spans="1:3" x14ac:dyDescent="0.3">
      <c r="A298" s="15"/>
      <c r="C298" s="42">
        <f>AVERAGE((Table1[[#This Row],[Likes]]+Table1[[#This Row],[Shares]]+Table1[[#This Row],[Comments]])/Table1[[#This Row],[Impressions]])</f>
        <v>0.24349030470914126</v>
      </c>
    </row>
    <row r="299" spans="1:3" x14ac:dyDescent="0.3">
      <c r="A299" s="15"/>
      <c r="C299" s="42">
        <f>AVERAGE((Table1[[#This Row],[Likes]]+Table1[[#This Row],[Shares]]+Table1[[#This Row],[Comments]])/Table1[[#This Row],[Impressions]])</f>
        <v>5.8563792702765516E-2</v>
      </c>
    </row>
    <row r="300" spans="1:3" x14ac:dyDescent="0.3">
      <c r="A300" s="15"/>
      <c r="C300" s="42">
        <f>AVERAGE((Table1[[#This Row],[Likes]]+Table1[[#This Row],[Shares]]+Table1[[#This Row],[Comments]])/Table1[[#This Row],[Impressions]])</f>
        <v>0.13840458048129492</v>
      </c>
    </row>
    <row r="301" spans="1:3" x14ac:dyDescent="0.3">
      <c r="A301" s="15"/>
      <c r="C301" s="42">
        <f>AVERAGE((Table1[[#This Row],[Likes]]+Table1[[#This Row],[Shares]]+Table1[[#This Row],[Comments]])/Table1[[#This Row],[Impressions]])</f>
        <v>8.3539958039290485E-2</v>
      </c>
    </row>
  </sheetData>
  <sortState xmlns:xlrd2="http://schemas.microsoft.com/office/spreadsheetml/2017/richdata2" ref="C2:C301">
    <sortCondition descending="1" ref="C2:C301"/>
  </sortState>
  <mergeCells count="1">
    <mergeCell ref="H17:O17"/>
  </mergeCells>
  <conditionalFormatting sqref="F5:F14">
    <cfRule type="colorScale" priority="1">
      <colorScale>
        <cfvo type="min"/>
        <cfvo type="max"/>
        <color theme="6" tint="0.59999389629810485"/>
        <color theme="6" tint="-0.249977111117893"/>
      </colorScale>
    </cfRule>
    <cfRule type="colorScale" priority="2">
      <colorScale>
        <cfvo type="min"/>
        <cfvo type="max"/>
        <color theme="6" tint="0.59999389629810485"/>
        <color theme="6" tint="-0.249977111117893"/>
      </colorScale>
    </cfRule>
  </conditionalFormatting>
  <conditionalFormatting sqref="G5:G14">
    <cfRule type="colorScale" priority="3">
      <colorScale>
        <cfvo type="min"/>
        <cfvo type="max"/>
        <color theme="6" tint="0.79998168889431442"/>
        <color theme="6" tint="-0.249977111117893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9:H20 E3:G16 E17:E18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0F0CC-7CB5-496D-80E7-5A2257A9EE03}">
  <sheetPr codeName="Sheet3">
    <tabColor theme="7" tint="0.39997558519241921"/>
  </sheetPr>
  <dimension ref="A1:S345"/>
  <sheetViews>
    <sheetView zoomScale="85" workbookViewId="0">
      <selection activeCell="D6" sqref="D6"/>
    </sheetView>
  </sheetViews>
  <sheetFormatPr defaultRowHeight="14.4" x14ac:dyDescent="0.3"/>
  <cols>
    <col min="1" max="1" width="29.44140625" customWidth="1"/>
    <col min="2" max="2" width="15.6640625" style="15" customWidth="1"/>
    <col min="3" max="3" width="21.88671875" style="15" customWidth="1"/>
    <col min="4" max="4" width="14.88671875" customWidth="1"/>
    <col min="5" max="5" width="11.44140625" customWidth="1"/>
    <col min="6" max="6" width="10.109375" customWidth="1"/>
    <col min="8" max="8" width="21.109375" customWidth="1"/>
    <col min="9" max="9" width="20.77734375" customWidth="1"/>
    <col min="12" max="12" width="8.88671875" customWidth="1"/>
    <col min="14" max="14" width="10.88671875" customWidth="1"/>
    <col min="17" max="17" width="35.21875" customWidth="1"/>
    <col min="19" max="19" width="14.5546875" customWidth="1"/>
  </cols>
  <sheetData>
    <row r="1" spans="1:19" x14ac:dyDescent="0.3">
      <c r="A1" s="39" t="s">
        <v>11</v>
      </c>
      <c r="B1" s="56" t="s">
        <v>10</v>
      </c>
      <c r="C1" s="57" t="s">
        <v>613</v>
      </c>
      <c r="D1" s="44" t="s">
        <v>614</v>
      </c>
    </row>
    <row r="2" spans="1:19" x14ac:dyDescent="0.3">
      <c r="A2" s="37" t="s">
        <v>33</v>
      </c>
      <c r="B2" s="58">
        <v>300</v>
      </c>
      <c r="C2" s="15">
        <f t="shared" ref="C2:C65" si="0">_xlfn.RANK.EQ(B2, B:B, 0)</f>
        <v>1</v>
      </c>
      <c r="D2" t="str">
        <f t="shared" ref="D2:D65" si="1">IF(C2&lt;=10,"Top Performing","Avg Performing")</f>
        <v>Top Performing</v>
      </c>
    </row>
    <row r="3" spans="1:19" x14ac:dyDescent="0.3">
      <c r="A3" s="37" t="s">
        <v>33</v>
      </c>
      <c r="B3" s="58">
        <v>299</v>
      </c>
      <c r="C3" s="15">
        <f t="shared" si="0"/>
        <v>2</v>
      </c>
      <c r="D3" t="str">
        <f t="shared" si="1"/>
        <v>Top Performing</v>
      </c>
    </row>
    <row r="4" spans="1:19" ht="18" x14ac:dyDescent="0.35">
      <c r="A4" s="37" t="s">
        <v>26</v>
      </c>
      <c r="B4" s="58">
        <v>298</v>
      </c>
      <c r="C4" s="15">
        <f>_xlfn.RANK.EQ(B4, B:B, 0)</f>
        <v>3</v>
      </c>
      <c r="D4" t="str">
        <f t="shared" si="1"/>
        <v>Top Performing</v>
      </c>
      <c r="H4" s="75" t="s">
        <v>612</v>
      </c>
      <c r="I4" s="76" t="s">
        <v>611</v>
      </c>
      <c r="M4" s="72" t="s">
        <v>627</v>
      </c>
      <c r="N4" s="73"/>
    </row>
    <row r="5" spans="1:19" x14ac:dyDescent="0.3">
      <c r="A5" s="37" t="s">
        <v>26</v>
      </c>
      <c r="B5" s="58">
        <v>297.5</v>
      </c>
      <c r="C5" s="15">
        <f t="shared" si="0"/>
        <v>4</v>
      </c>
      <c r="D5" t="str">
        <f t="shared" si="1"/>
        <v>Top Performing</v>
      </c>
      <c r="H5" s="77" t="s">
        <v>601</v>
      </c>
      <c r="I5" s="78">
        <v>161.19999999999999</v>
      </c>
      <c r="M5" s="88" t="s">
        <v>628</v>
      </c>
      <c r="N5" s="88"/>
      <c r="O5" s="88"/>
      <c r="P5" s="88"/>
      <c r="Q5" s="88"/>
    </row>
    <row r="6" spans="1:19" x14ac:dyDescent="0.3">
      <c r="A6" s="37" t="s">
        <v>57</v>
      </c>
      <c r="B6" s="58">
        <v>297</v>
      </c>
      <c r="C6" s="15">
        <f t="shared" si="0"/>
        <v>5</v>
      </c>
      <c r="D6" t="str">
        <f t="shared" si="1"/>
        <v>Top Performing</v>
      </c>
      <c r="H6" s="77" t="s">
        <v>602</v>
      </c>
      <c r="I6" s="78">
        <v>114.85714285714286</v>
      </c>
      <c r="M6" s="88"/>
      <c r="N6" s="88"/>
      <c r="O6" s="88"/>
      <c r="P6" s="88"/>
      <c r="Q6" s="88"/>
    </row>
    <row r="7" spans="1:19" x14ac:dyDescent="0.3">
      <c r="A7" s="37" t="s">
        <v>33</v>
      </c>
      <c r="B7" s="58">
        <v>296</v>
      </c>
      <c r="C7" s="15">
        <f t="shared" si="0"/>
        <v>6</v>
      </c>
      <c r="D7" t="str">
        <f t="shared" si="1"/>
        <v>Top Performing</v>
      </c>
      <c r="H7" s="77" t="s">
        <v>57</v>
      </c>
      <c r="I7" s="78">
        <v>144.03883495145632</v>
      </c>
      <c r="M7" s="89" t="s">
        <v>629</v>
      </c>
      <c r="N7" s="90"/>
      <c r="O7" s="90"/>
      <c r="P7" s="90"/>
      <c r="Q7" s="90"/>
    </row>
    <row r="8" spans="1:19" x14ac:dyDescent="0.3">
      <c r="A8" s="37" t="s">
        <v>26</v>
      </c>
      <c r="B8" s="58">
        <v>293</v>
      </c>
      <c r="C8" s="15">
        <f t="shared" si="0"/>
        <v>7</v>
      </c>
      <c r="D8" t="str">
        <f t="shared" si="1"/>
        <v>Top Performing</v>
      </c>
      <c r="H8" s="77" t="s">
        <v>26</v>
      </c>
      <c r="I8" s="78">
        <v>158.65420560747663</v>
      </c>
      <c r="M8" s="88"/>
      <c r="N8" s="88"/>
      <c r="O8" s="88"/>
      <c r="P8" s="88"/>
      <c r="Q8" s="88"/>
    </row>
    <row r="9" spans="1:19" x14ac:dyDescent="0.3">
      <c r="A9" s="37" t="s">
        <v>26</v>
      </c>
      <c r="B9" s="58">
        <v>292</v>
      </c>
      <c r="C9" s="15">
        <f t="shared" si="0"/>
        <v>8</v>
      </c>
      <c r="D9" t="str">
        <f t="shared" si="1"/>
        <v>Top Performing</v>
      </c>
      <c r="H9" s="77" t="s">
        <v>587</v>
      </c>
      <c r="I9" s="78">
        <v>111.8</v>
      </c>
      <c r="M9" s="74"/>
      <c r="N9" s="74"/>
      <c r="O9" s="74"/>
      <c r="P9" s="74"/>
      <c r="Q9" s="74"/>
    </row>
    <row r="10" spans="1:19" x14ac:dyDescent="0.3">
      <c r="A10" s="37" t="s">
        <v>26</v>
      </c>
      <c r="B10" s="58">
        <v>290</v>
      </c>
      <c r="C10" s="15">
        <f t="shared" si="0"/>
        <v>9</v>
      </c>
      <c r="D10" t="str">
        <f t="shared" si="1"/>
        <v>Top Performing</v>
      </c>
      <c r="H10" s="79" t="s">
        <v>33</v>
      </c>
      <c r="I10" s="80">
        <v>151.52941176470588</v>
      </c>
    </row>
    <row r="11" spans="1:19" x14ac:dyDescent="0.3">
      <c r="A11" s="37" t="s">
        <v>33</v>
      </c>
      <c r="B11" s="58">
        <v>289</v>
      </c>
      <c r="C11" s="15">
        <f t="shared" si="0"/>
        <v>10</v>
      </c>
      <c r="D11" t="str">
        <f t="shared" si="1"/>
        <v>Top Performing</v>
      </c>
    </row>
    <row r="12" spans="1:19" x14ac:dyDescent="0.3">
      <c r="A12" s="37" t="s">
        <v>33</v>
      </c>
      <c r="B12" s="58">
        <v>288</v>
      </c>
      <c r="C12" s="15">
        <f t="shared" si="0"/>
        <v>11</v>
      </c>
      <c r="D12" t="str">
        <f t="shared" si="1"/>
        <v>Avg Performing</v>
      </c>
      <c r="M12" s="87" t="s">
        <v>636</v>
      </c>
      <c r="N12" s="87"/>
      <c r="O12" s="87"/>
      <c r="P12" s="87"/>
      <c r="Q12" s="87"/>
      <c r="R12" s="87"/>
      <c r="S12" s="87"/>
    </row>
    <row r="13" spans="1:19" x14ac:dyDescent="0.3">
      <c r="A13" s="37" t="s">
        <v>57</v>
      </c>
      <c r="B13" s="58">
        <v>287</v>
      </c>
      <c r="C13" s="15">
        <f t="shared" si="0"/>
        <v>12</v>
      </c>
      <c r="D13" t="str">
        <f t="shared" si="1"/>
        <v>Avg Performing</v>
      </c>
      <c r="H13" s="67" t="s">
        <v>625</v>
      </c>
      <c r="I13" s="67" t="s">
        <v>612</v>
      </c>
      <c r="J13" s="68" t="s">
        <v>626</v>
      </c>
      <c r="M13" s="87" t="s">
        <v>635</v>
      </c>
      <c r="N13" s="87"/>
      <c r="O13" s="87"/>
      <c r="P13" s="87"/>
      <c r="Q13" s="87"/>
      <c r="R13" s="87"/>
      <c r="S13" s="87"/>
    </row>
    <row r="14" spans="1:19" x14ac:dyDescent="0.3">
      <c r="A14" s="37" t="s">
        <v>57</v>
      </c>
      <c r="B14" s="58">
        <v>286</v>
      </c>
      <c r="C14" s="15">
        <f t="shared" si="0"/>
        <v>13</v>
      </c>
      <c r="D14" t="str">
        <f t="shared" si="1"/>
        <v>Avg Performing</v>
      </c>
      <c r="H14" s="69">
        <f>RANK(C2,$C$2:$C$7,1)</f>
        <v>1</v>
      </c>
      <c r="I14" s="70" t="s">
        <v>601</v>
      </c>
      <c r="J14" s="71">
        <v>161.19999999999999</v>
      </c>
      <c r="M14" s="87" t="s">
        <v>637</v>
      </c>
      <c r="N14" s="87"/>
      <c r="O14" s="87"/>
      <c r="P14" s="87"/>
      <c r="Q14" s="87"/>
      <c r="R14" s="87"/>
      <c r="S14" s="87"/>
    </row>
    <row r="15" spans="1:19" x14ac:dyDescent="0.3">
      <c r="A15" s="37" t="s">
        <v>26</v>
      </c>
      <c r="B15" s="58">
        <v>283</v>
      </c>
      <c r="C15" s="15">
        <f t="shared" si="0"/>
        <v>14</v>
      </c>
      <c r="D15" t="str">
        <f t="shared" si="1"/>
        <v>Avg Performing</v>
      </c>
      <c r="H15" s="69">
        <f t="shared" ref="H15:H19" si="2">RANK(C3,$C$2:$C$7,1)</f>
        <v>2</v>
      </c>
      <c r="I15" s="70" t="s">
        <v>26</v>
      </c>
      <c r="J15" s="71">
        <v>158.65420560747663</v>
      </c>
      <c r="M15" s="81"/>
      <c r="N15" s="81"/>
      <c r="O15" s="81"/>
      <c r="P15" s="81"/>
      <c r="Q15" s="81"/>
      <c r="R15" s="81"/>
      <c r="S15" s="81"/>
    </row>
    <row r="16" spans="1:19" x14ac:dyDescent="0.3">
      <c r="A16" s="37" t="s">
        <v>26</v>
      </c>
      <c r="B16" s="58">
        <v>282</v>
      </c>
      <c r="C16" s="15">
        <f t="shared" si="0"/>
        <v>15</v>
      </c>
      <c r="D16" t="str">
        <f t="shared" si="1"/>
        <v>Avg Performing</v>
      </c>
      <c r="H16" s="69">
        <f t="shared" si="2"/>
        <v>3</v>
      </c>
      <c r="I16" s="70" t="s">
        <v>33</v>
      </c>
      <c r="J16" s="71">
        <v>151.52941176470588</v>
      </c>
    </row>
    <row r="17" spans="1:11" x14ac:dyDescent="0.3">
      <c r="A17" s="37" t="s">
        <v>57</v>
      </c>
      <c r="B17" s="58">
        <v>282</v>
      </c>
      <c r="C17" s="15">
        <f t="shared" si="0"/>
        <v>15</v>
      </c>
      <c r="D17" t="str">
        <f t="shared" si="1"/>
        <v>Avg Performing</v>
      </c>
      <c r="H17" s="69">
        <f t="shared" si="2"/>
        <v>4</v>
      </c>
      <c r="I17" s="70" t="s">
        <v>57</v>
      </c>
      <c r="J17" s="71">
        <v>144.03883495145632</v>
      </c>
    </row>
    <row r="18" spans="1:11" x14ac:dyDescent="0.3">
      <c r="A18" s="37" t="s">
        <v>57</v>
      </c>
      <c r="B18" s="58">
        <v>282</v>
      </c>
      <c r="C18" s="15">
        <f t="shared" si="0"/>
        <v>15</v>
      </c>
      <c r="D18" t="str">
        <f t="shared" si="1"/>
        <v>Avg Performing</v>
      </c>
      <c r="H18" s="69">
        <f t="shared" si="2"/>
        <v>5</v>
      </c>
      <c r="I18" s="70" t="s">
        <v>602</v>
      </c>
      <c r="J18" s="71">
        <v>114.85714285714286</v>
      </c>
    </row>
    <row r="19" spans="1:11" x14ac:dyDescent="0.3">
      <c r="A19" s="37" t="s">
        <v>33</v>
      </c>
      <c r="B19" s="58">
        <v>282</v>
      </c>
      <c r="C19" s="15">
        <f t="shared" si="0"/>
        <v>15</v>
      </c>
      <c r="D19" t="str">
        <f t="shared" si="1"/>
        <v>Avg Performing</v>
      </c>
      <c r="H19" s="69">
        <f t="shared" si="2"/>
        <v>6</v>
      </c>
      <c r="I19" s="70" t="s">
        <v>587</v>
      </c>
      <c r="J19" s="86">
        <v>111.8</v>
      </c>
    </row>
    <row r="20" spans="1:11" x14ac:dyDescent="0.3">
      <c r="A20" s="38" t="s">
        <v>26</v>
      </c>
      <c r="B20" s="58">
        <v>282</v>
      </c>
      <c r="C20" s="15">
        <f t="shared" si="0"/>
        <v>15</v>
      </c>
      <c r="D20" t="str">
        <f t="shared" si="1"/>
        <v>Avg Performing</v>
      </c>
    </row>
    <row r="21" spans="1:11" ht="22.2" customHeight="1" x14ac:dyDescent="0.45">
      <c r="A21" s="38" t="s">
        <v>601</v>
      </c>
      <c r="B21" s="59">
        <v>282</v>
      </c>
      <c r="C21" s="15">
        <f t="shared" si="0"/>
        <v>15</v>
      </c>
      <c r="D21" t="str">
        <f t="shared" si="1"/>
        <v>Avg Performing</v>
      </c>
      <c r="H21" s="82" t="s">
        <v>630</v>
      </c>
      <c r="I21" s="83"/>
    </row>
    <row r="22" spans="1:11" x14ac:dyDescent="0.3">
      <c r="A22" s="37" t="s">
        <v>26</v>
      </c>
      <c r="B22" s="58">
        <v>279</v>
      </c>
      <c r="C22" s="15">
        <f t="shared" si="0"/>
        <v>21</v>
      </c>
      <c r="D22" t="str">
        <f t="shared" si="1"/>
        <v>Avg Performing</v>
      </c>
      <c r="H22" s="84"/>
      <c r="I22" s="84"/>
      <c r="J22" s="84"/>
      <c r="K22" s="84"/>
    </row>
    <row r="23" spans="1:11" ht="18" x14ac:dyDescent="0.35">
      <c r="A23" s="37" t="s">
        <v>57</v>
      </c>
      <c r="B23" s="58">
        <v>277</v>
      </c>
      <c r="C23" s="15">
        <f t="shared" si="0"/>
        <v>22</v>
      </c>
      <c r="D23" t="str">
        <f t="shared" si="1"/>
        <v>Avg Performing</v>
      </c>
      <c r="H23" s="85" t="s">
        <v>631</v>
      </c>
      <c r="I23" s="85"/>
      <c r="J23" s="84"/>
      <c r="K23" s="84"/>
    </row>
    <row r="24" spans="1:11" x14ac:dyDescent="0.3">
      <c r="A24" s="37" t="s">
        <v>26</v>
      </c>
      <c r="B24" s="58">
        <v>277</v>
      </c>
      <c r="C24" s="15">
        <f t="shared" si="0"/>
        <v>22</v>
      </c>
      <c r="D24" t="str">
        <f t="shared" si="1"/>
        <v>Avg Performing</v>
      </c>
      <c r="H24" s="84"/>
      <c r="I24" s="84"/>
      <c r="J24" s="84"/>
      <c r="K24" s="84"/>
    </row>
    <row r="25" spans="1:11" ht="18" x14ac:dyDescent="0.35">
      <c r="A25" s="37" t="s">
        <v>33</v>
      </c>
      <c r="B25" s="58">
        <v>277</v>
      </c>
      <c r="C25" s="15">
        <f t="shared" si="0"/>
        <v>22</v>
      </c>
      <c r="D25" t="str">
        <f t="shared" si="1"/>
        <v>Avg Performing</v>
      </c>
      <c r="H25" s="85" t="s">
        <v>632</v>
      </c>
      <c r="I25" s="85"/>
      <c r="J25" s="85"/>
      <c r="K25" s="84"/>
    </row>
    <row r="26" spans="1:11" x14ac:dyDescent="0.3">
      <c r="A26" s="37" t="s">
        <v>33</v>
      </c>
      <c r="B26" s="58">
        <v>275</v>
      </c>
      <c r="C26" s="15">
        <f t="shared" si="0"/>
        <v>25</v>
      </c>
      <c r="D26" t="str">
        <f t="shared" si="1"/>
        <v>Avg Performing</v>
      </c>
      <c r="H26" s="84"/>
      <c r="I26" s="84"/>
      <c r="J26" s="84"/>
      <c r="K26" s="84"/>
    </row>
    <row r="27" spans="1:11" ht="18" x14ac:dyDescent="0.35">
      <c r="A27" s="37" t="s">
        <v>26</v>
      </c>
      <c r="B27" s="58">
        <v>275</v>
      </c>
      <c r="C27" s="15">
        <f t="shared" si="0"/>
        <v>25</v>
      </c>
      <c r="D27" t="str">
        <f t="shared" si="1"/>
        <v>Avg Performing</v>
      </c>
      <c r="H27" s="85" t="s">
        <v>633</v>
      </c>
      <c r="I27" s="85" t="s">
        <v>634</v>
      </c>
      <c r="J27" s="84"/>
      <c r="K27" s="84"/>
    </row>
    <row r="28" spans="1:11" x14ac:dyDescent="0.3">
      <c r="A28" s="37" t="s">
        <v>57</v>
      </c>
      <c r="B28" s="58">
        <v>272</v>
      </c>
      <c r="C28" s="15">
        <f t="shared" si="0"/>
        <v>27</v>
      </c>
      <c r="D28" t="str">
        <f t="shared" si="1"/>
        <v>Avg Performing</v>
      </c>
      <c r="H28" s="84"/>
      <c r="I28" s="84"/>
      <c r="J28" s="84"/>
      <c r="K28" s="84"/>
    </row>
    <row r="29" spans="1:11" x14ac:dyDescent="0.3">
      <c r="A29" s="37" t="s">
        <v>33</v>
      </c>
      <c r="B29" s="58">
        <v>272</v>
      </c>
      <c r="C29" s="15">
        <f t="shared" si="0"/>
        <v>27</v>
      </c>
      <c r="D29" t="str">
        <f t="shared" si="1"/>
        <v>Avg Performing</v>
      </c>
      <c r="H29" s="84"/>
      <c r="I29" s="84"/>
      <c r="J29" s="84"/>
      <c r="K29" s="84"/>
    </row>
    <row r="30" spans="1:11" x14ac:dyDescent="0.3">
      <c r="A30" s="37" t="s">
        <v>57</v>
      </c>
      <c r="B30" s="58">
        <v>271</v>
      </c>
      <c r="C30" s="15">
        <f t="shared" si="0"/>
        <v>29</v>
      </c>
      <c r="D30" t="str">
        <f t="shared" si="1"/>
        <v>Avg Performing</v>
      </c>
    </row>
    <row r="31" spans="1:11" x14ac:dyDescent="0.3">
      <c r="A31" s="37" t="s">
        <v>33</v>
      </c>
      <c r="B31" s="58">
        <v>270</v>
      </c>
      <c r="C31" s="15">
        <f t="shared" si="0"/>
        <v>30</v>
      </c>
      <c r="D31" t="str">
        <f t="shared" si="1"/>
        <v>Avg Performing</v>
      </c>
    </row>
    <row r="32" spans="1:11" x14ac:dyDescent="0.3">
      <c r="A32" s="37" t="s">
        <v>26</v>
      </c>
      <c r="B32" s="58">
        <v>270</v>
      </c>
      <c r="C32" s="15">
        <f t="shared" si="0"/>
        <v>30</v>
      </c>
      <c r="D32" t="str">
        <f t="shared" si="1"/>
        <v>Avg Performing</v>
      </c>
    </row>
    <row r="33" spans="1:4" x14ac:dyDescent="0.3">
      <c r="A33" s="37" t="s">
        <v>33</v>
      </c>
      <c r="B33" s="58">
        <v>269</v>
      </c>
      <c r="C33" s="15">
        <f t="shared" si="0"/>
        <v>32</v>
      </c>
      <c r="D33" t="str">
        <f t="shared" si="1"/>
        <v>Avg Performing</v>
      </c>
    </row>
    <row r="34" spans="1:4" x14ac:dyDescent="0.3">
      <c r="A34" s="37" t="s">
        <v>33</v>
      </c>
      <c r="B34" s="58">
        <v>266</v>
      </c>
      <c r="C34" s="15">
        <f t="shared" si="0"/>
        <v>33</v>
      </c>
      <c r="D34" t="str">
        <f t="shared" si="1"/>
        <v>Avg Performing</v>
      </c>
    </row>
    <row r="35" spans="1:4" x14ac:dyDescent="0.3">
      <c r="A35" s="37" t="s">
        <v>26</v>
      </c>
      <c r="B35" s="58">
        <v>266</v>
      </c>
      <c r="C35" s="15">
        <f t="shared" si="0"/>
        <v>33</v>
      </c>
      <c r="D35" t="str">
        <f t="shared" si="1"/>
        <v>Avg Performing</v>
      </c>
    </row>
    <row r="36" spans="1:4" x14ac:dyDescent="0.3">
      <c r="A36" s="37" t="s">
        <v>57</v>
      </c>
      <c r="B36" s="58">
        <v>265</v>
      </c>
      <c r="C36" s="15">
        <f t="shared" si="0"/>
        <v>35</v>
      </c>
      <c r="D36" t="str">
        <f t="shared" si="1"/>
        <v>Avg Performing</v>
      </c>
    </row>
    <row r="37" spans="1:4" x14ac:dyDescent="0.3">
      <c r="A37" s="37" t="s">
        <v>33</v>
      </c>
      <c r="B37" s="58">
        <v>264</v>
      </c>
      <c r="C37" s="15">
        <f t="shared" si="0"/>
        <v>36</v>
      </c>
      <c r="D37" t="str">
        <f t="shared" si="1"/>
        <v>Avg Performing</v>
      </c>
    </row>
    <row r="38" spans="1:4" x14ac:dyDescent="0.3">
      <c r="A38" s="37" t="s">
        <v>33</v>
      </c>
      <c r="B38" s="58">
        <v>264</v>
      </c>
      <c r="C38" s="15">
        <f t="shared" si="0"/>
        <v>36</v>
      </c>
      <c r="D38" t="str">
        <f t="shared" si="1"/>
        <v>Avg Performing</v>
      </c>
    </row>
    <row r="39" spans="1:4" x14ac:dyDescent="0.3">
      <c r="A39" s="37" t="s">
        <v>26</v>
      </c>
      <c r="B39" s="58">
        <v>262</v>
      </c>
      <c r="C39" s="15">
        <f t="shared" si="0"/>
        <v>38</v>
      </c>
      <c r="D39" t="str">
        <f t="shared" si="1"/>
        <v>Avg Performing</v>
      </c>
    </row>
    <row r="40" spans="1:4" x14ac:dyDescent="0.3">
      <c r="A40" s="37" t="s">
        <v>57</v>
      </c>
      <c r="B40" s="58">
        <v>262</v>
      </c>
      <c r="C40" s="15">
        <f t="shared" si="0"/>
        <v>38</v>
      </c>
      <c r="D40" t="str">
        <f t="shared" si="1"/>
        <v>Avg Performing</v>
      </c>
    </row>
    <row r="41" spans="1:4" x14ac:dyDescent="0.3">
      <c r="A41" s="37" t="s">
        <v>26</v>
      </c>
      <c r="B41" s="58">
        <v>256</v>
      </c>
      <c r="C41" s="15">
        <f t="shared" si="0"/>
        <v>40</v>
      </c>
      <c r="D41" t="str">
        <f t="shared" si="1"/>
        <v>Avg Performing</v>
      </c>
    </row>
    <row r="42" spans="1:4" x14ac:dyDescent="0.3">
      <c r="A42" s="37" t="s">
        <v>26</v>
      </c>
      <c r="B42" s="58">
        <v>255</v>
      </c>
      <c r="C42" s="15">
        <f t="shared" si="0"/>
        <v>41</v>
      </c>
      <c r="D42" t="str">
        <f t="shared" si="1"/>
        <v>Avg Performing</v>
      </c>
    </row>
    <row r="43" spans="1:4" x14ac:dyDescent="0.3">
      <c r="A43" s="37" t="s">
        <v>57</v>
      </c>
      <c r="B43" s="58">
        <v>255</v>
      </c>
      <c r="C43" s="15">
        <f t="shared" si="0"/>
        <v>41</v>
      </c>
      <c r="D43" t="str">
        <f t="shared" si="1"/>
        <v>Avg Performing</v>
      </c>
    </row>
    <row r="44" spans="1:4" x14ac:dyDescent="0.3">
      <c r="A44" s="37" t="s">
        <v>33</v>
      </c>
      <c r="B44" s="58">
        <v>254</v>
      </c>
      <c r="C44" s="15">
        <f t="shared" si="0"/>
        <v>43</v>
      </c>
      <c r="D44" t="str">
        <f t="shared" si="1"/>
        <v>Avg Performing</v>
      </c>
    </row>
    <row r="45" spans="1:4" x14ac:dyDescent="0.3">
      <c r="A45" s="37" t="s">
        <v>26</v>
      </c>
      <c r="B45" s="58">
        <v>252</v>
      </c>
      <c r="C45" s="15">
        <f t="shared" si="0"/>
        <v>44</v>
      </c>
      <c r="D45" t="str">
        <f t="shared" si="1"/>
        <v>Avg Performing</v>
      </c>
    </row>
    <row r="46" spans="1:4" x14ac:dyDescent="0.3">
      <c r="A46" s="37" t="s">
        <v>33</v>
      </c>
      <c r="B46" s="58">
        <v>251</v>
      </c>
      <c r="C46" s="15">
        <f t="shared" si="0"/>
        <v>45</v>
      </c>
      <c r="D46" t="str">
        <f t="shared" si="1"/>
        <v>Avg Performing</v>
      </c>
    </row>
    <row r="47" spans="1:4" x14ac:dyDescent="0.3">
      <c r="A47" s="37" t="s">
        <v>57</v>
      </c>
      <c r="B47" s="58">
        <v>251</v>
      </c>
      <c r="C47" s="15">
        <f t="shared" si="0"/>
        <v>45</v>
      </c>
      <c r="D47" t="str">
        <f t="shared" si="1"/>
        <v>Avg Performing</v>
      </c>
    </row>
    <row r="48" spans="1:4" x14ac:dyDescent="0.3">
      <c r="A48" s="37" t="s">
        <v>57</v>
      </c>
      <c r="B48" s="58">
        <v>251</v>
      </c>
      <c r="C48" s="15">
        <f t="shared" si="0"/>
        <v>45</v>
      </c>
      <c r="D48" t="str">
        <f t="shared" si="1"/>
        <v>Avg Performing</v>
      </c>
    </row>
    <row r="49" spans="1:4" x14ac:dyDescent="0.3">
      <c r="A49" s="37" t="s">
        <v>57</v>
      </c>
      <c r="B49" s="58">
        <v>249</v>
      </c>
      <c r="C49" s="15">
        <f t="shared" si="0"/>
        <v>48</v>
      </c>
      <c r="D49" t="str">
        <f t="shared" si="1"/>
        <v>Avg Performing</v>
      </c>
    </row>
    <row r="50" spans="1:4" x14ac:dyDescent="0.3">
      <c r="A50" s="37" t="s">
        <v>33</v>
      </c>
      <c r="B50" s="58">
        <v>248</v>
      </c>
      <c r="C50" s="15">
        <f t="shared" si="0"/>
        <v>49</v>
      </c>
      <c r="D50" t="str">
        <f t="shared" si="1"/>
        <v>Avg Performing</v>
      </c>
    </row>
    <row r="51" spans="1:4" x14ac:dyDescent="0.3">
      <c r="A51" s="37" t="s">
        <v>33</v>
      </c>
      <c r="B51" s="58">
        <v>248</v>
      </c>
      <c r="C51" s="15">
        <f t="shared" si="0"/>
        <v>49</v>
      </c>
      <c r="D51" t="str">
        <f t="shared" si="1"/>
        <v>Avg Performing</v>
      </c>
    </row>
    <row r="52" spans="1:4" x14ac:dyDescent="0.3">
      <c r="A52" s="37" t="s">
        <v>33</v>
      </c>
      <c r="B52" s="58">
        <v>246</v>
      </c>
      <c r="C52" s="15">
        <f t="shared" si="0"/>
        <v>51</v>
      </c>
      <c r="D52" t="str">
        <f t="shared" si="1"/>
        <v>Avg Performing</v>
      </c>
    </row>
    <row r="53" spans="1:4" x14ac:dyDescent="0.3">
      <c r="A53" s="37" t="s">
        <v>26</v>
      </c>
      <c r="B53" s="58">
        <v>245</v>
      </c>
      <c r="C53" s="15">
        <f t="shared" si="0"/>
        <v>52</v>
      </c>
      <c r="D53" t="str">
        <f t="shared" si="1"/>
        <v>Avg Performing</v>
      </c>
    </row>
    <row r="54" spans="1:4" x14ac:dyDescent="0.3">
      <c r="A54" s="37" t="s">
        <v>33</v>
      </c>
      <c r="B54" s="58">
        <v>242</v>
      </c>
      <c r="C54" s="15">
        <f t="shared" si="0"/>
        <v>53</v>
      </c>
      <c r="D54" t="str">
        <f t="shared" si="1"/>
        <v>Avg Performing</v>
      </c>
    </row>
    <row r="55" spans="1:4" x14ac:dyDescent="0.3">
      <c r="A55" s="37" t="s">
        <v>26</v>
      </c>
      <c r="B55" s="58">
        <v>242</v>
      </c>
      <c r="C55" s="15">
        <f t="shared" si="0"/>
        <v>53</v>
      </c>
      <c r="D55" t="str">
        <f t="shared" si="1"/>
        <v>Avg Performing</v>
      </c>
    </row>
    <row r="56" spans="1:4" x14ac:dyDescent="0.3">
      <c r="A56" s="38" t="s">
        <v>602</v>
      </c>
      <c r="B56" s="58">
        <v>242</v>
      </c>
      <c r="C56" s="15">
        <f t="shared" si="0"/>
        <v>53</v>
      </c>
      <c r="D56" t="str">
        <f t="shared" si="1"/>
        <v>Avg Performing</v>
      </c>
    </row>
    <row r="57" spans="1:4" x14ac:dyDescent="0.3">
      <c r="A57" s="38" t="s">
        <v>601</v>
      </c>
      <c r="B57" s="58">
        <v>242</v>
      </c>
      <c r="C57" s="15">
        <f t="shared" si="0"/>
        <v>53</v>
      </c>
      <c r="D57" t="str">
        <f t="shared" si="1"/>
        <v>Avg Performing</v>
      </c>
    </row>
    <row r="58" spans="1:4" x14ac:dyDescent="0.3">
      <c r="A58" s="37" t="s">
        <v>33</v>
      </c>
      <c r="B58" s="58">
        <v>241</v>
      </c>
      <c r="C58" s="15">
        <f t="shared" si="0"/>
        <v>57</v>
      </c>
      <c r="D58" t="str">
        <f t="shared" si="1"/>
        <v>Avg Performing</v>
      </c>
    </row>
    <row r="59" spans="1:4" x14ac:dyDescent="0.3">
      <c r="A59" s="37" t="s">
        <v>26</v>
      </c>
      <c r="B59" s="58">
        <v>241</v>
      </c>
      <c r="C59" s="15">
        <f t="shared" si="0"/>
        <v>57</v>
      </c>
      <c r="D59" t="str">
        <f t="shared" si="1"/>
        <v>Avg Performing</v>
      </c>
    </row>
    <row r="60" spans="1:4" x14ac:dyDescent="0.3">
      <c r="A60" s="37" t="s">
        <v>26</v>
      </c>
      <c r="B60" s="58">
        <v>241</v>
      </c>
      <c r="C60" s="15">
        <f t="shared" si="0"/>
        <v>57</v>
      </c>
      <c r="D60" t="str">
        <f t="shared" si="1"/>
        <v>Avg Performing</v>
      </c>
    </row>
    <row r="61" spans="1:4" x14ac:dyDescent="0.3">
      <c r="A61" s="37" t="s">
        <v>57</v>
      </c>
      <c r="B61" s="58">
        <v>240</v>
      </c>
      <c r="C61" s="15">
        <f t="shared" si="0"/>
        <v>60</v>
      </c>
      <c r="D61" t="str">
        <f t="shared" si="1"/>
        <v>Avg Performing</v>
      </c>
    </row>
    <row r="62" spans="1:4" x14ac:dyDescent="0.3">
      <c r="A62" s="37" t="s">
        <v>57</v>
      </c>
      <c r="B62" s="58">
        <v>240</v>
      </c>
      <c r="C62" s="15">
        <f t="shared" si="0"/>
        <v>60</v>
      </c>
      <c r="D62" t="str">
        <f t="shared" si="1"/>
        <v>Avg Performing</v>
      </c>
    </row>
    <row r="63" spans="1:4" x14ac:dyDescent="0.3">
      <c r="A63" s="37" t="s">
        <v>33</v>
      </c>
      <c r="B63" s="58">
        <v>239</v>
      </c>
      <c r="C63" s="15">
        <f t="shared" si="0"/>
        <v>62</v>
      </c>
      <c r="D63" t="str">
        <f t="shared" si="1"/>
        <v>Avg Performing</v>
      </c>
    </row>
    <row r="64" spans="1:4" x14ac:dyDescent="0.3">
      <c r="A64" s="37" t="s">
        <v>33</v>
      </c>
      <c r="B64" s="58">
        <v>238</v>
      </c>
      <c r="C64" s="15">
        <f t="shared" si="0"/>
        <v>63</v>
      </c>
      <c r="D64" t="str">
        <f t="shared" si="1"/>
        <v>Avg Performing</v>
      </c>
    </row>
    <row r="65" spans="1:4" x14ac:dyDescent="0.3">
      <c r="A65" s="37" t="s">
        <v>26</v>
      </c>
      <c r="B65" s="58">
        <v>238</v>
      </c>
      <c r="C65" s="15">
        <f t="shared" si="0"/>
        <v>63</v>
      </c>
      <c r="D65" t="str">
        <f t="shared" si="1"/>
        <v>Avg Performing</v>
      </c>
    </row>
    <row r="66" spans="1:4" x14ac:dyDescent="0.3">
      <c r="A66" s="37" t="s">
        <v>57</v>
      </c>
      <c r="B66" s="58">
        <v>238</v>
      </c>
      <c r="C66" s="15">
        <f t="shared" ref="C66:C129" si="3">_xlfn.RANK.EQ(B66, B:B, 0)</f>
        <v>63</v>
      </c>
      <c r="D66" t="str">
        <f t="shared" ref="D66:D129" si="4">IF(C66&lt;=10,"Top Performing","Avg Performing")</f>
        <v>Avg Performing</v>
      </c>
    </row>
    <row r="67" spans="1:4" x14ac:dyDescent="0.3">
      <c r="A67" s="37" t="s">
        <v>26</v>
      </c>
      <c r="B67" s="58">
        <v>238</v>
      </c>
      <c r="C67" s="15">
        <f t="shared" si="3"/>
        <v>63</v>
      </c>
      <c r="D67" t="str">
        <f t="shared" si="4"/>
        <v>Avg Performing</v>
      </c>
    </row>
    <row r="68" spans="1:4" x14ac:dyDescent="0.3">
      <c r="A68" s="38" t="s">
        <v>601</v>
      </c>
      <c r="B68" s="58">
        <v>238</v>
      </c>
      <c r="C68" s="15">
        <f t="shared" si="3"/>
        <v>63</v>
      </c>
      <c r="D68" t="str">
        <f t="shared" si="4"/>
        <v>Avg Performing</v>
      </c>
    </row>
    <row r="69" spans="1:4" x14ac:dyDescent="0.3">
      <c r="A69" s="37" t="s">
        <v>26</v>
      </c>
      <c r="B69" s="58">
        <v>237</v>
      </c>
      <c r="C69" s="15">
        <f t="shared" si="3"/>
        <v>68</v>
      </c>
      <c r="D69" t="str">
        <f t="shared" si="4"/>
        <v>Avg Performing</v>
      </c>
    </row>
    <row r="70" spans="1:4" x14ac:dyDescent="0.3">
      <c r="A70" s="37" t="s">
        <v>57</v>
      </c>
      <c r="B70" s="58">
        <v>236</v>
      </c>
      <c r="C70" s="15">
        <f t="shared" si="3"/>
        <v>69</v>
      </c>
      <c r="D70" t="str">
        <f t="shared" si="4"/>
        <v>Avg Performing</v>
      </c>
    </row>
    <row r="71" spans="1:4" x14ac:dyDescent="0.3">
      <c r="A71" s="37" t="s">
        <v>26</v>
      </c>
      <c r="B71" s="58">
        <v>235</v>
      </c>
      <c r="C71" s="15">
        <f t="shared" si="3"/>
        <v>70</v>
      </c>
      <c r="D71" t="str">
        <f t="shared" si="4"/>
        <v>Avg Performing</v>
      </c>
    </row>
    <row r="72" spans="1:4" x14ac:dyDescent="0.3">
      <c r="A72" s="37" t="s">
        <v>33</v>
      </c>
      <c r="B72" s="58">
        <v>235</v>
      </c>
      <c r="C72" s="15">
        <f t="shared" si="3"/>
        <v>70</v>
      </c>
      <c r="D72" t="str">
        <f t="shared" si="4"/>
        <v>Avg Performing</v>
      </c>
    </row>
    <row r="73" spans="1:4" x14ac:dyDescent="0.3">
      <c r="A73" s="37" t="s">
        <v>57</v>
      </c>
      <c r="B73" s="58">
        <v>235</v>
      </c>
      <c r="C73" s="15">
        <f t="shared" si="3"/>
        <v>70</v>
      </c>
      <c r="D73" t="str">
        <f t="shared" si="4"/>
        <v>Avg Performing</v>
      </c>
    </row>
    <row r="74" spans="1:4" x14ac:dyDescent="0.3">
      <c r="A74" s="38" t="s">
        <v>26</v>
      </c>
      <c r="B74" s="58">
        <v>235</v>
      </c>
      <c r="C74" s="15">
        <f t="shared" si="3"/>
        <v>70</v>
      </c>
      <c r="D74" t="str">
        <f t="shared" si="4"/>
        <v>Avg Performing</v>
      </c>
    </row>
    <row r="75" spans="1:4" x14ac:dyDescent="0.3">
      <c r="A75" s="38" t="s">
        <v>601</v>
      </c>
      <c r="B75" s="59">
        <v>235</v>
      </c>
      <c r="C75" s="15">
        <f t="shared" si="3"/>
        <v>70</v>
      </c>
      <c r="D75" t="str">
        <f t="shared" si="4"/>
        <v>Avg Performing</v>
      </c>
    </row>
    <row r="76" spans="1:4" x14ac:dyDescent="0.3">
      <c r="A76" s="37" t="s">
        <v>57</v>
      </c>
      <c r="B76" s="58">
        <v>234</v>
      </c>
      <c r="C76" s="15">
        <f t="shared" si="3"/>
        <v>75</v>
      </c>
      <c r="D76" t="str">
        <f t="shared" si="4"/>
        <v>Avg Performing</v>
      </c>
    </row>
    <row r="77" spans="1:4" x14ac:dyDescent="0.3">
      <c r="A77" s="37" t="s">
        <v>26</v>
      </c>
      <c r="B77" s="58">
        <v>233</v>
      </c>
      <c r="C77" s="15">
        <f t="shared" si="3"/>
        <v>76</v>
      </c>
      <c r="D77" t="str">
        <f t="shared" si="4"/>
        <v>Avg Performing</v>
      </c>
    </row>
    <row r="78" spans="1:4" x14ac:dyDescent="0.3">
      <c r="A78" s="37" t="s">
        <v>26</v>
      </c>
      <c r="B78" s="58">
        <v>233</v>
      </c>
      <c r="C78" s="15">
        <f t="shared" si="3"/>
        <v>76</v>
      </c>
      <c r="D78" t="str">
        <f t="shared" si="4"/>
        <v>Avg Performing</v>
      </c>
    </row>
    <row r="79" spans="1:4" x14ac:dyDescent="0.3">
      <c r="A79" s="37" t="s">
        <v>26</v>
      </c>
      <c r="B79" s="58">
        <v>231</v>
      </c>
      <c r="C79" s="15">
        <f t="shared" si="3"/>
        <v>78</v>
      </c>
      <c r="D79" t="str">
        <f t="shared" si="4"/>
        <v>Avg Performing</v>
      </c>
    </row>
    <row r="80" spans="1:4" x14ac:dyDescent="0.3">
      <c r="A80" s="37" t="s">
        <v>57</v>
      </c>
      <c r="B80" s="58">
        <v>230</v>
      </c>
      <c r="C80" s="15">
        <f t="shared" si="3"/>
        <v>79</v>
      </c>
      <c r="D80" t="str">
        <f t="shared" si="4"/>
        <v>Avg Performing</v>
      </c>
    </row>
    <row r="81" spans="1:4" x14ac:dyDescent="0.3">
      <c r="A81" s="37" t="s">
        <v>26</v>
      </c>
      <c r="B81" s="58">
        <v>230</v>
      </c>
      <c r="C81" s="15">
        <f t="shared" si="3"/>
        <v>79</v>
      </c>
      <c r="D81" t="str">
        <f t="shared" si="4"/>
        <v>Avg Performing</v>
      </c>
    </row>
    <row r="82" spans="1:4" x14ac:dyDescent="0.3">
      <c r="A82" s="37" t="s">
        <v>57</v>
      </c>
      <c r="B82" s="58">
        <v>229</v>
      </c>
      <c r="C82" s="15">
        <f t="shared" si="3"/>
        <v>81</v>
      </c>
      <c r="D82" t="str">
        <f t="shared" si="4"/>
        <v>Avg Performing</v>
      </c>
    </row>
    <row r="83" spans="1:4" x14ac:dyDescent="0.3">
      <c r="A83" s="37" t="s">
        <v>57</v>
      </c>
      <c r="B83" s="58">
        <v>228</v>
      </c>
      <c r="C83" s="15">
        <f t="shared" si="3"/>
        <v>82</v>
      </c>
      <c r="D83" t="str">
        <f t="shared" si="4"/>
        <v>Avg Performing</v>
      </c>
    </row>
    <row r="84" spans="1:4" x14ac:dyDescent="0.3">
      <c r="A84" s="37" t="s">
        <v>26</v>
      </c>
      <c r="B84" s="58">
        <v>227</v>
      </c>
      <c r="C84" s="15">
        <f t="shared" si="3"/>
        <v>83</v>
      </c>
      <c r="D84" t="str">
        <f t="shared" si="4"/>
        <v>Avg Performing</v>
      </c>
    </row>
    <row r="85" spans="1:4" x14ac:dyDescent="0.3">
      <c r="A85" s="37" t="s">
        <v>57</v>
      </c>
      <c r="B85" s="58">
        <v>226</v>
      </c>
      <c r="C85" s="15">
        <f t="shared" si="3"/>
        <v>84</v>
      </c>
      <c r="D85" t="str">
        <f t="shared" si="4"/>
        <v>Avg Performing</v>
      </c>
    </row>
    <row r="86" spans="1:4" x14ac:dyDescent="0.3">
      <c r="A86" s="37" t="s">
        <v>26</v>
      </c>
      <c r="B86" s="58">
        <v>225</v>
      </c>
      <c r="C86" s="15">
        <f t="shared" si="3"/>
        <v>85</v>
      </c>
      <c r="D86" t="str">
        <f t="shared" si="4"/>
        <v>Avg Performing</v>
      </c>
    </row>
    <row r="87" spans="1:4" x14ac:dyDescent="0.3">
      <c r="A87" s="37" t="s">
        <v>57</v>
      </c>
      <c r="B87" s="58">
        <v>225</v>
      </c>
      <c r="C87" s="15">
        <f t="shared" si="3"/>
        <v>85</v>
      </c>
      <c r="D87" t="str">
        <f t="shared" si="4"/>
        <v>Avg Performing</v>
      </c>
    </row>
    <row r="88" spans="1:4" x14ac:dyDescent="0.3">
      <c r="A88" s="38" t="s">
        <v>601</v>
      </c>
      <c r="B88" s="58">
        <v>225</v>
      </c>
      <c r="C88" s="15">
        <f t="shared" si="3"/>
        <v>85</v>
      </c>
      <c r="D88" t="str">
        <f t="shared" si="4"/>
        <v>Avg Performing</v>
      </c>
    </row>
    <row r="89" spans="1:4" x14ac:dyDescent="0.3">
      <c r="A89" s="37" t="s">
        <v>33</v>
      </c>
      <c r="B89" s="58">
        <v>224</v>
      </c>
      <c r="C89" s="15">
        <f t="shared" si="3"/>
        <v>88</v>
      </c>
      <c r="D89" t="str">
        <f t="shared" si="4"/>
        <v>Avg Performing</v>
      </c>
    </row>
    <row r="90" spans="1:4" x14ac:dyDescent="0.3">
      <c r="A90" s="37" t="s">
        <v>57</v>
      </c>
      <c r="B90" s="58">
        <v>224</v>
      </c>
      <c r="C90" s="15">
        <f t="shared" si="3"/>
        <v>88</v>
      </c>
      <c r="D90" t="str">
        <f t="shared" si="4"/>
        <v>Avg Performing</v>
      </c>
    </row>
    <row r="91" spans="1:4" x14ac:dyDescent="0.3">
      <c r="A91" s="38" t="s">
        <v>26</v>
      </c>
      <c r="B91" s="58">
        <v>224</v>
      </c>
      <c r="C91" s="15">
        <f t="shared" si="3"/>
        <v>88</v>
      </c>
      <c r="D91" t="str">
        <f t="shared" si="4"/>
        <v>Avg Performing</v>
      </c>
    </row>
    <row r="92" spans="1:4" x14ac:dyDescent="0.3">
      <c r="A92" s="37" t="s">
        <v>33</v>
      </c>
      <c r="B92" s="58">
        <v>223</v>
      </c>
      <c r="C92" s="15">
        <f t="shared" si="3"/>
        <v>91</v>
      </c>
      <c r="D92" t="str">
        <f t="shared" si="4"/>
        <v>Avg Performing</v>
      </c>
    </row>
    <row r="93" spans="1:4" x14ac:dyDescent="0.3">
      <c r="A93" s="37" t="s">
        <v>33</v>
      </c>
      <c r="B93" s="58">
        <v>223</v>
      </c>
      <c r="C93" s="15">
        <f t="shared" si="3"/>
        <v>91</v>
      </c>
      <c r="D93" t="str">
        <f t="shared" si="4"/>
        <v>Avg Performing</v>
      </c>
    </row>
    <row r="94" spans="1:4" x14ac:dyDescent="0.3">
      <c r="A94" s="37" t="s">
        <v>57</v>
      </c>
      <c r="B94" s="58">
        <v>221</v>
      </c>
      <c r="C94" s="15">
        <f t="shared" si="3"/>
        <v>93</v>
      </c>
      <c r="D94" t="str">
        <f t="shared" si="4"/>
        <v>Avg Performing</v>
      </c>
    </row>
    <row r="95" spans="1:4" x14ac:dyDescent="0.3">
      <c r="A95" s="37" t="s">
        <v>33</v>
      </c>
      <c r="B95" s="58">
        <v>219</v>
      </c>
      <c r="C95" s="15">
        <f t="shared" si="3"/>
        <v>94</v>
      </c>
      <c r="D95" t="str">
        <f t="shared" si="4"/>
        <v>Avg Performing</v>
      </c>
    </row>
    <row r="96" spans="1:4" x14ac:dyDescent="0.3">
      <c r="A96" s="37" t="s">
        <v>26</v>
      </c>
      <c r="B96" s="58">
        <v>219</v>
      </c>
      <c r="C96" s="15">
        <f t="shared" si="3"/>
        <v>94</v>
      </c>
      <c r="D96" t="str">
        <f t="shared" si="4"/>
        <v>Avg Performing</v>
      </c>
    </row>
    <row r="97" spans="1:4" x14ac:dyDescent="0.3">
      <c r="A97" s="37" t="s">
        <v>57</v>
      </c>
      <c r="B97" s="58">
        <v>217</v>
      </c>
      <c r="C97" s="15">
        <f t="shared" si="3"/>
        <v>96</v>
      </c>
      <c r="D97" t="str">
        <f t="shared" si="4"/>
        <v>Avg Performing</v>
      </c>
    </row>
    <row r="98" spans="1:4" x14ac:dyDescent="0.3">
      <c r="A98" s="37" t="s">
        <v>26</v>
      </c>
      <c r="B98" s="58">
        <v>217</v>
      </c>
      <c r="C98" s="15">
        <f t="shared" si="3"/>
        <v>96</v>
      </c>
      <c r="D98" t="str">
        <f t="shared" si="4"/>
        <v>Avg Performing</v>
      </c>
    </row>
    <row r="99" spans="1:4" x14ac:dyDescent="0.3">
      <c r="A99" s="37" t="s">
        <v>26</v>
      </c>
      <c r="B99" s="58">
        <v>216</v>
      </c>
      <c r="C99" s="15">
        <f t="shared" si="3"/>
        <v>98</v>
      </c>
      <c r="D99" t="str">
        <f t="shared" si="4"/>
        <v>Avg Performing</v>
      </c>
    </row>
    <row r="100" spans="1:4" x14ac:dyDescent="0.3">
      <c r="A100" s="37" t="s">
        <v>26</v>
      </c>
      <c r="B100" s="58">
        <v>215</v>
      </c>
      <c r="C100" s="15">
        <f t="shared" si="3"/>
        <v>99</v>
      </c>
      <c r="D100" t="str">
        <f t="shared" si="4"/>
        <v>Avg Performing</v>
      </c>
    </row>
    <row r="101" spans="1:4" x14ac:dyDescent="0.3">
      <c r="A101" s="37" t="s">
        <v>57</v>
      </c>
      <c r="B101" s="58">
        <v>213</v>
      </c>
      <c r="C101" s="15">
        <f t="shared" si="3"/>
        <v>100</v>
      </c>
      <c r="D101" t="str">
        <f t="shared" si="4"/>
        <v>Avg Performing</v>
      </c>
    </row>
    <row r="102" spans="1:4" x14ac:dyDescent="0.3">
      <c r="A102" s="37" t="s">
        <v>33</v>
      </c>
      <c r="B102" s="58">
        <v>212</v>
      </c>
      <c r="C102" s="15">
        <f t="shared" si="3"/>
        <v>101</v>
      </c>
      <c r="D102" t="str">
        <f t="shared" si="4"/>
        <v>Avg Performing</v>
      </c>
    </row>
    <row r="103" spans="1:4" x14ac:dyDescent="0.3">
      <c r="A103" s="37" t="s">
        <v>26</v>
      </c>
      <c r="B103" s="58">
        <v>212</v>
      </c>
      <c r="C103" s="15">
        <f t="shared" si="3"/>
        <v>101</v>
      </c>
      <c r="D103" t="str">
        <f t="shared" si="4"/>
        <v>Avg Performing</v>
      </c>
    </row>
    <row r="104" spans="1:4" x14ac:dyDescent="0.3">
      <c r="A104" s="37" t="s">
        <v>33</v>
      </c>
      <c r="B104" s="58">
        <v>212</v>
      </c>
      <c r="C104" s="15">
        <f t="shared" si="3"/>
        <v>101</v>
      </c>
      <c r="D104" t="str">
        <f t="shared" si="4"/>
        <v>Avg Performing</v>
      </c>
    </row>
    <row r="105" spans="1:4" x14ac:dyDescent="0.3">
      <c r="A105" s="37" t="s">
        <v>57</v>
      </c>
      <c r="B105" s="58">
        <v>211</v>
      </c>
      <c r="C105" s="15">
        <f t="shared" si="3"/>
        <v>104</v>
      </c>
      <c r="D105" t="str">
        <f t="shared" si="4"/>
        <v>Avg Performing</v>
      </c>
    </row>
    <row r="106" spans="1:4" x14ac:dyDescent="0.3">
      <c r="A106" s="37" t="s">
        <v>33</v>
      </c>
      <c r="B106" s="58">
        <v>210</v>
      </c>
      <c r="C106" s="15">
        <f t="shared" si="3"/>
        <v>105</v>
      </c>
      <c r="D106" t="str">
        <f t="shared" si="4"/>
        <v>Avg Performing</v>
      </c>
    </row>
    <row r="107" spans="1:4" x14ac:dyDescent="0.3">
      <c r="A107" s="37" t="s">
        <v>26</v>
      </c>
      <c r="B107" s="58">
        <v>210</v>
      </c>
      <c r="C107" s="15">
        <f t="shared" si="3"/>
        <v>105</v>
      </c>
      <c r="D107" t="str">
        <f t="shared" si="4"/>
        <v>Avg Performing</v>
      </c>
    </row>
    <row r="108" spans="1:4" x14ac:dyDescent="0.3">
      <c r="A108" s="38" t="s">
        <v>587</v>
      </c>
      <c r="B108" s="58">
        <v>210</v>
      </c>
      <c r="C108" s="15">
        <f t="shared" si="3"/>
        <v>105</v>
      </c>
      <c r="D108" t="str">
        <f t="shared" si="4"/>
        <v>Avg Performing</v>
      </c>
    </row>
    <row r="109" spans="1:4" x14ac:dyDescent="0.3">
      <c r="A109" s="37" t="s">
        <v>26</v>
      </c>
      <c r="B109" s="58">
        <v>209</v>
      </c>
      <c r="C109" s="15">
        <f t="shared" si="3"/>
        <v>108</v>
      </c>
      <c r="D109" t="str">
        <f t="shared" si="4"/>
        <v>Avg Performing</v>
      </c>
    </row>
    <row r="110" spans="1:4" x14ac:dyDescent="0.3">
      <c r="A110" s="37" t="s">
        <v>57</v>
      </c>
      <c r="B110" s="58">
        <v>208</v>
      </c>
      <c r="C110" s="15">
        <f t="shared" si="3"/>
        <v>109</v>
      </c>
      <c r="D110" t="str">
        <f t="shared" si="4"/>
        <v>Avg Performing</v>
      </c>
    </row>
    <row r="111" spans="1:4" x14ac:dyDescent="0.3">
      <c r="A111" s="37" t="s">
        <v>57</v>
      </c>
      <c r="B111" s="58">
        <v>208</v>
      </c>
      <c r="C111" s="15">
        <f t="shared" si="3"/>
        <v>109</v>
      </c>
      <c r="D111" t="str">
        <f t="shared" si="4"/>
        <v>Avg Performing</v>
      </c>
    </row>
    <row r="112" spans="1:4" x14ac:dyDescent="0.3">
      <c r="A112" s="38" t="s">
        <v>33</v>
      </c>
      <c r="B112" s="58">
        <v>208</v>
      </c>
      <c r="C112" s="15">
        <f t="shared" si="3"/>
        <v>109</v>
      </c>
      <c r="D112" t="str">
        <f t="shared" si="4"/>
        <v>Avg Performing</v>
      </c>
    </row>
    <row r="113" spans="1:4" x14ac:dyDescent="0.3">
      <c r="A113" s="38" t="s">
        <v>602</v>
      </c>
      <c r="B113" s="59">
        <v>208</v>
      </c>
      <c r="C113" s="15">
        <f t="shared" si="3"/>
        <v>109</v>
      </c>
      <c r="D113" t="str">
        <f t="shared" si="4"/>
        <v>Avg Performing</v>
      </c>
    </row>
    <row r="114" spans="1:4" x14ac:dyDescent="0.3">
      <c r="A114" s="37" t="s">
        <v>57</v>
      </c>
      <c r="B114" s="58">
        <v>205</v>
      </c>
      <c r="C114" s="15">
        <f t="shared" si="3"/>
        <v>113</v>
      </c>
      <c r="D114" t="str">
        <f t="shared" si="4"/>
        <v>Avg Performing</v>
      </c>
    </row>
    <row r="115" spans="1:4" x14ac:dyDescent="0.3">
      <c r="A115" s="37" t="s">
        <v>33</v>
      </c>
      <c r="B115" s="58">
        <v>205</v>
      </c>
      <c r="C115" s="15">
        <f t="shared" si="3"/>
        <v>113</v>
      </c>
      <c r="D115" t="str">
        <f t="shared" si="4"/>
        <v>Avg Performing</v>
      </c>
    </row>
    <row r="116" spans="1:4" x14ac:dyDescent="0.3">
      <c r="A116" s="37" t="s">
        <v>26</v>
      </c>
      <c r="B116" s="58">
        <v>204</v>
      </c>
      <c r="C116" s="15">
        <f t="shared" si="3"/>
        <v>115</v>
      </c>
      <c r="D116" t="str">
        <f t="shared" si="4"/>
        <v>Avg Performing</v>
      </c>
    </row>
    <row r="117" spans="1:4" x14ac:dyDescent="0.3">
      <c r="A117" s="37" t="s">
        <v>33</v>
      </c>
      <c r="B117" s="58">
        <v>201</v>
      </c>
      <c r="C117" s="15">
        <f t="shared" si="3"/>
        <v>116</v>
      </c>
      <c r="D117" t="str">
        <f t="shared" si="4"/>
        <v>Avg Performing</v>
      </c>
    </row>
    <row r="118" spans="1:4" x14ac:dyDescent="0.3">
      <c r="A118" s="37" t="s">
        <v>57</v>
      </c>
      <c r="B118" s="58">
        <v>200</v>
      </c>
      <c r="C118" s="15">
        <f t="shared" si="3"/>
        <v>117</v>
      </c>
      <c r="D118" t="str">
        <f t="shared" si="4"/>
        <v>Avg Performing</v>
      </c>
    </row>
    <row r="119" spans="1:4" x14ac:dyDescent="0.3">
      <c r="A119" s="37" t="s">
        <v>33</v>
      </c>
      <c r="B119" s="58">
        <v>200</v>
      </c>
      <c r="C119" s="15">
        <f t="shared" si="3"/>
        <v>117</v>
      </c>
      <c r="D119" t="str">
        <f t="shared" si="4"/>
        <v>Avg Performing</v>
      </c>
    </row>
    <row r="120" spans="1:4" x14ac:dyDescent="0.3">
      <c r="A120" s="38" t="s">
        <v>26</v>
      </c>
      <c r="B120" s="58">
        <v>200</v>
      </c>
      <c r="C120" s="15">
        <f t="shared" si="3"/>
        <v>117</v>
      </c>
      <c r="D120" t="str">
        <f t="shared" si="4"/>
        <v>Avg Performing</v>
      </c>
    </row>
    <row r="121" spans="1:4" x14ac:dyDescent="0.3">
      <c r="A121" s="38" t="s">
        <v>601</v>
      </c>
      <c r="B121" s="58">
        <v>200</v>
      </c>
      <c r="C121" s="15">
        <f t="shared" si="3"/>
        <v>117</v>
      </c>
      <c r="D121" t="str">
        <f t="shared" si="4"/>
        <v>Avg Performing</v>
      </c>
    </row>
    <row r="122" spans="1:4" x14ac:dyDescent="0.3">
      <c r="A122" s="38" t="s">
        <v>601</v>
      </c>
      <c r="B122" s="59">
        <v>200</v>
      </c>
      <c r="C122" s="15">
        <f t="shared" si="3"/>
        <v>117</v>
      </c>
      <c r="D122" t="str">
        <f t="shared" si="4"/>
        <v>Avg Performing</v>
      </c>
    </row>
    <row r="123" spans="1:4" x14ac:dyDescent="0.3">
      <c r="A123" s="37" t="s">
        <v>26</v>
      </c>
      <c r="B123" s="58">
        <v>199</v>
      </c>
      <c r="C123" s="15">
        <f t="shared" si="3"/>
        <v>122</v>
      </c>
      <c r="D123" t="str">
        <f t="shared" si="4"/>
        <v>Avg Performing</v>
      </c>
    </row>
    <row r="124" spans="1:4" x14ac:dyDescent="0.3">
      <c r="A124" s="37" t="s">
        <v>57</v>
      </c>
      <c r="B124" s="58">
        <v>198</v>
      </c>
      <c r="C124" s="15">
        <f t="shared" si="3"/>
        <v>123</v>
      </c>
      <c r="D124" t="str">
        <f t="shared" si="4"/>
        <v>Avg Performing</v>
      </c>
    </row>
    <row r="125" spans="1:4" x14ac:dyDescent="0.3">
      <c r="A125" s="37" t="s">
        <v>57</v>
      </c>
      <c r="B125" s="58">
        <v>197</v>
      </c>
      <c r="C125" s="15">
        <f t="shared" si="3"/>
        <v>124</v>
      </c>
      <c r="D125" t="str">
        <f t="shared" si="4"/>
        <v>Avg Performing</v>
      </c>
    </row>
    <row r="126" spans="1:4" x14ac:dyDescent="0.3">
      <c r="A126" s="37" t="s">
        <v>33</v>
      </c>
      <c r="B126" s="58">
        <v>195</v>
      </c>
      <c r="C126" s="15">
        <f t="shared" si="3"/>
        <v>125</v>
      </c>
      <c r="D126" t="str">
        <f t="shared" si="4"/>
        <v>Avg Performing</v>
      </c>
    </row>
    <row r="127" spans="1:4" x14ac:dyDescent="0.3">
      <c r="A127" s="37" t="s">
        <v>33</v>
      </c>
      <c r="B127" s="58">
        <v>195</v>
      </c>
      <c r="C127" s="15">
        <f t="shared" si="3"/>
        <v>125</v>
      </c>
      <c r="D127" t="str">
        <f t="shared" si="4"/>
        <v>Avg Performing</v>
      </c>
    </row>
    <row r="128" spans="1:4" x14ac:dyDescent="0.3">
      <c r="A128" s="37" t="s">
        <v>33</v>
      </c>
      <c r="B128" s="58">
        <v>195</v>
      </c>
      <c r="C128" s="15">
        <f t="shared" si="3"/>
        <v>125</v>
      </c>
      <c r="D128" t="str">
        <f t="shared" si="4"/>
        <v>Avg Performing</v>
      </c>
    </row>
    <row r="129" spans="1:4" x14ac:dyDescent="0.3">
      <c r="A129" s="37" t="s">
        <v>57</v>
      </c>
      <c r="B129" s="58">
        <v>194</v>
      </c>
      <c r="C129" s="15">
        <f t="shared" si="3"/>
        <v>128</v>
      </c>
      <c r="D129" t="str">
        <f t="shared" si="4"/>
        <v>Avg Performing</v>
      </c>
    </row>
    <row r="130" spans="1:4" x14ac:dyDescent="0.3">
      <c r="A130" s="38" t="s">
        <v>601</v>
      </c>
      <c r="B130" s="58">
        <v>194</v>
      </c>
      <c r="C130" s="15">
        <f t="shared" ref="C130:C193" si="5">_xlfn.RANK.EQ(B130, B:B, 0)</f>
        <v>128</v>
      </c>
      <c r="D130" t="str">
        <f t="shared" ref="D130:D193" si="6">IF(C130&lt;=10,"Top Performing","Avg Performing")</f>
        <v>Avg Performing</v>
      </c>
    </row>
    <row r="131" spans="1:4" x14ac:dyDescent="0.3">
      <c r="A131" s="38" t="s">
        <v>33</v>
      </c>
      <c r="B131" s="59">
        <v>194</v>
      </c>
      <c r="C131" s="15">
        <f t="shared" si="5"/>
        <v>128</v>
      </c>
      <c r="D131" t="str">
        <f t="shared" si="6"/>
        <v>Avg Performing</v>
      </c>
    </row>
    <row r="132" spans="1:4" x14ac:dyDescent="0.3">
      <c r="A132" s="37" t="s">
        <v>26</v>
      </c>
      <c r="B132" s="58">
        <v>192</v>
      </c>
      <c r="C132" s="15">
        <f t="shared" si="5"/>
        <v>131</v>
      </c>
      <c r="D132" t="str">
        <f t="shared" si="6"/>
        <v>Avg Performing</v>
      </c>
    </row>
    <row r="133" spans="1:4" x14ac:dyDescent="0.3">
      <c r="A133" s="37" t="s">
        <v>33</v>
      </c>
      <c r="B133" s="58">
        <v>191</v>
      </c>
      <c r="C133" s="15">
        <f t="shared" si="5"/>
        <v>132</v>
      </c>
      <c r="D133" t="str">
        <f t="shared" si="6"/>
        <v>Avg Performing</v>
      </c>
    </row>
    <row r="134" spans="1:4" x14ac:dyDescent="0.3">
      <c r="A134" s="37" t="s">
        <v>26</v>
      </c>
      <c r="B134" s="58">
        <v>191</v>
      </c>
      <c r="C134" s="15">
        <f t="shared" si="5"/>
        <v>132</v>
      </c>
      <c r="D134" t="str">
        <f t="shared" si="6"/>
        <v>Avg Performing</v>
      </c>
    </row>
    <row r="135" spans="1:4" x14ac:dyDescent="0.3">
      <c r="A135" s="38" t="s">
        <v>33</v>
      </c>
      <c r="B135" s="58">
        <v>191</v>
      </c>
      <c r="C135" s="15">
        <f t="shared" si="5"/>
        <v>132</v>
      </c>
      <c r="D135" t="str">
        <f t="shared" si="6"/>
        <v>Avg Performing</v>
      </c>
    </row>
    <row r="136" spans="1:4" x14ac:dyDescent="0.3">
      <c r="A136" s="38" t="s">
        <v>602</v>
      </c>
      <c r="B136" s="59">
        <v>191</v>
      </c>
      <c r="C136" s="15">
        <f t="shared" si="5"/>
        <v>132</v>
      </c>
      <c r="D136" t="str">
        <f t="shared" si="6"/>
        <v>Avg Performing</v>
      </c>
    </row>
    <row r="137" spans="1:4" x14ac:dyDescent="0.3">
      <c r="A137" s="37" t="s">
        <v>57</v>
      </c>
      <c r="B137" s="58">
        <v>189</v>
      </c>
      <c r="C137" s="15">
        <f t="shared" si="5"/>
        <v>136</v>
      </c>
      <c r="D137" t="str">
        <f t="shared" si="6"/>
        <v>Avg Performing</v>
      </c>
    </row>
    <row r="138" spans="1:4" x14ac:dyDescent="0.3">
      <c r="A138" s="37" t="s">
        <v>57</v>
      </c>
      <c r="B138" s="58">
        <v>187</v>
      </c>
      <c r="C138" s="15">
        <f t="shared" si="5"/>
        <v>137</v>
      </c>
      <c r="D138" t="str">
        <f t="shared" si="6"/>
        <v>Avg Performing</v>
      </c>
    </row>
    <row r="139" spans="1:4" x14ac:dyDescent="0.3">
      <c r="A139" s="37" t="s">
        <v>57</v>
      </c>
      <c r="B139" s="58">
        <v>186</v>
      </c>
      <c r="C139" s="15">
        <f t="shared" si="5"/>
        <v>138</v>
      </c>
      <c r="D139" t="str">
        <f t="shared" si="6"/>
        <v>Avg Performing</v>
      </c>
    </row>
    <row r="140" spans="1:4" x14ac:dyDescent="0.3">
      <c r="A140" s="37" t="s">
        <v>57</v>
      </c>
      <c r="B140" s="58">
        <v>185</v>
      </c>
      <c r="C140" s="15">
        <f t="shared" si="5"/>
        <v>139</v>
      </c>
      <c r="D140" t="str">
        <f t="shared" si="6"/>
        <v>Avg Performing</v>
      </c>
    </row>
    <row r="141" spans="1:4" x14ac:dyDescent="0.3">
      <c r="A141" s="37" t="s">
        <v>33</v>
      </c>
      <c r="B141" s="58">
        <v>184</v>
      </c>
      <c r="C141" s="15">
        <f t="shared" si="5"/>
        <v>140</v>
      </c>
      <c r="D141" t="str">
        <f t="shared" si="6"/>
        <v>Avg Performing</v>
      </c>
    </row>
    <row r="142" spans="1:4" x14ac:dyDescent="0.3">
      <c r="A142" s="37" t="s">
        <v>26</v>
      </c>
      <c r="B142" s="58">
        <v>182</v>
      </c>
      <c r="C142" s="15">
        <f t="shared" si="5"/>
        <v>141</v>
      </c>
      <c r="D142" t="str">
        <f t="shared" si="6"/>
        <v>Avg Performing</v>
      </c>
    </row>
    <row r="143" spans="1:4" x14ac:dyDescent="0.3">
      <c r="A143" s="37" t="s">
        <v>33</v>
      </c>
      <c r="B143" s="58">
        <v>182</v>
      </c>
      <c r="C143" s="15">
        <f t="shared" si="5"/>
        <v>141</v>
      </c>
      <c r="D143" t="str">
        <f t="shared" si="6"/>
        <v>Avg Performing</v>
      </c>
    </row>
    <row r="144" spans="1:4" x14ac:dyDescent="0.3">
      <c r="A144" s="37" t="s">
        <v>33</v>
      </c>
      <c r="B144" s="58">
        <v>180</v>
      </c>
      <c r="C144" s="15">
        <f t="shared" si="5"/>
        <v>143</v>
      </c>
      <c r="D144" t="str">
        <f t="shared" si="6"/>
        <v>Avg Performing</v>
      </c>
    </row>
    <row r="145" spans="1:4" x14ac:dyDescent="0.3">
      <c r="A145" s="37" t="s">
        <v>26</v>
      </c>
      <c r="B145" s="58">
        <v>177</v>
      </c>
      <c r="C145" s="15">
        <f t="shared" si="5"/>
        <v>144</v>
      </c>
      <c r="D145" t="str">
        <f t="shared" si="6"/>
        <v>Avg Performing</v>
      </c>
    </row>
    <row r="146" spans="1:4" x14ac:dyDescent="0.3">
      <c r="A146" s="37" t="s">
        <v>33</v>
      </c>
      <c r="B146" s="58">
        <v>177</v>
      </c>
      <c r="C146" s="15">
        <f t="shared" si="5"/>
        <v>144</v>
      </c>
      <c r="D146" t="str">
        <f t="shared" si="6"/>
        <v>Avg Performing</v>
      </c>
    </row>
    <row r="147" spans="1:4" x14ac:dyDescent="0.3">
      <c r="A147" s="37" t="s">
        <v>57</v>
      </c>
      <c r="B147" s="58">
        <v>176</v>
      </c>
      <c r="C147" s="15">
        <f t="shared" si="5"/>
        <v>146</v>
      </c>
      <c r="D147" t="str">
        <f t="shared" si="6"/>
        <v>Avg Performing</v>
      </c>
    </row>
    <row r="148" spans="1:4" x14ac:dyDescent="0.3">
      <c r="A148" s="37" t="s">
        <v>33</v>
      </c>
      <c r="B148" s="58">
        <v>176</v>
      </c>
      <c r="C148" s="15">
        <f t="shared" si="5"/>
        <v>146</v>
      </c>
      <c r="D148" t="str">
        <f t="shared" si="6"/>
        <v>Avg Performing</v>
      </c>
    </row>
    <row r="149" spans="1:4" x14ac:dyDescent="0.3">
      <c r="A149" s="37" t="s">
        <v>33</v>
      </c>
      <c r="B149" s="58">
        <v>174</v>
      </c>
      <c r="C149" s="15">
        <f t="shared" si="5"/>
        <v>148</v>
      </c>
      <c r="D149" t="str">
        <f t="shared" si="6"/>
        <v>Avg Performing</v>
      </c>
    </row>
    <row r="150" spans="1:4" x14ac:dyDescent="0.3">
      <c r="A150" s="37" t="s">
        <v>33</v>
      </c>
      <c r="B150" s="58">
        <v>174</v>
      </c>
      <c r="C150" s="15">
        <f t="shared" si="5"/>
        <v>148</v>
      </c>
      <c r="D150" t="str">
        <f t="shared" si="6"/>
        <v>Avg Performing</v>
      </c>
    </row>
    <row r="151" spans="1:4" x14ac:dyDescent="0.3">
      <c r="A151" s="37" t="s">
        <v>57</v>
      </c>
      <c r="B151" s="58">
        <v>173</v>
      </c>
      <c r="C151" s="15">
        <f t="shared" si="5"/>
        <v>150</v>
      </c>
      <c r="D151" t="str">
        <f t="shared" si="6"/>
        <v>Avg Performing</v>
      </c>
    </row>
    <row r="152" spans="1:4" x14ac:dyDescent="0.3">
      <c r="A152" s="37" t="s">
        <v>26</v>
      </c>
      <c r="B152" s="58">
        <v>173</v>
      </c>
      <c r="C152" s="15">
        <f t="shared" si="5"/>
        <v>150</v>
      </c>
      <c r="D152" t="str">
        <f t="shared" si="6"/>
        <v>Avg Performing</v>
      </c>
    </row>
    <row r="153" spans="1:4" x14ac:dyDescent="0.3">
      <c r="A153" s="37" t="s">
        <v>33</v>
      </c>
      <c r="B153" s="58">
        <v>172</v>
      </c>
      <c r="C153" s="15">
        <f t="shared" si="5"/>
        <v>152</v>
      </c>
      <c r="D153" t="str">
        <f t="shared" si="6"/>
        <v>Avg Performing</v>
      </c>
    </row>
    <row r="154" spans="1:4" x14ac:dyDescent="0.3">
      <c r="A154" s="37" t="s">
        <v>26</v>
      </c>
      <c r="B154" s="58">
        <v>171</v>
      </c>
      <c r="C154" s="15">
        <f t="shared" si="5"/>
        <v>153</v>
      </c>
      <c r="D154" t="str">
        <f t="shared" si="6"/>
        <v>Avg Performing</v>
      </c>
    </row>
    <row r="155" spans="1:4" x14ac:dyDescent="0.3">
      <c r="A155" s="38" t="s">
        <v>587</v>
      </c>
      <c r="B155" s="58">
        <v>171</v>
      </c>
      <c r="C155" s="15">
        <f t="shared" si="5"/>
        <v>153</v>
      </c>
      <c r="D155" t="str">
        <f t="shared" si="6"/>
        <v>Avg Performing</v>
      </c>
    </row>
    <row r="156" spans="1:4" x14ac:dyDescent="0.3">
      <c r="A156" s="37" t="s">
        <v>26</v>
      </c>
      <c r="B156" s="58">
        <v>170</v>
      </c>
      <c r="C156" s="15">
        <f t="shared" si="5"/>
        <v>155</v>
      </c>
      <c r="D156" t="str">
        <f t="shared" si="6"/>
        <v>Avg Performing</v>
      </c>
    </row>
    <row r="157" spans="1:4" x14ac:dyDescent="0.3">
      <c r="A157" s="37" t="s">
        <v>33</v>
      </c>
      <c r="B157" s="58">
        <v>170</v>
      </c>
      <c r="C157" s="15">
        <f t="shared" si="5"/>
        <v>155</v>
      </c>
      <c r="D157" t="str">
        <f t="shared" si="6"/>
        <v>Avg Performing</v>
      </c>
    </row>
    <row r="158" spans="1:4" x14ac:dyDescent="0.3">
      <c r="A158" s="37" t="s">
        <v>26</v>
      </c>
      <c r="B158" s="58">
        <v>169</v>
      </c>
      <c r="C158" s="15">
        <f t="shared" si="5"/>
        <v>157</v>
      </c>
      <c r="D158" t="str">
        <f t="shared" si="6"/>
        <v>Avg Performing</v>
      </c>
    </row>
    <row r="159" spans="1:4" x14ac:dyDescent="0.3">
      <c r="A159" s="37" t="s">
        <v>26</v>
      </c>
      <c r="B159" s="58">
        <v>169</v>
      </c>
      <c r="C159" s="15">
        <f t="shared" si="5"/>
        <v>157</v>
      </c>
      <c r="D159" t="str">
        <f t="shared" si="6"/>
        <v>Avg Performing</v>
      </c>
    </row>
    <row r="160" spans="1:4" x14ac:dyDescent="0.3">
      <c r="A160" s="38" t="s">
        <v>601</v>
      </c>
      <c r="B160" s="58">
        <v>169</v>
      </c>
      <c r="C160" s="15">
        <f t="shared" si="5"/>
        <v>157</v>
      </c>
      <c r="D160" t="str">
        <f t="shared" si="6"/>
        <v>Avg Performing</v>
      </c>
    </row>
    <row r="161" spans="1:4" x14ac:dyDescent="0.3">
      <c r="A161" s="37" t="s">
        <v>26</v>
      </c>
      <c r="B161" s="58">
        <v>167</v>
      </c>
      <c r="C161" s="15">
        <f t="shared" si="5"/>
        <v>160</v>
      </c>
      <c r="D161" t="str">
        <f t="shared" si="6"/>
        <v>Avg Performing</v>
      </c>
    </row>
    <row r="162" spans="1:4" x14ac:dyDescent="0.3">
      <c r="A162" s="37" t="s">
        <v>57</v>
      </c>
      <c r="B162" s="58">
        <v>167</v>
      </c>
      <c r="C162" s="15">
        <f t="shared" si="5"/>
        <v>160</v>
      </c>
      <c r="D162" t="str">
        <f t="shared" si="6"/>
        <v>Avg Performing</v>
      </c>
    </row>
    <row r="163" spans="1:4" x14ac:dyDescent="0.3">
      <c r="A163" s="37" t="s">
        <v>26</v>
      </c>
      <c r="B163" s="58">
        <v>164</v>
      </c>
      <c r="C163" s="15">
        <f t="shared" si="5"/>
        <v>162</v>
      </c>
      <c r="D163" t="str">
        <f t="shared" si="6"/>
        <v>Avg Performing</v>
      </c>
    </row>
    <row r="164" spans="1:4" x14ac:dyDescent="0.3">
      <c r="A164" s="37" t="s">
        <v>57</v>
      </c>
      <c r="B164" s="58">
        <v>163</v>
      </c>
      <c r="C164" s="15">
        <f t="shared" si="5"/>
        <v>163</v>
      </c>
      <c r="D164" t="str">
        <f t="shared" si="6"/>
        <v>Avg Performing</v>
      </c>
    </row>
    <row r="165" spans="1:4" x14ac:dyDescent="0.3">
      <c r="A165" s="37" t="s">
        <v>57</v>
      </c>
      <c r="B165" s="58">
        <v>161</v>
      </c>
      <c r="C165" s="15">
        <f t="shared" si="5"/>
        <v>164</v>
      </c>
      <c r="D165" t="str">
        <f t="shared" si="6"/>
        <v>Avg Performing</v>
      </c>
    </row>
    <row r="166" spans="1:4" x14ac:dyDescent="0.3">
      <c r="A166" s="37" t="s">
        <v>57</v>
      </c>
      <c r="B166" s="58">
        <v>160</v>
      </c>
      <c r="C166" s="15">
        <f t="shared" si="5"/>
        <v>165</v>
      </c>
      <c r="D166" t="str">
        <f t="shared" si="6"/>
        <v>Avg Performing</v>
      </c>
    </row>
    <row r="167" spans="1:4" x14ac:dyDescent="0.3">
      <c r="A167" s="37" t="s">
        <v>33</v>
      </c>
      <c r="B167" s="58">
        <v>159</v>
      </c>
      <c r="C167" s="15">
        <f t="shared" si="5"/>
        <v>166</v>
      </c>
      <c r="D167" t="str">
        <f t="shared" si="6"/>
        <v>Avg Performing</v>
      </c>
    </row>
    <row r="168" spans="1:4" x14ac:dyDescent="0.3">
      <c r="A168" s="37" t="s">
        <v>57</v>
      </c>
      <c r="B168" s="58">
        <v>158</v>
      </c>
      <c r="C168" s="15">
        <f t="shared" si="5"/>
        <v>167</v>
      </c>
      <c r="D168" t="str">
        <f t="shared" si="6"/>
        <v>Avg Performing</v>
      </c>
    </row>
    <row r="169" spans="1:4" x14ac:dyDescent="0.3">
      <c r="A169" s="37" t="s">
        <v>26</v>
      </c>
      <c r="B169" s="58">
        <v>158</v>
      </c>
      <c r="C169" s="15">
        <f t="shared" si="5"/>
        <v>167</v>
      </c>
      <c r="D169" t="str">
        <f t="shared" si="6"/>
        <v>Avg Performing</v>
      </c>
    </row>
    <row r="170" spans="1:4" x14ac:dyDescent="0.3">
      <c r="A170" s="37" t="s">
        <v>33</v>
      </c>
      <c r="B170" s="58">
        <v>157</v>
      </c>
      <c r="C170" s="15">
        <f t="shared" si="5"/>
        <v>169</v>
      </c>
      <c r="D170" t="str">
        <f t="shared" si="6"/>
        <v>Avg Performing</v>
      </c>
    </row>
    <row r="171" spans="1:4" x14ac:dyDescent="0.3">
      <c r="A171" s="37" t="s">
        <v>57</v>
      </c>
      <c r="B171" s="58">
        <v>157</v>
      </c>
      <c r="C171" s="15">
        <f t="shared" si="5"/>
        <v>169</v>
      </c>
      <c r="D171" t="str">
        <f t="shared" si="6"/>
        <v>Avg Performing</v>
      </c>
    </row>
    <row r="172" spans="1:4" x14ac:dyDescent="0.3">
      <c r="A172" s="37" t="s">
        <v>57</v>
      </c>
      <c r="B172" s="58">
        <v>154</v>
      </c>
      <c r="C172" s="15">
        <f t="shared" si="5"/>
        <v>171</v>
      </c>
      <c r="D172" t="str">
        <f t="shared" si="6"/>
        <v>Avg Performing</v>
      </c>
    </row>
    <row r="173" spans="1:4" x14ac:dyDescent="0.3">
      <c r="A173" s="37" t="s">
        <v>33</v>
      </c>
      <c r="B173" s="58">
        <v>150</v>
      </c>
      <c r="C173" s="15">
        <f t="shared" si="5"/>
        <v>172</v>
      </c>
      <c r="D173" t="str">
        <f t="shared" si="6"/>
        <v>Avg Performing</v>
      </c>
    </row>
    <row r="174" spans="1:4" x14ac:dyDescent="0.3">
      <c r="A174" s="37" t="s">
        <v>57</v>
      </c>
      <c r="B174" s="58">
        <v>150</v>
      </c>
      <c r="C174" s="15">
        <f t="shared" si="5"/>
        <v>172</v>
      </c>
      <c r="D174" t="str">
        <f t="shared" si="6"/>
        <v>Avg Performing</v>
      </c>
    </row>
    <row r="175" spans="1:4" x14ac:dyDescent="0.3">
      <c r="A175" s="37" t="s">
        <v>57</v>
      </c>
      <c r="B175" s="58">
        <v>149</v>
      </c>
      <c r="C175" s="15">
        <f t="shared" si="5"/>
        <v>174</v>
      </c>
      <c r="D175" t="str">
        <f t="shared" si="6"/>
        <v>Avg Performing</v>
      </c>
    </row>
    <row r="176" spans="1:4" x14ac:dyDescent="0.3">
      <c r="A176" s="37" t="s">
        <v>26</v>
      </c>
      <c r="B176" s="58">
        <v>148</v>
      </c>
      <c r="C176" s="15">
        <f t="shared" si="5"/>
        <v>175</v>
      </c>
      <c r="D176" t="str">
        <f t="shared" si="6"/>
        <v>Avg Performing</v>
      </c>
    </row>
    <row r="177" spans="1:4" x14ac:dyDescent="0.3">
      <c r="A177" s="37" t="s">
        <v>33</v>
      </c>
      <c r="B177" s="58">
        <v>147</v>
      </c>
      <c r="C177" s="15">
        <f t="shared" si="5"/>
        <v>176</v>
      </c>
      <c r="D177" t="str">
        <f t="shared" si="6"/>
        <v>Avg Performing</v>
      </c>
    </row>
    <row r="178" spans="1:4" x14ac:dyDescent="0.3">
      <c r="A178" s="37" t="s">
        <v>57</v>
      </c>
      <c r="B178" s="58">
        <v>145</v>
      </c>
      <c r="C178" s="15">
        <f t="shared" si="5"/>
        <v>177</v>
      </c>
      <c r="D178" t="str">
        <f t="shared" si="6"/>
        <v>Avg Performing</v>
      </c>
    </row>
    <row r="179" spans="1:4" x14ac:dyDescent="0.3">
      <c r="A179" s="37" t="s">
        <v>33</v>
      </c>
      <c r="B179" s="58">
        <v>145</v>
      </c>
      <c r="C179" s="15">
        <f t="shared" si="5"/>
        <v>177</v>
      </c>
      <c r="D179" t="str">
        <f t="shared" si="6"/>
        <v>Avg Performing</v>
      </c>
    </row>
    <row r="180" spans="1:4" x14ac:dyDescent="0.3">
      <c r="A180" s="38" t="s">
        <v>26</v>
      </c>
      <c r="B180" s="58">
        <v>145</v>
      </c>
      <c r="C180" s="15">
        <f t="shared" si="5"/>
        <v>177</v>
      </c>
      <c r="D180" t="str">
        <f t="shared" si="6"/>
        <v>Avg Performing</v>
      </c>
    </row>
    <row r="181" spans="1:4" x14ac:dyDescent="0.3">
      <c r="A181" s="38" t="s">
        <v>601</v>
      </c>
      <c r="B181" s="59">
        <v>145</v>
      </c>
      <c r="C181" s="15">
        <f t="shared" si="5"/>
        <v>177</v>
      </c>
      <c r="D181" t="str">
        <f t="shared" si="6"/>
        <v>Avg Performing</v>
      </c>
    </row>
    <row r="182" spans="1:4" x14ac:dyDescent="0.3">
      <c r="A182" s="37" t="s">
        <v>26</v>
      </c>
      <c r="B182" s="58">
        <v>143</v>
      </c>
      <c r="C182" s="15">
        <f t="shared" si="5"/>
        <v>181</v>
      </c>
      <c r="D182" t="str">
        <f t="shared" si="6"/>
        <v>Avg Performing</v>
      </c>
    </row>
    <row r="183" spans="1:4" x14ac:dyDescent="0.3">
      <c r="A183" s="37" t="s">
        <v>57</v>
      </c>
      <c r="B183" s="58">
        <v>143</v>
      </c>
      <c r="C183" s="15">
        <f t="shared" si="5"/>
        <v>181</v>
      </c>
      <c r="D183" t="str">
        <f t="shared" si="6"/>
        <v>Avg Performing</v>
      </c>
    </row>
    <row r="184" spans="1:4" x14ac:dyDescent="0.3">
      <c r="A184" s="37" t="s">
        <v>57</v>
      </c>
      <c r="B184" s="58">
        <v>142</v>
      </c>
      <c r="C184" s="15">
        <f t="shared" si="5"/>
        <v>183</v>
      </c>
      <c r="D184" t="str">
        <f t="shared" si="6"/>
        <v>Avg Performing</v>
      </c>
    </row>
    <row r="185" spans="1:4" x14ac:dyDescent="0.3">
      <c r="A185" s="37" t="s">
        <v>26</v>
      </c>
      <c r="B185" s="58">
        <v>142</v>
      </c>
      <c r="C185" s="15">
        <f t="shared" si="5"/>
        <v>183</v>
      </c>
      <c r="D185" t="str">
        <f t="shared" si="6"/>
        <v>Avg Performing</v>
      </c>
    </row>
    <row r="186" spans="1:4" x14ac:dyDescent="0.3">
      <c r="A186" s="37" t="s">
        <v>26</v>
      </c>
      <c r="B186" s="58">
        <v>137</v>
      </c>
      <c r="C186" s="15">
        <f t="shared" si="5"/>
        <v>185</v>
      </c>
      <c r="D186" t="str">
        <f t="shared" si="6"/>
        <v>Avg Performing</v>
      </c>
    </row>
    <row r="187" spans="1:4" x14ac:dyDescent="0.3">
      <c r="A187" s="37" t="s">
        <v>33</v>
      </c>
      <c r="B187" s="58">
        <v>137</v>
      </c>
      <c r="C187" s="15">
        <f t="shared" si="5"/>
        <v>185</v>
      </c>
      <c r="D187" t="str">
        <f t="shared" si="6"/>
        <v>Avg Performing</v>
      </c>
    </row>
    <row r="188" spans="1:4" x14ac:dyDescent="0.3">
      <c r="A188" s="37" t="s">
        <v>57</v>
      </c>
      <c r="B188" s="58">
        <v>137</v>
      </c>
      <c r="C188" s="15">
        <f t="shared" si="5"/>
        <v>185</v>
      </c>
      <c r="D188" t="str">
        <f t="shared" si="6"/>
        <v>Avg Performing</v>
      </c>
    </row>
    <row r="189" spans="1:4" x14ac:dyDescent="0.3">
      <c r="A189" s="37" t="s">
        <v>26</v>
      </c>
      <c r="B189" s="58">
        <v>137</v>
      </c>
      <c r="C189" s="15">
        <f t="shared" si="5"/>
        <v>185</v>
      </c>
      <c r="D189" t="str">
        <f t="shared" si="6"/>
        <v>Avg Performing</v>
      </c>
    </row>
    <row r="190" spans="1:4" x14ac:dyDescent="0.3">
      <c r="A190" s="37" t="s">
        <v>26</v>
      </c>
      <c r="B190" s="58">
        <v>135</v>
      </c>
      <c r="C190" s="15">
        <f t="shared" si="5"/>
        <v>189</v>
      </c>
      <c r="D190" t="str">
        <f t="shared" si="6"/>
        <v>Avg Performing</v>
      </c>
    </row>
    <row r="191" spans="1:4" x14ac:dyDescent="0.3">
      <c r="A191" s="37" t="s">
        <v>33</v>
      </c>
      <c r="B191" s="58">
        <v>135</v>
      </c>
      <c r="C191" s="15">
        <f t="shared" si="5"/>
        <v>189</v>
      </c>
      <c r="D191" t="str">
        <f t="shared" si="6"/>
        <v>Avg Performing</v>
      </c>
    </row>
    <row r="192" spans="1:4" x14ac:dyDescent="0.3">
      <c r="A192" s="37" t="s">
        <v>26</v>
      </c>
      <c r="B192" s="58">
        <v>133</v>
      </c>
      <c r="C192" s="15">
        <f t="shared" si="5"/>
        <v>191</v>
      </c>
      <c r="D192" t="str">
        <f t="shared" si="6"/>
        <v>Avg Performing</v>
      </c>
    </row>
    <row r="193" spans="1:4" x14ac:dyDescent="0.3">
      <c r="A193" s="37" t="s">
        <v>26</v>
      </c>
      <c r="B193" s="58">
        <v>132</v>
      </c>
      <c r="C193" s="15">
        <f t="shared" si="5"/>
        <v>192</v>
      </c>
      <c r="D193" t="str">
        <f t="shared" si="6"/>
        <v>Avg Performing</v>
      </c>
    </row>
    <row r="194" spans="1:4" x14ac:dyDescent="0.3">
      <c r="A194" s="37" t="s">
        <v>26</v>
      </c>
      <c r="B194" s="58">
        <v>131</v>
      </c>
      <c r="C194" s="15">
        <f t="shared" ref="C194:C257" si="7">_xlfn.RANK.EQ(B194, B:B, 0)</f>
        <v>193</v>
      </c>
      <c r="D194" t="str">
        <f t="shared" ref="D194:D257" si="8">IF(C194&lt;=10,"Top Performing","Avg Performing")</f>
        <v>Avg Performing</v>
      </c>
    </row>
    <row r="195" spans="1:4" x14ac:dyDescent="0.3">
      <c r="A195" s="37" t="s">
        <v>26</v>
      </c>
      <c r="B195" s="58">
        <v>131</v>
      </c>
      <c r="C195" s="15">
        <f t="shared" si="7"/>
        <v>193</v>
      </c>
      <c r="D195" t="str">
        <f t="shared" si="8"/>
        <v>Avg Performing</v>
      </c>
    </row>
    <row r="196" spans="1:4" x14ac:dyDescent="0.3">
      <c r="A196" s="37" t="s">
        <v>33</v>
      </c>
      <c r="B196" s="58">
        <v>130</v>
      </c>
      <c r="C196" s="15">
        <f t="shared" si="7"/>
        <v>195</v>
      </c>
      <c r="D196" t="str">
        <f t="shared" si="8"/>
        <v>Avg Performing</v>
      </c>
    </row>
    <row r="197" spans="1:4" x14ac:dyDescent="0.3">
      <c r="A197" s="37" t="s">
        <v>26</v>
      </c>
      <c r="B197" s="58">
        <v>129</v>
      </c>
      <c r="C197" s="15">
        <f t="shared" si="7"/>
        <v>196</v>
      </c>
      <c r="D197" t="str">
        <f t="shared" si="8"/>
        <v>Avg Performing</v>
      </c>
    </row>
    <row r="198" spans="1:4" x14ac:dyDescent="0.3">
      <c r="A198" s="37" t="s">
        <v>57</v>
      </c>
      <c r="B198" s="58">
        <v>129</v>
      </c>
      <c r="C198" s="15">
        <f t="shared" si="7"/>
        <v>196</v>
      </c>
      <c r="D198" t="str">
        <f t="shared" si="8"/>
        <v>Avg Performing</v>
      </c>
    </row>
    <row r="199" spans="1:4" x14ac:dyDescent="0.3">
      <c r="A199" s="38" t="s">
        <v>587</v>
      </c>
      <c r="B199" s="58">
        <v>129</v>
      </c>
      <c r="C199" s="15">
        <f t="shared" si="7"/>
        <v>196</v>
      </c>
      <c r="D199" t="str">
        <f t="shared" si="8"/>
        <v>Avg Performing</v>
      </c>
    </row>
    <row r="200" spans="1:4" x14ac:dyDescent="0.3">
      <c r="A200" s="37" t="s">
        <v>33</v>
      </c>
      <c r="B200" s="58">
        <v>128</v>
      </c>
      <c r="C200" s="15">
        <f t="shared" si="7"/>
        <v>199</v>
      </c>
      <c r="D200" t="str">
        <f t="shared" si="8"/>
        <v>Avg Performing</v>
      </c>
    </row>
    <row r="201" spans="1:4" x14ac:dyDescent="0.3">
      <c r="A201" s="37" t="s">
        <v>57</v>
      </c>
      <c r="B201" s="58">
        <v>127</v>
      </c>
      <c r="C201" s="15">
        <f t="shared" si="7"/>
        <v>200</v>
      </c>
      <c r="D201" t="str">
        <f t="shared" si="8"/>
        <v>Avg Performing</v>
      </c>
    </row>
    <row r="202" spans="1:4" x14ac:dyDescent="0.3">
      <c r="A202" s="37" t="s">
        <v>57</v>
      </c>
      <c r="B202" s="58">
        <v>125</v>
      </c>
      <c r="C202" s="15">
        <f t="shared" si="7"/>
        <v>201</v>
      </c>
      <c r="D202" t="str">
        <f t="shared" si="8"/>
        <v>Avg Performing</v>
      </c>
    </row>
    <row r="203" spans="1:4" x14ac:dyDescent="0.3">
      <c r="A203" s="37" t="s">
        <v>33</v>
      </c>
      <c r="B203" s="58">
        <v>123</v>
      </c>
      <c r="C203" s="15">
        <f t="shared" si="7"/>
        <v>202</v>
      </c>
      <c r="D203" t="str">
        <f t="shared" si="8"/>
        <v>Avg Performing</v>
      </c>
    </row>
    <row r="204" spans="1:4" x14ac:dyDescent="0.3">
      <c r="A204" s="37" t="s">
        <v>26</v>
      </c>
      <c r="B204" s="58">
        <v>123</v>
      </c>
      <c r="C204" s="15">
        <f t="shared" si="7"/>
        <v>202</v>
      </c>
      <c r="D204" t="str">
        <f t="shared" si="8"/>
        <v>Avg Performing</v>
      </c>
    </row>
    <row r="205" spans="1:4" x14ac:dyDescent="0.3">
      <c r="A205" s="37" t="s">
        <v>57</v>
      </c>
      <c r="B205" s="58">
        <v>123</v>
      </c>
      <c r="C205" s="15">
        <f t="shared" si="7"/>
        <v>202</v>
      </c>
      <c r="D205" t="str">
        <f t="shared" si="8"/>
        <v>Avg Performing</v>
      </c>
    </row>
    <row r="206" spans="1:4" x14ac:dyDescent="0.3">
      <c r="A206" s="37" t="s">
        <v>33</v>
      </c>
      <c r="B206" s="58">
        <v>122</v>
      </c>
      <c r="C206" s="15">
        <f t="shared" si="7"/>
        <v>205</v>
      </c>
      <c r="D206" t="str">
        <f t="shared" si="8"/>
        <v>Avg Performing</v>
      </c>
    </row>
    <row r="207" spans="1:4" x14ac:dyDescent="0.3">
      <c r="A207" s="37" t="s">
        <v>26</v>
      </c>
      <c r="B207" s="58">
        <v>122</v>
      </c>
      <c r="C207" s="15">
        <f t="shared" si="7"/>
        <v>205</v>
      </c>
      <c r="D207" t="str">
        <f t="shared" si="8"/>
        <v>Avg Performing</v>
      </c>
    </row>
    <row r="208" spans="1:4" x14ac:dyDescent="0.3">
      <c r="A208" s="37" t="s">
        <v>26</v>
      </c>
      <c r="B208" s="58">
        <v>121</v>
      </c>
      <c r="C208" s="15">
        <f t="shared" si="7"/>
        <v>207</v>
      </c>
      <c r="D208" t="str">
        <f t="shared" si="8"/>
        <v>Avg Performing</v>
      </c>
    </row>
    <row r="209" spans="1:4" x14ac:dyDescent="0.3">
      <c r="A209" s="37" t="s">
        <v>57</v>
      </c>
      <c r="B209" s="58">
        <v>120</v>
      </c>
      <c r="C209" s="15">
        <f t="shared" si="7"/>
        <v>208</v>
      </c>
      <c r="D209" t="str">
        <f t="shared" si="8"/>
        <v>Avg Performing</v>
      </c>
    </row>
    <row r="210" spans="1:4" x14ac:dyDescent="0.3">
      <c r="A210" s="37" t="s">
        <v>26</v>
      </c>
      <c r="B210" s="58">
        <v>119</v>
      </c>
      <c r="C210" s="15">
        <f t="shared" si="7"/>
        <v>209</v>
      </c>
      <c r="D210" t="str">
        <f t="shared" si="8"/>
        <v>Avg Performing</v>
      </c>
    </row>
    <row r="211" spans="1:4" x14ac:dyDescent="0.3">
      <c r="A211" s="37" t="s">
        <v>33</v>
      </c>
      <c r="B211" s="58">
        <v>119</v>
      </c>
      <c r="C211" s="15">
        <f t="shared" si="7"/>
        <v>209</v>
      </c>
      <c r="D211" t="str">
        <f t="shared" si="8"/>
        <v>Avg Performing</v>
      </c>
    </row>
    <row r="212" spans="1:4" x14ac:dyDescent="0.3">
      <c r="A212" s="37" t="s">
        <v>33</v>
      </c>
      <c r="B212" s="58">
        <v>118</v>
      </c>
      <c r="C212" s="15">
        <f t="shared" si="7"/>
        <v>211</v>
      </c>
      <c r="D212" t="str">
        <f t="shared" si="8"/>
        <v>Avg Performing</v>
      </c>
    </row>
    <row r="213" spans="1:4" x14ac:dyDescent="0.3">
      <c r="A213" s="37" t="s">
        <v>26</v>
      </c>
      <c r="B213" s="58">
        <v>118</v>
      </c>
      <c r="C213" s="15">
        <f t="shared" si="7"/>
        <v>211</v>
      </c>
      <c r="D213" t="str">
        <f t="shared" si="8"/>
        <v>Avg Performing</v>
      </c>
    </row>
    <row r="214" spans="1:4" x14ac:dyDescent="0.3">
      <c r="A214" s="37" t="s">
        <v>26</v>
      </c>
      <c r="B214" s="58">
        <v>117</v>
      </c>
      <c r="C214" s="15">
        <f t="shared" si="7"/>
        <v>213</v>
      </c>
      <c r="D214" t="str">
        <f t="shared" si="8"/>
        <v>Avg Performing</v>
      </c>
    </row>
    <row r="215" spans="1:4" x14ac:dyDescent="0.3">
      <c r="A215" s="37" t="s">
        <v>57</v>
      </c>
      <c r="B215" s="58">
        <v>117</v>
      </c>
      <c r="C215" s="15">
        <f t="shared" si="7"/>
        <v>213</v>
      </c>
      <c r="D215" t="str">
        <f t="shared" si="8"/>
        <v>Avg Performing</v>
      </c>
    </row>
    <row r="216" spans="1:4" x14ac:dyDescent="0.3">
      <c r="A216" s="37" t="s">
        <v>26</v>
      </c>
      <c r="B216" s="58">
        <v>117</v>
      </c>
      <c r="C216" s="15">
        <f t="shared" si="7"/>
        <v>213</v>
      </c>
      <c r="D216" t="str">
        <f t="shared" si="8"/>
        <v>Avg Performing</v>
      </c>
    </row>
    <row r="217" spans="1:4" x14ac:dyDescent="0.3">
      <c r="A217" s="38" t="s">
        <v>602</v>
      </c>
      <c r="B217" s="58">
        <v>117</v>
      </c>
      <c r="C217" s="15">
        <f t="shared" si="7"/>
        <v>213</v>
      </c>
      <c r="D217" t="str">
        <f t="shared" si="8"/>
        <v>Avg Performing</v>
      </c>
    </row>
    <row r="218" spans="1:4" x14ac:dyDescent="0.3">
      <c r="A218" s="37" t="s">
        <v>33</v>
      </c>
      <c r="B218" s="58">
        <v>114</v>
      </c>
      <c r="C218" s="15">
        <f t="shared" si="7"/>
        <v>217</v>
      </c>
      <c r="D218" t="str">
        <f t="shared" si="8"/>
        <v>Avg Performing</v>
      </c>
    </row>
    <row r="219" spans="1:4" x14ac:dyDescent="0.3">
      <c r="A219" s="37" t="s">
        <v>57</v>
      </c>
      <c r="B219" s="58">
        <v>114</v>
      </c>
      <c r="C219" s="15">
        <f t="shared" si="7"/>
        <v>217</v>
      </c>
      <c r="D219" t="str">
        <f t="shared" si="8"/>
        <v>Avg Performing</v>
      </c>
    </row>
    <row r="220" spans="1:4" x14ac:dyDescent="0.3">
      <c r="A220" s="37" t="s">
        <v>26</v>
      </c>
      <c r="B220" s="58">
        <v>113</v>
      </c>
      <c r="C220" s="15">
        <f t="shared" si="7"/>
        <v>219</v>
      </c>
      <c r="D220" t="str">
        <f t="shared" si="8"/>
        <v>Avg Performing</v>
      </c>
    </row>
    <row r="221" spans="1:4" x14ac:dyDescent="0.3">
      <c r="A221" s="37" t="s">
        <v>26</v>
      </c>
      <c r="B221" s="58">
        <v>112</v>
      </c>
      <c r="C221" s="15">
        <f t="shared" si="7"/>
        <v>220</v>
      </c>
      <c r="D221" t="str">
        <f t="shared" si="8"/>
        <v>Avg Performing</v>
      </c>
    </row>
    <row r="222" spans="1:4" x14ac:dyDescent="0.3">
      <c r="A222" s="37" t="s">
        <v>33</v>
      </c>
      <c r="B222" s="58">
        <v>112</v>
      </c>
      <c r="C222" s="15">
        <f t="shared" si="7"/>
        <v>220</v>
      </c>
      <c r="D222" t="str">
        <f t="shared" si="8"/>
        <v>Avg Performing</v>
      </c>
    </row>
    <row r="223" spans="1:4" x14ac:dyDescent="0.3">
      <c r="A223" s="37" t="s">
        <v>57</v>
      </c>
      <c r="B223" s="58">
        <v>104</v>
      </c>
      <c r="C223" s="15">
        <f t="shared" si="7"/>
        <v>222</v>
      </c>
      <c r="D223" t="str">
        <f t="shared" si="8"/>
        <v>Avg Performing</v>
      </c>
    </row>
    <row r="224" spans="1:4" x14ac:dyDescent="0.3">
      <c r="A224" s="37" t="s">
        <v>33</v>
      </c>
      <c r="B224" s="58">
        <v>104</v>
      </c>
      <c r="C224" s="15">
        <f t="shared" si="7"/>
        <v>222</v>
      </c>
      <c r="D224" t="str">
        <f t="shared" si="8"/>
        <v>Avg Performing</v>
      </c>
    </row>
    <row r="225" spans="1:4" x14ac:dyDescent="0.3">
      <c r="A225" s="38" t="s">
        <v>26</v>
      </c>
      <c r="B225" s="58">
        <v>104</v>
      </c>
      <c r="C225" s="15">
        <f t="shared" si="7"/>
        <v>222</v>
      </c>
      <c r="D225" t="str">
        <f t="shared" si="8"/>
        <v>Avg Performing</v>
      </c>
    </row>
    <row r="226" spans="1:4" x14ac:dyDescent="0.3">
      <c r="A226" s="38" t="s">
        <v>601</v>
      </c>
      <c r="B226" s="59">
        <v>104</v>
      </c>
      <c r="C226" s="15">
        <f t="shared" si="7"/>
        <v>222</v>
      </c>
      <c r="D226" t="str">
        <f t="shared" si="8"/>
        <v>Avg Performing</v>
      </c>
    </row>
    <row r="227" spans="1:4" x14ac:dyDescent="0.3">
      <c r="A227" s="37" t="s">
        <v>26</v>
      </c>
      <c r="B227" s="58">
        <v>103</v>
      </c>
      <c r="C227" s="15">
        <f t="shared" si="7"/>
        <v>226</v>
      </c>
      <c r="D227" t="str">
        <f t="shared" si="8"/>
        <v>Avg Performing</v>
      </c>
    </row>
    <row r="228" spans="1:4" x14ac:dyDescent="0.3">
      <c r="A228" s="37" t="s">
        <v>26</v>
      </c>
      <c r="B228" s="58">
        <v>103</v>
      </c>
      <c r="C228" s="15">
        <f t="shared" si="7"/>
        <v>226</v>
      </c>
      <c r="D228" t="str">
        <f t="shared" si="8"/>
        <v>Avg Performing</v>
      </c>
    </row>
    <row r="229" spans="1:4" x14ac:dyDescent="0.3">
      <c r="A229" s="37" t="s">
        <v>57</v>
      </c>
      <c r="B229" s="58">
        <v>102</v>
      </c>
      <c r="C229" s="15">
        <f t="shared" si="7"/>
        <v>228</v>
      </c>
      <c r="D229" t="str">
        <f t="shared" si="8"/>
        <v>Avg Performing</v>
      </c>
    </row>
    <row r="230" spans="1:4" x14ac:dyDescent="0.3">
      <c r="A230" s="37" t="s">
        <v>57</v>
      </c>
      <c r="B230" s="58">
        <v>102</v>
      </c>
      <c r="C230" s="15">
        <f t="shared" si="7"/>
        <v>228</v>
      </c>
      <c r="D230" t="str">
        <f t="shared" si="8"/>
        <v>Avg Performing</v>
      </c>
    </row>
    <row r="231" spans="1:4" x14ac:dyDescent="0.3">
      <c r="A231" s="37" t="s">
        <v>33</v>
      </c>
      <c r="B231" s="58">
        <v>100</v>
      </c>
      <c r="C231" s="15">
        <f t="shared" si="7"/>
        <v>230</v>
      </c>
      <c r="D231" t="str">
        <f t="shared" si="8"/>
        <v>Avg Performing</v>
      </c>
    </row>
    <row r="232" spans="1:4" x14ac:dyDescent="0.3">
      <c r="A232" s="37" t="s">
        <v>26</v>
      </c>
      <c r="B232" s="58">
        <v>99</v>
      </c>
      <c r="C232" s="15">
        <f t="shared" si="7"/>
        <v>231</v>
      </c>
      <c r="D232" t="str">
        <f t="shared" si="8"/>
        <v>Avg Performing</v>
      </c>
    </row>
    <row r="233" spans="1:4" x14ac:dyDescent="0.3">
      <c r="A233" s="37" t="s">
        <v>26</v>
      </c>
      <c r="B233" s="58">
        <v>97</v>
      </c>
      <c r="C233" s="15">
        <f t="shared" si="7"/>
        <v>232</v>
      </c>
      <c r="D233" t="str">
        <f t="shared" si="8"/>
        <v>Avg Performing</v>
      </c>
    </row>
    <row r="234" spans="1:4" x14ac:dyDescent="0.3">
      <c r="A234" s="37" t="s">
        <v>33</v>
      </c>
      <c r="B234" s="58">
        <v>93</v>
      </c>
      <c r="C234" s="15">
        <f t="shared" si="7"/>
        <v>233</v>
      </c>
      <c r="D234" t="str">
        <f t="shared" si="8"/>
        <v>Avg Performing</v>
      </c>
    </row>
    <row r="235" spans="1:4" x14ac:dyDescent="0.3">
      <c r="A235" s="37" t="s">
        <v>26</v>
      </c>
      <c r="B235" s="58">
        <v>93</v>
      </c>
      <c r="C235" s="15">
        <f t="shared" si="7"/>
        <v>233</v>
      </c>
      <c r="D235" t="str">
        <f t="shared" si="8"/>
        <v>Avg Performing</v>
      </c>
    </row>
    <row r="236" spans="1:4" x14ac:dyDescent="0.3">
      <c r="A236" s="37" t="s">
        <v>26</v>
      </c>
      <c r="B236" s="58">
        <v>92</v>
      </c>
      <c r="C236" s="15">
        <f t="shared" si="7"/>
        <v>235</v>
      </c>
      <c r="D236" t="str">
        <f t="shared" si="8"/>
        <v>Avg Performing</v>
      </c>
    </row>
    <row r="237" spans="1:4" x14ac:dyDescent="0.3">
      <c r="A237" s="37" t="s">
        <v>33</v>
      </c>
      <c r="B237" s="58">
        <v>91</v>
      </c>
      <c r="C237" s="15">
        <f t="shared" si="7"/>
        <v>236</v>
      </c>
      <c r="D237" t="str">
        <f t="shared" si="8"/>
        <v>Avg Performing</v>
      </c>
    </row>
    <row r="238" spans="1:4" x14ac:dyDescent="0.3">
      <c r="A238" s="37" t="s">
        <v>33</v>
      </c>
      <c r="B238" s="58">
        <v>89</v>
      </c>
      <c r="C238" s="15">
        <f t="shared" si="7"/>
        <v>237</v>
      </c>
      <c r="D238" t="str">
        <f t="shared" si="8"/>
        <v>Avg Performing</v>
      </c>
    </row>
    <row r="239" spans="1:4" x14ac:dyDescent="0.3">
      <c r="A239" s="37" t="s">
        <v>33</v>
      </c>
      <c r="B239" s="58">
        <v>89</v>
      </c>
      <c r="C239" s="15">
        <f t="shared" si="7"/>
        <v>237</v>
      </c>
      <c r="D239" t="str">
        <f t="shared" si="8"/>
        <v>Avg Performing</v>
      </c>
    </row>
    <row r="240" spans="1:4" x14ac:dyDescent="0.3">
      <c r="A240" s="37" t="s">
        <v>33</v>
      </c>
      <c r="B240" s="58">
        <v>88</v>
      </c>
      <c r="C240" s="15">
        <f t="shared" si="7"/>
        <v>239</v>
      </c>
      <c r="D240" t="str">
        <f t="shared" si="8"/>
        <v>Avg Performing</v>
      </c>
    </row>
    <row r="241" spans="1:4" x14ac:dyDescent="0.3">
      <c r="A241" s="37" t="s">
        <v>57</v>
      </c>
      <c r="B241" s="58">
        <v>88</v>
      </c>
      <c r="C241" s="15">
        <f t="shared" si="7"/>
        <v>239</v>
      </c>
      <c r="D241" t="str">
        <f t="shared" si="8"/>
        <v>Avg Performing</v>
      </c>
    </row>
    <row r="242" spans="1:4" x14ac:dyDescent="0.3">
      <c r="A242" s="37" t="s">
        <v>57</v>
      </c>
      <c r="B242" s="58">
        <v>87</v>
      </c>
      <c r="C242" s="15">
        <f t="shared" si="7"/>
        <v>241</v>
      </c>
      <c r="D242" t="str">
        <f t="shared" si="8"/>
        <v>Avg Performing</v>
      </c>
    </row>
    <row r="243" spans="1:4" x14ac:dyDescent="0.3">
      <c r="A243" s="37" t="s">
        <v>26</v>
      </c>
      <c r="B243" s="58">
        <v>87</v>
      </c>
      <c r="C243" s="15">
        <f t="shared" si="7"/>
        <v>241</v>
      </c>
      <c r="D243" t="str">
        <f t="shared" si="8"/>
        <v>Avg Performing</v>
      </c>
    </row>
    <row r="244" spans="1:4" x14ac:dyDescent="0.3">
      <c r="A244" s="37" t="s">
        <v>33</v>
      </c>
      <c r="B244" s="58">
        <v>87</v>
      </c>
      <c r="C244" s="15">
        <f t="shared" si="7"/>
        <v>241</v>
      </c>
      <c r="D244" t="str">
        <f t="shared" si="8"/>
        <v>Avg Performing</v>
      </c>
    </row>
    <row r="245" spans="1:4" x14ac:dyDescent="0.3">
      <c r="A245" s="37" t="s">
        <v>33</v>
      </c>
      <c r="B245" s="58">
        <v>85</v>
      </c>
      <c r="C245" s="15">
        <f t="shared" si="7"/>
        <v>244</v>
      </c>
      <c r="D245" t="str">
        <f t="shared" si="8"/>
        <v>Avg Performing</v>
      </c>
    </row>
    <row r="246" spans="1:4" x14ac:dyDescent="0.3">
      <c r="A246" s="37" t="s">
        <v>33</v>
      </c>
      <c r="B246" s="58">
        <v>84</v>
      </c>
      <c r="C246" s="15">
        <f t="shared" si="7"/>
        <v>245</v>
      </c>
      <c r="D246" t="str">
        <f t="shared" si="8"/>
        <v>Avg Performing</v>
      </c>
    </row>
    <row r="247" spans="1:4" x14ac:dyDescent="0.3">
      <c r="A247" s="37" t="s">
        <v>33</v>
      </c>
      <c r="B247" s="58">
        <v>84</v>
      </c>
      <c r="C247" s="15">
        <f t="shared" si="7"/>
        <v>245</v>
      </c>
      <c r="D247" t="str">
        <f t="shared" si="8"/>
        <v>Avg Performing</v>
      </c>
    </row>
    <row r="248" spans="1:4" x14ac:dyDescent="0.3">
      <c r="A248" s="38" t="s">
        <v>26</v>
      </c>
      <c r="B248" s="58">
        <v>84</v>
      </c>
      <c r="C248" s="15">
        <f t="shared" si="7"/>
        <v>245</v>
      </c>
      <c r="D248" t="str">
        <f t="shared" si="8"/>
        <v>Avg Performing</v>
      </c>
    </row>
    <row r="249" spans="1:4" x14ac:dyDescent="0.3">
      <c r="A249" s="38" t="s">
        <v>601</v>
      </c>
      <c r="B249" s="59">
        <v>84</v>
      </c>
      <c r="C249" s="15">
        <f t="shared" si="7"/>
        <v>245</v>
      </c>
      <c r="D249" t="str">
        <f t="shared" si="8"/>
        <v>Avg Performing</v>
      </c>
    </row>
    <row r="250" spans="1:4" x14ac:dyDescent="0.3">
      <c r="A250" s="37" t="s">
        <v>57</v>
      </c>
      <c r="B250" s="58">
        <v>83</v>
      </c>
      <c r="C250" s="15">
        <f t="shared" si="7"/>
        <v>249</v>
      </c>
      <c r="D250" t="str">
        <f t="shared" si="8"/>
        <v>Avg Performing</v>
      </c>
    </row>
    <row r="251" spans="1:4" x14ac:dyDescent="0.3">
      <c r="A251" s="37" t="s">
        <v>33</v>
      </c>
      <c r="B251" s="58">
        <v>83</v>
      </c>
      <c r="C251" s="15">
        <f t="shared" si="7"/>
        <v>249</v>
      </c>
      <c r="D251" t="str">
        <f t="shared" si="8"/>
        <v>Avg Performing</v>
      </c>
    </row>
    <row r="252" spans="1:4" x14ac:dyDescent="0.3">
      <c r="A252" s="37" t="s">
        <v>33</v>
      </c>
      <c r="B252" s="58">
        <v>82</v>
      </c>
      <c r="C252" s="15">
        <f t="shared" si="7"/>
        <v>251</v>
      </c>
      <c r="D252" t="str">
        <f t="shared" si="8"/>
        <v>Avg Performing</v>
      </c>
    </row>
    <row r="253" spans="1:4" x14ac:dyDescent="0.3">
      <c r="A253" s="37" t="s">
        <v>57</v>
      </c>
      <c r="B253" s="58">
        <v>79</v>
      </c>
      <c r="C253" s="15">
        <f t="shared" si="7"/>
        <v>252</v>
      </c>
      <c r="D253" t="str">
        <f t="shared" si="8"/>
        <v>Avg Performing</v>
      </c>
    </row>
    <row r="254" spans="1:4" x14ac:dyDescent="0.3">
      <c r="A254" s="37" t="s">
        <v>33</v>
      </c>
      <c r="B254" s="58">
        <v>76</v>
      </c>
      <c r="C254" s="15">
        <f t="shared" si="7"/>
        <v>253</v>
      </c>
      <c r="D254" t="str">
        <f t="shared" si="8"/>
        <v>Avg Performing</v>
      </c>
    </row>
    <row r="255" spans="1:4" x14ac:dyDescent="0.3">
      <c r="A255" s="37" t="s">
        <v>57</v>
      </c>
      <c r="B255" s="58">
        <v>76</v>
      </c>
      <c r="C255" s="15">
        <f t="shared" si="7"/>
        <v>253</v>
      </c>
      <c r="D255" t="str">
        <f t="shared" si="8"/>
        <v>Avg Performing</v>
      </c>
    </row>
    <row r="256" spans="1:4" x14ac:dyDescent="0.3">
      <c r="A256" s="37" t="s">
        <v>57</v>
      </c>
      <c r="B256" s="58">
        <v>75</v>
      </c>
      <c r="C256" s="15">
        <f t="shared" si="7"/>
        <v>255</v>
      </c>
      <c r="D256" t="str">
        <f t="shared" si="8"/>
        <v>Avg Performing</v>
      </c>
    </row>
    <row r="257" spans="1:4" x14ac:dyDescent="0.3">
      <c r="A257" s="37" t="s">
        <v>33</v>
      </c>
      <c r="B257" s="58">
        <v>73</v>
      </c>
      <c r="C257" s="15">
        <f t="shared" si="7"/>
        <v>256</v>
      </c>
      <c r="D257" t="str">
        <f t="shared" si="8"/>
        <v>Avg Performing</v>
      </c>
    </row>
    <row r="258" spans="1:4" x14ac:dyDescent="0.3">
      <c r="A258" s="37" t="s">
        <v>33</v>
      </c>
      <c r="B258" s="58">
        <v>71</v>
      </c>
      <c r="C258" s="15">
        <f t="shared" ref="C258:C321" si="9">_xlfn.RANK.EQ(B258, B:B, 0)</f>
        <v>257</v>
      </c>
      <c r="D258" t="str">
        <f t="shared" ref="D258:D321" si="10">IF(C258&lt;=10,"Top Performing","Avg Performing")</f>
        <v>Avg Performing</v>
      </c>
    </row>
    <row r="259" spans="1:4" x14ac:dyDescent="0.3">
      <c r="A259" s="37" t="s">
        <v>57</v>
      </c>
      <c r="B259" s="58">
        <v>70</v>
      </c>
      <c r="C259" s="15">
        <f t="shared" si="9"/>
        <v>258</v>
      </c>
      <c r="D259" t="str">
        <f t="shared" si="10"/>
        <v>Avg Performing</v>
      </c>
    </row>
    <row r="260" spans="1:4" x14ac:dyDescent="0.3">
      <c r="A260" s="37" t="s">
        <v>33</v>
      </c>
      <c r="B260" s="58">
        <v>66</v>
      </c>
      <c r="C260" s="15">
        <f t="shared" si="9"/>
        <v>259</v>
      </c>
      <c r="D260" t="str">
        <f t="shared" si="10"/>
        <v>Avg Performing</v>
      </c>
    </row>
    <row r="261" spans="1:4" x14ac:dyDescent="0.3">
      <c r="A261" s="37" t="s">
        <v>57</v>
      </c>
      <c r="B261" s="58">
        <v>65</v>
      </c>
      <c r="C261" s="15">
        <f t="shared" si="9"/>
        <v>260</v>
      </c>
      <c r="D261" t="str">
        <f t="shared" si="10"/>
        <v>Avg Performing</v>
      </c>
    </row>
    <row r="262" spans="1:4" x14ac:dyDescent="0.3">
      <c r="A262" s="37" t="s">
        <v>26</v>
      </c>
      <c r="B262" s="58">
        <v>65</v>
      </c>
      <c r="C262" s="15">
        <f t="shared" si="9"/>
        <v>260</v>
      </c>
      <c r="D262" t="str">
        <f t="shared" si="10"/>
        <v>Avg Performing</v>
      </c>
    </row>
    <row r="263" spans="1:4" x14ac:dyDescent="0.3">
      <c r="A263" s="37" t="s">
        <v>57</v>
      </c>
      <c r="B263" s="58">
        <v>64</v>
      </c>
      <c r="C263" s="15">
        <f t="shared" si="9"/>
        <v>262</v>
      </c>
      <c r="D263" t="str">
        <f t="shared" si="10"/>
        <v>Avg Performing</v>
      </c>
    </row>
    <row r="264" spans="1:4" x14ac:dyDescent="0.3">
      <c r="A264" s="37" t="s">
        <v>57</v>
      </c>
      <c r="B264" s="58">
        <v>64</v>
      </c>
      <c r="C264" s="15">
        <f t="shared" si="9"/>
        <v>262</v>
      </c>
      <c r="D264" t="str">
        <f t="shared" si="10"/>
        <v>Avg Performing</v>
      </c>
    </row>
    <row r="265" spans="1:4" x14ac:dyDescent="0.3">
      <c r="A265" s="37" t="s">
        <v>26</v>
      </c>
      <c r="B265" s="58">
        <v>63</v>
      </c>
      <c r="C265" s="15">
        <f t="shared" si="9"/>
        <v>264</v>
      </c>
      <c r="D265" t="str">
        <f t="shared" si="10"/>
        <v>Avg Performing</v>
      </c>
    </row>
    <row r="266" spans="1:4" x14ac:dyDescent="0.3">
      <c r="A266" s="37" t="s">
        <v>57</v>
      </c>
      <c r="B266" s="58">
        <v>63</v>
      </c>
      <c r="C266" s="15">
        <f t="shared" si="9"/>
        <v>264</v>
      </c>
      <c r="D266" t="str">
        <f t="shared" si="10"/>
        <v>Avg Performing</v>
      </c>
    </row>
    <row r="267" spans="1:4" x14ac:dyDescent="0.3">
      <c r="A267" s="37" t="s">
        <v>57</v>
      </c>
      <c r="B267" s="58">
        <v>62</v>
      </c>
      <c r="C267" s="15">
        <f t="shared" si="9"/>
        <v>266</v>
      </c>
      <c r="D267" t="str">
        <f t="shared" si="10"/>
        <v>Avg Performing</v>
      </c>
    </row>
    <row r="268" spans="1:4" x14ac:dyDescent="0.3">
      <c r="A268" s="37" t="s">
        <v>57</v>
      </c>
      <c r="B268" s="58">
        <v>60</v>
      </c>
      <c r="C268" s="15">
        <f t="shared" si="9"/>
        <v>267</v>
      </c>
      <c r="D268" t="str">
        <f t="shared" si="10"/>
        <v>Avg Performing</v>
      </c>
    </row>
    <row r="269" spans="1:4" x14ac:dyDescent="0.3">
      <c r="A269" s="37" t="s">
        <v>33</v>
      </c>
      <c r="B269" s="58">
        <v>58</v>
      </c>
      <c r="C269" s="15">
        <f t="shared" si="9"/>
        <v>268</v>
      </c>
      <c r="D269" t="str">
        <f t="shared" si="10"/>
        <v>Avg Performing</v>
      </c>
    </row>
    <row r="270" spans="1:4" x14ac:dyDescent="0.3">
      <c r="A270" s="37" t="s">
        <v>57</v>
      </c>
      <c r="B270" s="58">
        <v>57</v>
      </c>
      <c r="C270" s="15">
        <f t="shared" si="9"/>
        <v>269</v>
      </c>
      <c r="D270" t="str">
        <f t="shared" si="10"/>
        <v>Avg Performing</v>
      </c>
    </row>
    <row r="271" spans="1:4" x14ac:dyDescent="0.3">
      <c r="A271" s="37" t="s">
        <v>57</v>
      </c>
      <c r="B271" s="58">
        <v>57</v>
      </c>
      <c r="C271" s="15">
        <f t="shared" si="9"/>
        <v>269</v>
      </c>
      <c r="D271" t="str">
        <f t="shared" si="10"/>
        <v>Avg Performing</v>
      </c>
    </row>
    <row r="272" spans="1:4" x14ac:dyDescent="0.3">
      <c r="A272" s="37" t="s">
        <v>26</v>
      </c>
      <c r="B272" s="58">
        <v>56</v>
      </c>
      <c r="C272" s="15">
        <f t="shared" si="9"/>
        <v>271</v>
      </c>
      <c r="D272" t="str">
        <f t="shared" si="10"/>
        <v>Avg Performing</v>
      </c>
    </row>
    <row r="273" spans="1:4" x14ac:dyDescent="0.3">
      <c r="A273" s="37" t="s">
        <v>26</v>
      </c>
      <c r="B273" s="58">
        <v>53</v>
      </c>
      <c r="C273" s="15">
        <f t="shared" si="9"/>
        <v>272</v>
      </c>
      <c r="D273" t="str">
        <f t="shared" si="10"/>
        <v>Avg Performing</v>
      </c>
    </row>
    <row r="274" spans="1:4" x14ac:dyDescent="0.3">
      <c r="A274" s="37" t="s">
        <v>57</v>
      </c>
      <c r="B274" s="58">
        <v>52</v>
      </c>
      <c r="C274" s="15">
        <f t="shared" si="9"/>
        <v>273</v>
      </c>
      <c r="D274" t="str">
        <f t="shared" si="10"/>
        <v>Avg Performing</v>
      </c>
    </row>
    <row r="275" spans="1:4" x14ac:dyDescent="0.3">
      <c r="A275" s="37" t="s">
        <v>33</v>
      </c>
      <c r="B275" s="58">
        <v>52</v>
      </c>
      <c r="C275" s="15">
        <f t="shared" si="9"/>
        <v>273</v>
      </c>
      <c r="D275" t="str">
        <f t="shared" si="10"/>
        <v>Avg Performing</v>
      </c>
    </row>
    <row r="276" spans="1:4" x14ac:dyDescent="0.3">
      <c r="A276" s="37" t="s">
        <v>26</v>
      </c>
      <c r="B276" s="58">
        <v>52</v>
      </c>
      <c r="C276" s="15">
        <f t="shared" si="9"/>
        <v>273</v>
      </c>
      <c r="D276" t="str">
        <f t="shared" si="10"/>
        <v>Avg Performing</v>
      </c>
    </row>
    <row r="277" spans="1:4" x14ac:dyDescent="0.3">
      <c r="A277" s="37" t="s">
        <v>57</v>
      </c>
      <c r="B277" s="58">
        <v>51</v>
      </c>
      <c r="C277" s="15">
        <f t="shared" si="9"/>
        <v>276</v>
      </c>
      <c r="D277" t="str">
        <f t="shared" si="10"/>
        <v>Avg Performing</v>
      </c>
    </row>
    <row r="278" spans="1:4" x14ac:dyDescent="0.3">
      <c r="A278" s="37" t="s">
        <v>57</v>
      </c>
      <c r="B278" s="58">
        <v>51</v>
      </c>
      <c r="C278" s="15">
        <f t="shared" si="9"/>
        <v>276</v>
      </c>
      <c r="D278" t="str">
        <f t="shared" si="10"/>
        <v>Avg Performing</v>
      </c>
    </row>
    <row r="279" spans="1:4" x14ac:dyDescent="0.3">
      <c r="A279" s="37" t="s">
        <v>33</v>
      </c>
      <c r="B279" s="58">
        <v>49</v>
      </c>
      <c r="C279" s="15">
        <f t="shared" si="9"/>
        <v>278</v>
      </c>
      <c r="D279" t="str">
        <f t="shared" si="10"/>
        <v>Avg Performing</v>
      </c>
    </row>
    <row r="280" spans="1:4" x14ac:dyDescent="0.3">
      <c r="A280" s="37" t="s">
        <v>57</v>
      </c>
      <c r="B280" s="58">
        <v>49</v>
      </c>
      <c r="C280" s="15">
        <f t="shared" si="9"/>
        <v>278</v>
      </c>
      <c r="D280" t="str">
        <f t="shared" si="10"/>
        <v>Avg Performing</v>
      </c>
    </row>
    <row r="281" spans="1:4" x14ac:dyDescent="0.3">
      <c r="A281" s="38" t="s">
        <v>601</v>
      </c>
      <c r="B281" s="58">
        <v>49</v>
      </c>
      <c r="C281" s="15">
        <f t="shared" si="9"/>
        <v>278</v>
      </c>
      <c r="D281" t="str">
        <f t="shared" si="10"/>
        <v>Avg Performing</v>
      </c>
    </row>
    <row r="282" spans="1:4" x14ac:dyDescent="0.3">
      <c r="A282" s="37" t="s">
        <v>33</v>
      </c>
      <c r="B282" s="58">
        <v>47</v>
      </c>
      <c r="C282" s="15">
        <f t="shared" si="9"/>
        <v>281</v>
      </c>
      <c r="D282" t="str">
        <f t="shared" si="10"/>
        <v>Avg Performing</v>
      </c>
    </row>
    <row r="283" spans="1:4" x14ac:dyDescent="0.3">
      <c r="A283" s="37" t="s">
        <v>57</v>
      </c>
      <c r="B283" s="58">
        <v>46</v>
      </c>
      <c r="C283" s="15">
        <f t="shared" si="9"/>
        <v>282</v>
      </c>
      <c r="D283" t="str">
        <f t="shared" si="10"/>
        <v>Avg Performing</v>
      </c>
    </row>
    <row r="284" spans="1:4" x14ac:dyDescent="0.3">
      <c r="A284" s="37" t="s">
        <v>26</v>
      </c>
      <c r="B284" s="58">
        <v>45</v>
      </c>
      <c r="C284" s="15">
        <f t="shared" si="9"/>
        <v>283</v>
      </c>
      <c r="D284" t="str">
        <f t="shared" si="10"/>
        <v>Avg Performing</v>
      </c>
    </row>
    <row r="285" spans="1:4" x14ac:dyDescent="0.3">
      <c r="A285" s="37" t="s">
        <v>57</v>
      </c>
      <c r="B285" s="58">
        <v>44</v>
      </c>
      <c r="C285" s="15">
        <f t="shared" si="9"/>
        <v>284</v>
      </c>
      <c r="D285" t="str">
        <f t="shared" si="10"/>
        <v>Avg Performing</v>
      </c>
    </row>
    <row r="286" spans="1:4" x14ac:dyDescent="0.3">
      <c r="A286" s="37" t="s">
        <v>26</v>
      </c>
      <c r="B286" s="58">
        <v>44</v>
      </c>
      <c r="C286" s="15">
        <f t="shared" si="9"/>
        <v>284</v>
      </c>
      <c r="D286" t="str">
        <f t="shared" si="10"/>
        <v>Avg Performing</v>
      </c>
    </row>
    <row r="287" spans="1:4" x14ac:dyDescent="0.3">
      <c r="A287" s="37" t="s">
        <v>26</v>
      </c>
      <c r="B287" s="58">
        <v>43</v>
      </c>
      <c r="C287" s="15">
        <f t="shared" si="9"/>
        <v>286</v>
      </c>
      <c r="D287" t="str">
        <f t="shared" si="10"/>
        <v>Avg Performing</v>
      </c>
    </row>
    <row r="288" spans="1:4" x14ac:dyDescent="0.3">
      <c r="A288" s="37" t="s">
        <v>57</v>
      </c>
      <c r="B288" s="58">
        <v>43</v>
      </c>
      <c r="C288" s="15">
        <f t="shared" si="9"/>
        <v>286</v>
      </c>
      <c r="D288" t="str">
        <f t="shared" si="10"/>
        <v>Avg Performing</v>
      </c>
    </row>
    <row r="289" spans="1:4" x14ac:dyDescent="0.3">
      <c r="A289" s="37" t="s">
        <v>26</v>
      </c>
      <c r="B289" s="58">
        <v>42</v>
      </c>
      <c r="C289" s="15">
        <f t="shared" si="9"/>
        <v>288</v>
      </c>
      <c r="D289" t="str">
        <f t="shared" si="10"/>
        <v>Avg Performing</v>
      </c>
    </row>
    <row r="290" spans="1:4" x14ac:dyDescent="0.3">
      <c r="A290" s="37" t="s">
        <v>33</v>
      </c>
      <c r="B290" s="58">
        <v>41</v>
      </c>
      <c r="C290" s="15">
        <f t="shared" si="9"/>
        <v>289</v>
      </c>
      <c r="D290" t="str">
        <f t="shared" si="10"/>
        <v>Avg Performing</v>
      </c>
    </row>
    <row r="291" spans="1:4" x14ac:dyDescent="0.3">
      <c r="A291" s="37" t="s">
        <v>26</v>
      </c>
      <c r="B291" s="58">
        <v>40</v>
      </c>
      <c r="C291" s="15">
        <f t="shared" si="9"/>
        <v>290</v>
      </c>
      <c r="D291" t="str">
        <f t="shared" si="10"/>
        <v>Avg Performing</v>
      </c>
    </row>
    <row r="292" spans="1:4" x14ac:dyDescent="0.3">
      <c r="A292" s="37" t="s">
        <v>33</v>
      </c>
      <c r="B292" s="58">
        <v>39</v>
      </c>
      <c r="C292" s="15">
        <f t="shared" si="9"/>
        <v>291</v>
      </c>
      <c r="D292" t="str">
        <f t="shared" si="10"/>
        <v>Avg Performing</v>
      </c>
    </row>
    <row r="293" spans="1:4" x14ac:dyDescent="0.3">
      <c r="A293" s="37" t="s">
        <v>57</v>
      </c>
      <c r="B293" s="58">
        <v>39</v>
      </c>
      <c r="C293" s="15">
        <f t="shared" si="9"/>
        <v>291</v>
      </c>
      <c r="D293" t="str">
        <f t="shared" si="10"/>
        <v>Avg Performing</v>
      </c>
    </row>
    <row r="294" spans="1:4" x14ac:dyDescent="0.3">
      <c r="A294" s="38" t="s">
        <v>587</v>
      </c>
      <c r="B294" s="58">
        <v>39</v>
      </c>
      <c r="C294" s="15">
        <f t="shared" si="9"/>
        <v>291</v>
      </c>
      <c r="D294" t="str">
        <f t="shared" si="10"/>
        <v>Avg Performing</v>
      </c>
    </row>
    <row r="295" spans="1:4" x14ac:dyDescent="0.3">
      <c r="A295" s="37" t="s">
        <v>57</v>
      </c>
      <c r="B295" s="58">
        <v>38</v>
      </c>
      <c r="C295" s="15">
        <f t="shared" si="9"/>
        <v>294</v>
      </c>
      <c r="D295" t="str">
        <f t="shared" si="10"/>
        <v>Avg Performing</v>
      </c>
    </row>
    <row r="296" spans="1:4" x14ac:dyDescent="0.3">
      <c r="A296" s="37" t="s">
        <v>33</v>
      </c>
      <c r="B296" s="58">
        <v>36</v>
      </c>
      <c r="C296" s="15">
        <f t="shared" si="9"/>
        <v>295</v>
      </c>
      <c r="D296" t="str">
        <f t="shared" si="10"/>
        <v>Avg Performing</v>
      </c>
    </row>
    <row r="297" spans="1:4" x14ac:dyDescent="0.3">
      <c r="A297" s="37" t="s">
        <v>26</v>
      </c>
      <c r="B297" s="58">
        <v>36</v>
      </c>
      <c r="C297" s="15">
        <f t="shared" si="9"/>
        <v>295</v>
      </c>
      <c r="D297" t="str">
        <f t="shared" si="10"/>
        <v>Avg Performing</v>
      </c>
    </row>
    <row r="298" spans="1:4" x14ac:dyDescent="0.3">
      <c r="A298" s="38" t="s">
        <v>601</v>
      </c>
      <c r="B298" s="58">
        <v>36</v>
      </c>
      <c r="C298" s="15">
        <f t="shared" si="9"/>
        <v>295</v>
      </c>
      <c r="D298" t="str">
        <f t="shared" si="10"/>
        <v>Avg Performing</v>
      </c>
    </row>
    <row r="299" spans="1:4" x14ac:dyDescent="0.3">
      <c r="A299" s="37" t="s">
        <v>33</v>
      </c>
      <c r="B299" s="58">
        <v>35</v>
      </c>
      <c r="C299" s="15">
        <f t="shared" si="9"/>
        <v>298</v>
      </c>
      <c r="D299" t="str">
        <f t="shared" si="10"/>
        <v>Avg Performing</v>
      </c>
    </row>
    <row r="300" spans="1:4" x14ac:dyDescent="0.3">
      <c r="A300" s="37" t="s">
        <v>26</v>
      </c>
      <c r="B300" s="58">
        <v>34</v>
      </c>
      <c r="C300" s="15">
        <f t="shared" si="9"/>
        <v>299</v>
      </c>
      <c r="D300" t="str">
        <f t="shared" si="10"/>
        <v>Avg Performing</v>
      </c>
    </row>
    <row r="301" spans="1:4" x14ac:dyDescent="0.3">
      <c r="A301" s="37" t="s">
        <v>57</v>
      </c>
      <c r="B301" s="58">
        <v>32</v>
      </c>
      <c r="C301" s="15">
        <f t="shared" si="9"/>
        <v>300</v>
      </c>
      <c r="D301" t="str">
        <f t="shared" si="10"/>
        <v>Avg Performing</v>
      </c>
    </row>
    <row r="302" spans="1:4" x14ac:dyDescent="0.3">
      <c r="A302" s="37" t="s">
        <v>57</v>
      </c>
      <c r="B302" s="58">
        <v>32</v>
      </c>
      <c r="C302" s="15">
        <f t="shared" si="9"/>
        <v>300</v>
      </c>
      <c r="D302" t="str">
        <f t="shared" si="10"/>
        <v>Avg Performing</v>
      </c>
    </row>
    <row r="303" spans="1:4" x14ac:dyDescent="0.3">
      <c r="A303" s="37" t="s">
        <v>33</v>
      </c>
      <c r="B303" s="58">
        <v>31</v>
      </c>
      <c r="C303" s="15">
        <f t="shared" si="9"/>
        <v>302</v>
      </c>
      <c r="D303" t="str">
        <f t="shared" si="10"/>
        <v>Avg Performing</v>
      </c>
    </row>
    <row r="304" spans="1:4" x14ac:dyDescent="0.3">
      <c r="A304" s="37" t="s">
        <v>57</v>
      </c>
      <c r="B304" s="58">
        <v>30</v>
      </c>
      <c r="C304" s="15">
        <f t="shared" si="9"/>
        <v>303</v>
      </c>
      <c r="D304" t="str">
        <f t="shared" si="10"/>
        <v>Avg Performing</v>
      </c>
    </row>
    <row r="305" spans="1:4" x14ac:dyDescent="0.3">
      <c r="A305" s="37" t="s">
        <v>57</v>
      </c>
      <c r="B305" s="58">
        <v>28</v>
      </c>
      <c r="C305" s="15">
        <f t="shared" si="9"/>
        <v>304</v>
      </c>
      <c r="D305" t="str">
        <f t="shared" si="10"/>
        <v>Avg Performing</v>
      </c>
    </row>
    <row r="306" spans="1:4" x14ac:dyDescent="0.3">
      <c r="A306" s="37" t="s">
        <v>26</v>
      </c>
      <c r="B306" s="58">
        <v>25</v>
      </c>
      <c r="C306" s="15">
        <f t="shared" si="9"/>
        <v>305</v>
      </c>
      <c r="D306" t="str">
        <f t="shared" si="10"/>
        <v>Avg Performing</v>
      </c>
    </row>
    <row r="307" spans="1:4" x14ac:dyDescent="0.3">
      <c r="A307" s="37" t="s">
        <v>26</v>
      </c>
      <c r="B307" s="58">
        <v>25</v>
      </c>
      <c r="C307" s="15">
        <f t="shared" si="9"/>
        <v>305</v>
      </c>
      <c r="D307" t="str">
        <f t="shared" si="10"/>
        <v>Avg Performing</v>
      </c>
    </row>
    <row r="308" spans="1:4" x14ac:dyDescent="0.3">
      <c r="A308" s="37" t="s">
        <v>26</v>
      </c>
      <c r="B308" s="58">
        <v>25</v>
      </c>
      <c r="C308" s="15">
        <f t="shared" si="9"/>
        <v>305</v>
      </c>
      <c r="D308" t="str">
        <f t="shared" si="10"/>
        <v>Avg Performing</v>
      </c>
    </row>
    <row r="309" spans="1:4" x14ac:dyDescent="0.3">
      <c r="A309" s="37" t="s">
        <v>26</v>
      </c>
      <c r="B309" s="58">
        <v>25</v>
      </c>
      <c r="C309" s="15">
        <f t="shared" si="9"/>
        <v>305</v>
      </c>
      <c r="D309" t="str">
        <f t="shared" si="10"/>
        <v>Avg Performing</v>
      </c>
    </row>
    <row r="310" spans="1:4" x14ac:dyDescent="0.3">
      <c r="A310" s="37" t="s">
        <v>33</v>
      </c>
      <c r="B310" s="58">
        <v>25</v>
      </c>
      <c r="C310" s="15">
        <f t="shared" si="9"/>
        <v>305</v>
      </c>
      <c r="D310" t="str">
        <f t="shared" si="10"/>
        <v>Avg Performing</v>
      </c>
    </row>
    <row r="311" spans="1:4" x14ac:dyDescent="0.3">
      <c r="A311" s="38" t="s">
        <v>33</v>
      </c>
      <c r="B311" s="58">
        <v>25</v>
      </c>
      <c r="C311" s="15">
        <f t="shared" si="9"/>
        <v>305</v>
      </c>
      <c r="D311" t="str">
        <f t="shared" si="10"/>
        <v>Avg Performing</v>
      </c>
    </row>
    <row r="312" spans="1:4" x14ac:dyDescent="0.3">
      <c r="A312" s="38" t="s">
        <v>602</v>
      </c>
      <c r="B312" s="59">
        <v>25</v>
      </c>
      <c r="C312" s="15">
        <f t="shared" si="9"/>
        <v>305</v>
      </c>
      <c r="D312" t="str">
        <f t="shared" si="10"/>
        <v>Avg Performing</v>
      </c>
    </row>
    <row r="313" spans="1:4" x14ac:dyDescent="0.3">
      <c r="A313" s="37" t="s">
        <v>33</v>
      </c>
      <c r="B313" s="58">
        <v>24</v>
      </c>
      <c r="C313" s="15">
        <f t="shared" si="9"/>
        <v>312</v>
      </c>
      <c r="D313" t="str">
        <f t="shared" si="10"/>
        <v>Avg Performing</v>
      </c>
    </row>
    <row r="314" spans="1:4" x14ac:dyDescent="0.3">
      <c r="A314" s="37" t="s">
        <v>26</v>
      </c>
      <c r="B314" s="58">
        <v>23</v>
      </c>
      <c r="C314" s="15">
        <f t="shared" si="9"/>
        <v>313</v>
      </c>
      <c r="D314" t="str">
        <f t="shared" si="10"/>
        <v>Avg Performing</v>
      </c>
    </row>
    <row r="315" spans="1:4" x14ac:dyDescent="0.3">
      <c r="A315" s="37" t="s">
        <v>33</v>
      </c>
      <c r="B315" s="58">
        <v>22</v>
      </c>
      <c r="C315" s="15">
        <f t="shared" si="9"/>
        <v>314</v>
      </c>
      <c r="D315" t="str">
        <f t="shared" si="10"/>
        <v>Avg Performing</v>
      </c>
    </row>
    <row r="316" spans="1:4" x14ac:dyDescent="0.3">
      <c r="A316" s="37" t="s">
        <v>57</v>
      </c>
      <c r="B316" s="58">
        <v>21</v>
      </c>
      <c r="C316" s="15">
        <f t="shared" si="9"/>
        <v>315</v>
      </c>
      <c r="D316" t="str">
        <f t="shared" si="10"/>
        <v>Avg Performing</v>
      </c>
    </row>
    <row r="317" spans="1:4" x14ac:dyDescent="0.3">
      <c r="A317" s="37" t="s">
        <v>57</v>
      </c>
      <c r="B317" s="58">
        <v>21</v>
      </c>
      <c r="C317" s="15">
        <f t="shared" si="9"/>
        <v>315</v>
      </c>
      <c r="D317" t="str">
        <f t="shared" si="10"/>
        <v>Avg Performing</v>
      </c>
    </row>
    <row r="318" spans="1:4" x14ac:dyDescent="0.3">
      <c r="A318" s="37" t="s">
        <v>57</v>
      </c>
      <c r="B318" s="58">
        <v>20</v>
      </c>
      <c r="C318" s="15">
        <f t="shared" si="9"/>
        <v>317</v>
      </c>
      <c r="D318" t="str">
        <f t="shared" si="10"/>
        <v>Avg Performing</v>
      </c>
    </row>
    <row r="319" spans="1:4" x14ac:dyDescent="0.3">
      <c r="A319" s="37" t="s">
        <v>26</v>
      </c>
      <c r="B319" s="58">
        <v>20</v>
      </c>
      <c r="C319" s="15">
        <f t="shared" si="9"/>
        <v>317</v>
      </c>
      <c r="D319" t="str">
        <f t="shared" si="10"/>
        <v>Avg Performing</v>
      </c>
    </row>
    <row r="320" spans="1:4" x14ac:dyDescent="0.3">
      <c r="A320" s="37" t="s">
        <v>57</v>
      </c>
      <c r="B320" s="58">
        <v>20</v>
      </c>
      <c r="C320" s="15">
        <f t="shared" si="9"/>
        <v>317</v>
      </c>
      <c r="D320" t="str">
        <f t="shared" si="10"/>
        <v>Avg Performing</v>
      </c>
    </row>
    <row r="321" spans="1:4" x14ac:dyDescent="0.3">
      <c r="A321" s="37" t="s">
        <v>57</v>
      </c>
      <c r="B321" s="58">
        <v>19</v>
      </c>
      <c r="C321" s="15">
        <f t="shared" si="9"/>
        <v>320</v>
      </c>
      <c r="D321" t="str">
        <f t="shared" si="10"/>
        <v>Avg Performing</v>
      </c>
    </row>
    <row r="322" spans="1:4" x14ac:dyDescent="0.3">
      <c r="A322" s="37" t="s">
        <v>33</v>
      </c>
      <c r="B322" s="58">
        <v>19</v>
      </c>
      <c r="C322" s="15">
        <f t="shared" ref="C322:C340" si="11">_xlfn.RANK.EQ(B322, B:B, 0)</f>
        <v>320</v>
      </c>
      <c r="D322" t="str">
        <f t="shared" ref="D322:D340" si="12">IF(C322&lt;=10,"Top Performing","Avg Performing")</f>
        <v>Avg Performing</v>
      </c>
    </row>
    <row r="323" spans="1:4" x14ac:dyDescent="0.3">
      <c r="A323" s="37" t="s">
        <v>33</v>
      </c>
      <c r="B323" s="58">
        <v>19</v>
      </c>
      <c r="C323" s="15">
        <f t="shared" si="11"/>
        <v>320</v>
      </c>
      <c r="D323" t="str">
        <f t="shared" si="12"/>
        <v>Avg Performing</v>
      </c>
    </row>
    <row r="324" spans="1:4" x14ac:dyDescent="0.3">
      <c r="A324" s="37" t="s">
        <v>57</v>
      </c>
      <c r="B324" s="58">
        <v>17</v>
      </c>
      <c r="C324" s="15">
        <f t="shared" si="11"/>
        <v>323</v>
      </c>
      <c r="D324" t="str">
        <f t="shared" si="12"/>
        <v>Avg Performing</v>
      </c>
    </row>
    <row r="325" spans="1:4" x14ac:dyDescent="0.3">
      <c r="A325" s="37" t="s">
        <v>57</v>
      </c>
      <c r="B325" s="58">
        <v>17</v>
      </c>
      <c r="C325" s="15">
        <f t="shared" si="11"/>
        <v>323</v>
      </c>
      <c r="D325" t="str">
        <f t="shared" si="12"/>
        <v>Avg Performing</v>
      </c>
    </row>
    <row r="326" spans="1:4" x14ac:dyDescent="0.3">
      <c r="A326" s="37" t="s">
        <v>57</v>
      </c>
      <c r="B326" s="58">
        <v>15</v>
      </c>
      <c r="C326" s="15">
        <f t="shared" si="11"/>
        <v>325</v>
      </c>
      <c r="D326" t="str">
        <f t="shared" si="12"/>
        <v>Avg Performing</v>
      </c>
    </row>
    <row r="327" spans="1:4" x14ac:dyDescent="0.3">
      <c r="A327" s="38" t="s">
        <v>601</v>
      </c>
      <c r="B327" s="58">
        <v>15</v>
      </c>
      <c r="C327" s="15">
        <f t="shared" si="11"/>
        <v>325</v>
      </c>
      <c r="D327" t="str">
        <f t="shared" si="12"/>
        <v>Avg Performing</v>
      </c>
    </row>
    <row r="328" spans="1:4" x14ac:dyDescent="0.3">
      <c r="A328" s="37" t="s">
        <v>26</v>
      </c>
      <c r="B328" s="58">
        <v>14</v>
      </c>
      <c r="C328" s="15">
        <f t="shared" si="11"/>
        <v>327</v>
      </c>
      <c r="D328" t="str">
        <f t="shared" si="12"/>
        <v>Avg Performing</v>
      </c>
    </row>
    <row r="329" spans="1:4" x14ac:dyDescent="0.3">
      <c r="A329" s="37" t="s">
        <v>57</v>
      </c>
      <c r="B329" s="58">
        <v>12</v>
      </c>
      <c r="C329" s="15">
        <f t="shared" si="11"/>
        <v>328</v>
      </c>
      <c r="D329" t="str">
        <f t="shared" si="12"/>
        <v>Avg Performing</v>
      </c>
    </row>
    <row r="330" spans="1:4" x14ac:dyDescent="0.3">
      <c r="A330" s="37" t="s">
        <v>33</v>
      </c>
      <c r="B330" s="58">
        <v>12</v>
      </c>
      <c r="C330" s="15">
        <f t="shared" si="11"/>
        <v>328</v>
      </c>
      <c r="D330" t="str">
        <f t="shared" si="12"/>
        <v>Avg Performing</v>
      </c>
    </row>
    <row r="331" spans="1:4" x14ac:dyDescent="0.3">
      <c r="A331" s="37" t="s">
        <v>33</v>
      </c>
      <c r="B331" s="58">
        <v>11</v>
      </c>
      <c r="C331" s="15">
        <f t="shared" si="11"/>
        <v>330</v>
      </c>
      <c r="D331" t="str">
        <f t="shared" si="12"/>
        <v>Avg Performing</v>
      </c>
    </row>
    <row r="332" spans="1:4" x14ac:dyDescent="0.3">
      <c r="A332" s="37" t="s">
        <v>26</v>
      </c>
      <c r="B332" s="58">
        <v>11</v>
      </c>
      <c r="C332" s="15">
        <f t="shared" si="11"/>
        <v>330</v>
      </c>
      <c r="D332" t="str">
        <f t="shared" si="12"/>
        <v>Avg Performing</v>
      </c>
    </row>
    <row r="333" spans="1:4" x14ac:dyDescent="0.3">
      <c r="A333" s="38" t="s">
        <v>602</v>
      </c>
      <c r="B333" s="58">
        <v>11</v>
      </c>
      <c r="C333" s="15">
        <f t="shared" si="11"/>
        <v>330</v>
      </c>
      <c r="D333" t="str">
        <f t="shared" si="12"/>
        <v>Avg Performing</v>
      </c>
    </row>
    <row r="334" spans="1:4" x14ac:dyDescent="0.3">
      <c r="A334" s="37" t="s">
        <v>33</v>
      </c>
      <c r="B334" s="58">
        <v>10</v>
      </c>
      <c r="C334" s="15">
        <f t="shared" si="11"/>
        <v>333</v>
      </c>
      <c r="D334" t="str">
        <f t="shared" si="12"/>
        <v>Avg Performing</v>
      </c>
    </row>
    <row r="335" spans="1:4" x14ac:dyDescent="0.3">
      <c r="A335" s="37" t="s">
        <v>33</v>
      </c>
      <c r="B335" s="58">
        <v>10</v>
      </c>
      <c r="C335" s="15">
        <f t="shared" si="11"/>
        <v>333</v>
      </c>
      <c r="D335" t="str">
        <f t="shared" si="12"/>
        <v>Avg Performing</v>
      </c>
    </row>
    <row r="336" spans="1:4" x14ac:dyDescent="0.3">
      <c r="A336" s="37" t="s">
        <v>26</v>
      </c>
      <c r="B336" s="58">
        <v>10</v>
      </c>
      <c r="C336" s="15">
        <f t="shared" si="11"/>
        <v>333</v>
      </c>
      <c r="D336" t="str">
        <f t="shared" si="12"/>
        <v>Avg Performing</v>
      </c>
    </row>
    <row r="337" spans="1:4" x14ac:dyDescent="0.3">
      <c r="A337" s="37" t="s">
        <v>26</v>
      </c>
      <c r="B337" s="58">
        <v>10</v>
      </c>
      <c r="C337" s="15">
        <f t="shared" si="11"/>
        <v>333</v>
      </c>
      <c r="D337" t="str">
        <f t="shared" si="12"/>
        <v>Avg Performing</v>
      </c>
    </row>
    <row r="338" spans="1:4" x14ac:dyDescent="0.3">
      <c r="A338" s="38" t="s">
        <v>587</v>
      </c>
      <c r="B338" s="58">
        <v>10</v>
      </c>
      <c r="C338" s="15">
        <f t="shared" si="11"/>
        <v>333</v>
      </c>
      <c r="D338" t="str">
        <f t="shared" si="12"/>
        <v>Avg Performing</v>
      </c>
    </row>
    <row r="339" spans="1:4" x14ac:dyDescent="0.3">
      <c r="A339" s="38" t="s">
        <v>33</v>
      </c>
      <c r="B339" s="58">
        <v>10</v>
      </c>
      <c r="C339" s="15">
        <f t="shared" si="11"/>
        <v>333</v>
      </c>
      <c r="D339" t="str">
        <f t="shared" si="12"/>
        <v>Avg Performing</v>
      </c>
    </row>
    <row r="340" spans="1:4" x14ac:dyDescent="0.3">
      <c r="A340" s="38" t="s">
        <v>602</v>
      </c>
      <c r="B340" s="59">
        <v>10</v>
      </c>
      <c r="C340" s="15">
        <f t="shared" si="11"/>
        <v>333</v>
      </c>
      <c r="D340" t="str">
        <f t="shared" si="12"/>
        <v>Avg Performing</v>
      </c>
    </row>
    <row r="341" spans="1:4" x14ac:dyDescent="0.3">
      <c r="B341" s="58"/>
    </row>
    <row r="342" spans="1:4" x14ac:dyDescent="0.3">
      <c r="B342" s="58"/>
    </row>
    <row r="343" spans="1:4" x14ac:dyDescent="0.3">
      <c r="B343" s="58"/>
    </row>
    <row r="344" spans="1:4" x14ac:dyDescent="0.3">
      <c r="B344" s="58"/>
    </row>
    <row r="345" spans="1:4" x14ac:dyDescent="0.3">
      <c r="B345" s="58"/>
    </row>
  </sheetData>
  <conditionalFormatting sqref="C1:C11">
    <cfRule type="cellIs" dxfId="4" priority="1" operator="lessThan">
      <formula>11</formula>
    </cfRule>
  </conditionalFormatting>
  <conditionalFormatting sqref="C1:C340">
    <cfRule type="cellIs" dxfId="3" priority="4" operator="lessThan">
      <formula>6</formula>
    </cfRule>
  </conditionalFormatting>
  <conditionalFormatting sqref="C2:C340">
    <cfRule type="cellIs" dxfId="2" priority="2" operator="lessThan">
      <formula>10</formula>
    </cfRule>
  </conditionalFormatting>
  <conditionalFormatting sqref="D2:D340">
    <cfRule type="containsText" dxfId="1" priority="3" operator="containsText" text="Top Performing">
      <formula>NOT(ISERROR(SEARCH("Top Performing",D2)))</formula>
    </cfRule>
  </conditionalFormatting>
  <conditionalFormatting sqref="E14:E19">
    <cfRule type="top10" dxfId="0" priority="5" rank="10"/>
  </conditionalFormatting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71498-B671-46DE-98DF-93BE0FA3B798}">
  <sheetPr codeName="Sheet4">
    <tabColor theme="8" tint="0.39997558519241921"/>
  </sheetPr>
  <dimension ref="A1:AK201"/>
  <sheetViews>
    <sheetView topLeftCell="F1" zoomScale="54" zoomScaleNormal="55" workbookViewId="0">
      <selection activeCell="N7" sqref="N7"/>
    </sheetView>
  </sheetViews>
  <sheetFormatPr defaultRowHeight="14.4" x14ac:dyDescent="0.3"/>
  <cols>
    <col min="1" max="1" width="12.5546875" bestFit="1" customWidth="1"/>
    <col min="2" max="2" width="26.33203125" style="15" bestFit="1" customWidth="1"/>
    <col min="3" max="3" width="11.77734375" style="15" customWidth="1"/>
    <col min="4" max="4" width="16.77734375" style="15" customWidth="1"/>
    <col min="5" max="5" width="18.88671875" style="15" customWidth="1"/>
    <col min="6" max="6" width="11.77734375" style="54" customWidth="1"/>
    <col min="7" max="7" width="15.109375" customWidth="1"/>
    <col min="9" max="9" width="10.33203125" bestFit="1" customWidth="1"/>
    <col min="10" max="10" width="30" bestFit="1" customWidth="1"/>
    <col min="11" max="11" width="8" customWidth="1"/>
    <col min="12" max="12" width="9.21875" hidden="1" customWidth="1"/>
    <col min="13" max="13" width="15.33203125" customWidth="1"/>
    <col min="14" max="14" width="26.109375" customWidth="1"/>
    <col min="15" max="15" width="26.21875" bestFit="1" customWidth="1"/>
    <col min="16" max="16" width="11.88671875" customWidth="1"/>
    <col min="22" max="22" width="11.77734375" customWidth="1"/>
    <col min="23" max="23" width="23.77734375" customWidth="1"/>
  </cols>
  <sheetData>
    <row r="1" spans="1:37" x14ac:dyDescent="0.3">
      <c r="A1" s="1" t="s">
        <v>1</v>
      </c>
      <c r="B1" s="50" t="s">
        <v>548</v>
      </c>
      <c r="C1" s="55" t="s">
        <v>549</v>
      </c>
      <c r="D1" s="50" t="s">
        <v>550</v>
      </c>
      <c r="E1" s="50" t="s">
        <v>551</v>
      </c>
      <c r="F1" s="52" t="s">
        <v>552</v>
      </c>
      <c r="G1" s="189" t="s">
        <v>722</v>
      </c>
    </row>
    <row r="2" spans="1:37" x14ac:dyDescent="0.3">
      <c r="A2" s="5" t="s">
        <v>23</v>
      </c>
      <c r="B2" s="51">
        <v>152</v>
      </c>
      <c r="C2" s="51">
        <v>355</v>
      </c>
      <c r="D2" s="51">
        <v>270766</v>
      </c>
      <c r="E2" s="51">
        <v>9.48</v>
      </c>
      <c r="F2" s="53">
        <v>18001</v>
      </c>
      <c r="G2" s="47">
        <f t="shared" ref="G2:G33" si="0">((B2-C2)/D2)</f>
        <v>-7.4972485467156139E-4</v>
      </c>
    </row>
    <row r="3" spans="1:37" x14ac:dyDescent="0.3">
      <c r="A3" s="5" t="s">
        <v>39</v>
      </c>
      <c r="B3" s="51">
        <v>988</v>
      </c>
      <c r="C3" s="51">
        <v>474</v>
      </c>
      <c r="D3" s="51">
        <v>370070</v>
      </c>
      <c r="E3" s="51">
        <v>9.4600000000000009</v>
      </c>
      <c r="F3" s="53">
        <v>23461</v>
      </c>
      <c r="G3" s="47">
        <f t="shared" si="0"/>
        <v>1.3889264193260734E-3</v>
      </c>
    </row>
    <row r="4" spans="1:37" ht="23.4" x14ac:dyDescent="0.3">
      <c r="A4" s="5" t="s">
        <v>592</v>
      </c>
      <c r="B4" s="51">
        <v>826</v>
      </c>
      <c r="C4" s="51">
        <v>498</v>
      </c>
      <c r="D4" s="51">
        <v>449994</v>
      </c>
      <c r="E4" s="51">
        <v>9.43</v>
      </c>
      <c r="F4" s="53">
        <v>12384</v>
      </c>
      <c r="G4" s="47">
        <f t="shared" si="0"/>
        <v>7.2889860753698943E-4</v>
      </c>
      <c r="M4" s="45" t="s">
        <v>1</v>
      </c>
      <c r="N4" t="s">
        <v>615</v>
      </c>
      <c r="V4" s="45" t="s">
        <v>1</v>
      </c>
      <c r="W4" t="s">
        <v>644</v>
      </c>
      <c r="AE4" s="141" t="s">
        <v>679</v>
      </c>
      <c r="AF4" s="137"/>
      <c r="AG4" s="137"/>
      <c r="AH4" s="137"/>
      <c r="AI4" s="137"/>
    </row>
    <row r="5" spans="1:37" ht="15.6" x14ac:dyDescent="0.3">
      <c r="A5" s="5" t="s">
        <v>29</v>
      </c>
      <c r="B5" s="51">
        <v>187</v>
      </c>
      <c r="C5" s="51">
        <v>236</v>
      </c>
      <c r="D5" s="51">
        <v>51087</v>
      </c>
      <c r="E5" s="51">
        <v>9.41</v>
      </c>
      <c r="F5" s="53">
        <v>29533</v>
      </c>
      <c r="G5" s="47">
        <f t="shared" si="0"/>
        <v>-9.5914811987394058E-4</v>
      </c>
      <c r="M5" s="46" t="s">
        <v>39</v>
      </c>
      <c r="N5" s="42">
        <v>5.6486000000000001</v>
      </c>
      <c r="V5" s="46" t="s">
        <v>39</v>
      </c>
      <c r="W5" s="48">
        <v>5.4649906832972654E-3</v>
      </c>
      <c r="AD5" s="139"/>
      <c r="AE5" s="140"/>
      <c r="AF5" s="140"/>
      <c r="AG5" s="140"/>
      <c r="AH5" s="140"/>
      <c r="AI5" s="140"/>
      <c r="AJ5" s="138"/>
      <c r="AK5" s="138"/>
    </row>
    <row r="6" spans="1:37" ht="15.6" x14ac:dyDescent="0.3">
      <c r="A6" s="5" t="s">
        <v>23</v>
      </c>
      <c r="B6" s="51">
        <v>510</v>
      </c>
      <c r="C6" s="51">
        <v>195</v>
      </c>
      <c r="D6" s="51">
        <v>224534</v>
      </c>
      <c r="E6" s="51">
        <v>9.4</v>
      </c>
      <c r="F6" s="53">
        <v>30987</v>
      </c>
      <c r="G6" s="47">
        <f t="shared" si="0"/>
        <v>1.4029055733207443E-3</v>
      </c>
      <c r="M6" s="46" t="s">
        <v>29</v>
      </c>
      <c r="N6" s="42">
        <v>5.7156000000000002</v>
      </c>
      <c r="V6" s="46" t="s">
        <v>29</v>
      </c>
      <c r="W6" s="48">
        <v>5.7625321264951814E-3</v>
      </c>
      <c r="AD6" s="190" t="s">
        <v>723</v>
      </c>
      <c r="AE6" s="190"/>
      <c r="AF6" s="190"/>
      <c r="AG6" s="190"/>
      <c r="AH6" s="190"/>
      <c r="AI6" s="190"/>
      <c r="AJ6" s="190"/>
      <c r="AK6" s="138"/>
    </row>
    <row r="7" spans="1:37" ht="15.6" x14ac:dyDescent="0.3">
      <c r="A7" s="5" t="s">
        <v>39</v>
      </c>
      <c r="B7" s="51">
        <v>1098</v>
      </c>
      <c r="C7" s="51">
        <v>190</v>
      </c>
      <c r="D7" s="51">
        <v>340842</v>
      </c>
      <c r="E7" s="51">
        <v>9.39</v>
      </c>
      <c r="F7" s="53">
        <v>21539</v>
      </c>
      <c r="G7" s="47">
        <f t="shared" si="0"/>
        <v>2.6639909400836752E-3</v>
      </c>
      <c r="M7" s="46" t="s">
        <v>592</v>
      </c>
      <c r="N7" s="42">
        <v>5.6558000000000002</v>
      </c>
      <c r="V7" s="46" t="s">
        <v>23</v>
      </c>
      <c r="W7" s="48">
        <v>9.021066631336009E-3</v>
      </c>
      <c r="AD7" s="191" t="s">
        <v>725</v>
      </c>
      <c r="AE7" s="190"/>
      <c r="AF7" s="190"/>
      <c r="AG7" s="140"/>
      <c r="AH7" s="140"/>
      <c r="AI7" s="140"/>
      <c r="AJ7" s="138"/>
      <c r="AK7" s="138"/>
    </row>
    <row r="8" spans="1:37" ht="15.6" x14ac:dyDescent="0.3">
      <c r="A8" s="5" t="s">
        <v>29</v>
      </c>
      <c r="B8" s="51">
        <v>226</v>
      </c>
      <c r="C8" s="51">
        <v>445</v>
      </c>
      <c r="D8" s="51">
        <v>419447</v>
      </c>
      <c r="E8" s="51">
        <v>9.36</v>
      </c>
      <c r="F8" s="53">
        <v>9566</v>
      </c>
      <c r="G8" s="47">
        <f t="shared" si="0"/>
        <v>-5.2211602419375983E-4</v>
      </c>
      <c r="M8" s="46" t="s">
        <v>23</v>
      </c>
      <c r="N8" s="42">
        <v>5.5587999999999997</v>
      </c>
      <c r="V8" s="46" t="s">
        <v>592</v>
      </c>
      <c r="W8" s="48">
        <v>9.2800256766213379E-3</v>
      </c>
      <c r="AD8" s="191" t="s">
        <v>724</v>
      </c>
      <c r="AE8" s="190"/>
      <c r="AF8" s="190"/>
      <c r="AG8" s="140"/>
      <c r="AH8" s="140"/>
      <c r="AI8" s="140"/>
      <c r="AJ8" s="138"/>
      <c r="AK8" s="138"/>
    </row>
    <row r="9" spans="1:37" ht="15.6" x14ac:dyDescent="0.3">
      <c r="A9" s="5" t="s">
        <v>23</v>
      </c>
      <c r="B9" s="51">
        <v>307</v>
      </c>
      <c r="C9" s="51">
        <v>189</v>
      </c>
      <c r="D9" s="51">
        <v>117767</v>
      </c>
      <c r="E9" s="51">
        <v>9.3000000000000007</v>
      </c>
      <c r="F9" s="53">
        <v>27822</v>
      </c>
      <c r="G9" s="47">
        <f t="shared" si="0"/>
        <v>1.0019784829366461E-3</v>
      </c>
      <c r="AD9" s="139"/>
      <c r="AE9" s="140"/>
      <c r="AF9" s="140"/>
      <c r="AG9" s="140"/>
      <c r="AH9" s="140"/>
      <c r="AI9" s="140"/>
      <c r="AJ9" s="138"/>
      <c r="AK9" s="138"/>
    </row>
    <row r="10" spans="1:37" x14ac:dyDescent="0.3">
      <c r="A10" s="5" t="s">
        <v>592</v>
      </c>
      <c r="B10" s="51">
        <v>751</v>
      </c>
      <c r="C10" s="51">
        <v>491</v>
      </c>
      <c r="D10" s="51">
        <v>434047</v>
      </c>
      <c r="E10" s="51">
        <v>9.24</v>
      </c>
      <c r="F10" s="53">
        <v>15476</v>
      </c>
      <c r="G10" s="47">
        <f t="shared" si="0"/>
        <v>5.990134708914012E-4</v>
      </c>
    </row>
    <row r="11" spans="1:37" ht="15.6" x14ac:dyDescent="0.3">
      <c r="A11" s="5" t="s">
        <v>29</v>
      </c>
      <c r="B11" s="51">
        <v>1748</v>
      </c>
      <c r="C11" s="51">
        <v>176</v>
      </c>
      <c r="D11" s="51">
        <v>383681</v>
      </c>
      <c r="E11" s="51">
        <v>9.24</v>
      </c>
      <c r="F11" s="53">
        <v>43122</v>
      </c>
      <c r="G11" s="47">
        <f t="shared" si="0"/>
        <v>4.0971536250166149E-3</v>
      </c>
      <c r="M11" s="130" t="s">
        <v>639</v>
      </c>
      <c r="N11" s="130"/>
      <c r="O11" s="96"/>
      <c r="P11" s="97"/>
      <c r="V11" s="96" t="s">
        <v>642</v>
      </c>
      <c r="W11" s="96"/>
      <c r="X11" s="96"/>
      <c r="Y11" s="97"/>
      <c r="Z11" s="97"/>
      <c r="AA11" s="97"/>
    </row>
    <row r="12" spans="1:37" ht="15.6" x14ac:dyDescent="0.3">
      <c r="A12" s="5" t="s">
        <v>29</v>
      </c>
      <c r="B12" s="51">
        <v>115</v>
      </c>
      <c r="C12" s="51">
        <v>281</v>
      </c>
      <c r="D12" s="51">
        <v>357265</v>
      </c>
      <c r="E12" s="51">
        <v>9.23</v>
      </c>
      <c r="F12" s="53">
        <v>25525</v>
      </c>
      <c r="G12" s="47">
        <f t="shared" si="0"/>
        <v>-4.6464109274628077E-4</v>
      </c>
      <c r="M12" s="130" t="s">
        <v>640</v>
      </c>
      <c r="N12" s="130"/>
      <c r="O12" s="96"/>
      <c r="P12" s="97"/>
      <c r="V12" s="96" t="s">
        <v>643</v>
      </c>
      <c r="W12" s="96"/>
      <c r="X12" s="96"/>
      <c r="Y12" s="97"/>
      <c r="Z12" s="97"/>
      <c r="AA12" s="97"/>
    </row>
    <row r="13" spans="1:37" ht="15.6" x14ac:dyDescent="0.3">
      <c r="A13" s="5" t="s">
        <v>39</v>
      </c>
      <c r="B13" s="51">
        <v>443</v>
      </c>
      <c r="C13" s="51">
        <v>345</v>
      </c>
      <c r="D13" s="51">
        <v>474162</v>
      </c>
      <c r="E13" s="51">
        <v>9.1999999999999993</v>
      </c>
      <c r="F13" s="53">
        <v>47462</v>
      </c>
      <c r="G13" s="47">
        <f t="shared" si="0"/>
        <v>2.0668041724136477E-4</v>
      </c>
      <c r="M13" s="130" t="s">
        <v>641</v>
      </c>
      <c r="N13" s="130"/>
      <c r="O13" s="96"/>
      <c r="P13" s="97"/>
    </row>
    <row r="14" spans="1:37" x14ac:dyDescent="0.3">
      <c r="A14" s="5" t="s">
        <v>39</v>
      </c>
      <c r="B14" s="51">
        <v>1779</v>
      </c>
      <c r="C14" s="51">
        <v>109</v>
      </c>
      <c r="D14" s="51">
        <v>26295</v>
      </c>
      <c r="E14" s="51">
        <v>9.1199999999999992</v>
      </c>
      <c r="F14" s="53">
        <v>30635</v>
      </c>
      <c r="G14" s="47">
        <f t="shared" si="0"/>
        <v>6.3510173036698994E-2</v>
      </c>
    </row>
    <row r="15" spans="1:37" x14ac:dyDescent="0.3">
      <c r="A15" s="5" t="s">
        <v>29</v>
      </c>
      <c r="B15" s="51">
        <v>1592</v>
      </c>
      <c r="C15" s="51">
        <v>20</v>
      </c>
      <c r="D15" s="51">
        <v>378054</v>
      </c>
      <c r="E15" s="51">
        <v>9.09</v>
      </c>
      <c r="F15" s="53">
        <v>26663</v>
      </c>
      <c r="G15" s="47">
        <f t="shared" si="0"/>
        <v>4.1581361392816901E-3</v>
      </c>
    </row>
    <row r="16" spans="1:37" ht="18" x14ac:dyDescent="0.35">
      <c r="A16" s="5" t="s">
        <v>23</v>
      </c>
      <c r="B16" s="51">
        <v>1662</v>
      </c>
      <c r="C16" s="51">
        <v>487</v>
      </c>
      <c r="D16" s="51">
        <v>105980</v>
      </c>
      <c r="E16" s="51">
        <v>9.08</v>
      </c>
      <c r="F16" s="53">
        <v>22996</v>
      </c>
      <c r="G16" s="47">
        <f t="shared" si="0"/>
        <v>1.1086997546706926E-2</v>
      </c>
      <c r="O16" s="98" t="s">
        <v>645</v>
      </c>
      <c r="P16" s="98"/>
      <c r="Q16" s="98"/>
      <c r="R16" s="98"/>
      <c r="S16" s="98"/>
      <c r="T16" s="98"/>
      <c r="U16" s="97"/>
      <c r="V16" s="97"/>
      <c r="W16" s="97"/>
    </row>
    <row r="17" spans="1:23" ht="18" x14ac:dyDescent="0.35">
      <c r="A17" s="5" t="s">
        <v>29</v>
      </c>
      <c r="B17" s="51">
        <v>656</v>
      </c>
      <c r="C17" s="51">
        <v>139</v>
      </c>
      <c r="D17" s="51">
        <v>49157</v>
      </c>
      <c r="E17" s="51">
        <v>9.0500000000000007</v>
      </c>
      <c r="F17" s="53">
        <v>9920</v>
      </c>
      <c r="G17" s="47">
        <f t="shared" si="0"/>
        <v>1.0517322049758936E-2</v>
      </c>
      <c r="O17" s="98" t="s">
        <v>726</v>
      </c>
      <c r="P17" s="98"/>
      <c r="Q17" s="98"/>
      <c r="R17" s="98"/>
      <c r="S17" s="98"/>
      <c r="T17" s="98"/>
      <c r="U17" s="97"/>
      <c r="V17" s="97"/>
      <c r="W17" s="97"/>
    </row>
    <row r="18" spans="1:23" ht="18" x14ac:dyDescent="0.35">
      <c r="A18" s="5" t="s">
        <v>39</v>
      </c>
      <c r="B18" s="51">
        <v>248</v>
      </c>
      <c r="C18" s="51">
        <v>211</v>
      </c>
      <c r="D18" s="51">
        <v>379380</v>
      </c>
      <c r="E18" s="51">
        <v>9.0399999999999991</v>
      </c>
      <c r="F18" s="53">
        <v>26925</v>
      </c>
      <c r="G18" s="47">
        <f t="shared" si="0"/>
        <v>9.7527544941747058E-5</v>
      </c>
      <c r="O18" s="98" t="s">
        <v>728</v>
      </c>
      <c r="P18" s="98"/>
      <c r="Q18" s="98"/>
      <c r="R18" s="98"/>
      <c r="S18" s="98"/>
      <c r="T18" s="98"/>
      <c r="U18" s="97"/>
      <c r="V18" s="97"/>
      <c r="W18" s="97"/>
    </row>
    <row r="19" spans="1:23" ht="18" x14ac:dyDescent="0.35">
      <c r="A19" s="5" t="s">
        <v>23</v>
      </c>
      <c r="B19" s="51">
        <v>1707</v>
      </c>
      <c r="C19" s="51">
        <v>263</v>
      </c>
      <c r="D19" s="51">
        <v>485280</v>
      </c>
      <c r="E19" s="51">
        <v>9.0299999999999994</v>
      </c>
      <c r="F19" s="53">
        <v>24494</v>
      </c>
      <c r="G19" s="47">
        <f t="shared" si="0"/>
        <v>2.9756017144741179E-3</v>
      </c>
      <c r="O19" s="98" t="s">
        <v>727</v>
      </c>
      <c r="P19" s="97"/>
      <c r="Q19" s="97"/>
      <c r="R19" s="97"/>
      <c r="S19" s="97"/>
      <c r="T19" s="97"/>
      <c r="U19" s="97"/>
      <c r="V19" s="97"/>
      <c r="W19" s="97"/>
    </row>
    <row r="20" spans="1:23" x14ac:dyDescent="0.3">
      <c r="A20" s="5" t="s">
        <v>23</v>
      </c>
      <c r="B20" s="51">
        <v>1409</v>
      </c>
      <c r="C20" s="51">
        <v>309</v>
      </c>
      <c r="D20" s="51">
        <v>64583</v>
      </c>
      <c r="E20" s="51">
        <v>8.99</v>
      </c>
      <c r="F20" s="53">
        <v>10217</v>
      </c>
      <c r="G20" s="47">
        <f t="shared" si="0"/>
        <v>1.7032345973398571E-2</v>
      </c>
    </row>
    <row r="21" spans="1:23" x14ac:dyDescent="0.3">
      <c r="A21" s="5" t="s">
        <v>29</v>
      </c>
      <c r="B21" s="51">
        <v>1527</v>
      </c>
      <c r="C21" s="51">
        <v>303</v>
      </c>
      <c r="D21" s="51">
        <v>388555</v>
      </c>
      <c r="E21" s="51">
        <v>8.9</v>
      </c>
      <c r="F21" s="53">
        <v>36397</v>
      </c>
      <c r="G21" s="47">
        <f t="shared" si="0"/>
        <v>3.1501331857780751E-3</v>
      </c>
    </row>
    <row r="22" spans="1:23" x14ac:dyDescent="0.3">
      <c r="A22" s="5" t="s">
        <v>23</v>
      </c>
      <c r="B22" s="51">
        <v>1293</v>
      </c>
      <c r="C22" s="51">
        <v>408</v>
      </c>
      <c r="D22" s="51">
        <v>62535</v>
      </c>
      <c r="E22" s="51">
        <v>8.9</v>
      </c>
      <c r="F22" s="53">
        <v>37876</v>
      </c>
      <c r="G22" s="47">
        <f t="shared" si="0"/>
        <v>1.4152074838090669E-2</v>
      </c>
    </row>
    <row r="23" spans="1:23" x14ac:dyDescent="0.3">
      <c r="A23" s="5" t="s">
        <v>39</v>
      </c>
      <c r="B23" s="51">
        <v>1078</v>
      </c>
      <c r="C23" s="51">
        <v>20</v>
      </c>
      <c r="D23" s="51">
        <v>183924</v>
      </c>
      <c r="E23" s="51">
        <v>8.84</v>
      </c>
      <c r="F23" s="53">
        <v>14203</v>
      </c>
      <c r="G23" s="47">
        <f t="shared" si="0"/>
        <v>5.7523759813836147E-3</v>
      </c>
    </row>
    <row r="24" spans="1:23" x14ac:dyDescent="0.3">
      <c r="A24" s="5" t="s">
        <v>29</v>
      </c>
      <c r="B24" s="51">
        <v>1757</v>
      </c>
      <c r="C24" s="51">
        <v>85</v>
      </c>
      <c r="D24" s="51">
        <v>58223</v>
      </c>
      <c r="E24" s="51">
        <v>8.74</v>
      </c>
      <c r="F24" s="53">
        <v>22728</v>
      </c>
      <c r="G24" s="47">
        <f t="shared" si="0"/>
        <v>2.8717173625543171E-2</v>
      </c>
    </row>
    <row r="25" spans="1:23" x14ac:dyDescent="0.3">
      <c r="A25" s="5" t="s">
        <v>23</v>
      </c>
      <c r="B25" s="51">
        <v>144</v>
      </c>
      <c r="C25" s="51">
        <v>53</v>
      </c>
      <c r="D25" s="51">
        <v>113678</v>
      </c>
      <c r="E25" s="51">
        <v>8.7200000000000006</v>
      </c>
      <c r="F25" s="53">
        <v>30060</v>
      </c>
      <c r="G25" s="47">
        <f t="shared" si="0"/>
        <v>8.0050669434719116E-4</v>
      </c>
    </row>
    <row r="26" spans="1:23" x14ac:dyDescent="0.3">
      <c r="A26" s="5" t="s">
        <v>39</v>
      </c>
      <c r="B26" s="51">
        <v>171</v>
      </c>
      <c r="C26" s="51">
        <v>277</v>
      </c>
      <c r="D26" s="51">
        <v>309483</v>
      </c>
      <c r="E26" s="51">
        <v>8.6999999999999993</v>
      </c>
      <c r="F26" s="53">
        <v>38452</v>
      </c>
      <c r="G26" s="47">
        <f t="shared" si="0"/>
        <v>-3.4250669665215861E-4</v>
      </c>
    </row>
    <row r="27" spans="1:23" x14ac:dyDescent="0.3">
      <c r="A27" s="5" t="s">
        <v>39</v>
      </c>
      <c r="B27" s="51">
        <v>1159</v>
      </c>
      <c r="C27" s="51">
        <v>411</v>
      </c>
      <c r="D27" s="51">
        <v>135987</v>
      </c>
      <c r="E27" s="51">
        <v>8.6999999999999993</v>
      </c>
      <c r="F27" s="53">
        <v>40323</v>
      </c>
      <c r="G27" s="47">
        <f t="shared" si="0"/>
        <v>5.5005257855530306E-3</v>
      </c>
    </row>
    <row r="28" spans="1:23" x14ac:dyDescent="0.3">
      <c r="A28" s="5" t="s">
        <v>23</v>
      </c>
      <c r="B28" s="51">
        <v>1596</v>
      </c>
      <c r="C28" s="51">
        <v>211</v>
      </c>
      <c r="D28" s="51">
        <v>17380</v>
      </c>
      <c r="E28" s="51">
        <v>8.64</v>
      </c>
      <c r="F28" s="53">
        <v>35801</v>
      </c>
      <c r="G28" s="47">
        <f t="shared" si="0"/>
        <v>7.9689298043728429E-2</v>
      </c>
    </row>
    <row r="29" spans="1:23" x14ac:dyDescent="0.3">
      <c r="A29" s="5" t="s">
        <v>29</v>
      </c>
      <c r="B29" s="51">
        <v>1371</v>
      </c>
      <c r="C29" s="51">
        <v>56</v>
      </c>
      <c r="D29" s="51">
        <v>257579</v>
      </c>
      <c r="E29" s="51">
        <v>8.6199999999999992</v>
      </c>
      <c r="F29" s="53">
        <v>33799</v>
      </c>
      <c r="G29" s="47">
        <f t="shared" si="0"/>
        <v>5.1052298518124532E-3</v>
      </c>
    </row>
    <row r="30" spans="1:23" x14ac:dyDescent="0.3">
      <c r="A30" s="5" t="s">
        <v>592</v>
      </c>
      <c r="B30" s="51">
        <v>1472</v>
      </c>
      <c r="C30" s="51">
        <v>347</v>
      </c>
      <c r="D30" s="51">
        <v>392355</v>
      </c>
      <c r="E30" s="51">
        <v>8.59</v>
      </c>
      <c r="F30" s="53">
        <v>30270</v>
      </c>
      <c r="G30" s="47">
        <f t="shared" si="0"/>
        <v>2.8673012960201858E-3</v>
      </c>
    </row>
    <row r="31" spans="1:23" x14ac:dyDescent="0.3">
      <c r="A31" s="5" t="s">
        <v>592</v>
      </c>
      <c r="B31" s="51">
        <v>704</v>
      </c>
      <c r="C31" s="51">
        <v>275</v>
      </c>
      <c r="D31" s="51">
        <v>226002</v>
      </c>
      <c r="E31" s="51">
        <v>8.56</v>
      </c>
      <c r="F31" s="53">
        <v>32393</v>
      </c>
      <c r="G31" s="47">
        <f t="shared" si="0"/>
        <v>1.8982132901478749E-3</v>
      </c>
    </row>
    <row r="32" spans="1:23" x14ac:dyDescent="0.3">
      <c r="A32" s="5" t="s">
        <v>592</v>
      </c>
      <c r="B32" s="51">
        <v>485</v>
      </c>
      <c r="C32" s="51">
        <v>448</v>
      </c>
      <c r="D32" s="51">
        <v>434883</v>
      </c>
      <c r="E32" s="51">
        <v>8.5500000000000007</v>
      </c>
      <c r="F32" s="53">
        <v>33258</v>
      </c>
      <c r="G32" s="47">
        <f t="shared" si="0"/>
        <v>8.5080354946042954E-5</v>
      </c>
    </row>
    <row r="33" spans="1:7" x14ac:dyDescent="0.3">
      <c r="A33" s="5" t="s">
        <v>592</v>
      </c>
      <c r="B33" s="51">
        <v>1911</v>
      </c>
      <c r="C33" s="51">
        <v>231</v>
      </c>
      <c r="D33" s="51">
        <v>268516</v>
      </c>
      <c r="E33" s="51">
        <v>8.5500000000000007</v>
      </c>
      <c r="F33" s="53">
        <v>24018</v>
      </c>
      <c r="G33" s="47">
        <f t="shared" si="0"/>
        <v>6.2566104068286429E-3</v>
      </c>
    </row>
    <row r="34" spans="1:7" x14ac:dyDescent="0.3">
      <c r="A34" s="5" t="s">
        <v>39</v>
      </c>
      <c r="B34" s="51">
        <v>609</v>
      </c>
      <c r="C34" s="51">
        <v>135</v>
      </c>
      <c r="D34" s="51">
        <v>373606</v>
      </c>
      <c r="E34" s="51">
        <v>8.52</v>
      </c>
      <c r="F34" s="53">
        <v>21453</v>
      </c>
      <c r="G34" s="47">
        <f t="shared" ref="G34:G65" si="1">((B34-C34)/D34)</f>
        <v>1.268716241173857E-3</v>
      </c>
    </row>
    <row r="35" spans="1:7" x14ac:dyDescent="0.3">
      <c r="A35" s="5" t="s">
        <v>29</v>
      </c>
      <c r="B35" s="51">
        <v>1092</v>
      </c>
      <c r="C35" s="51">
        <v>408</v>
      </c>
      <c r="D35" s="51">
        <v>280795</v>
      </c>
      <c r="E35" s="51">
        <v>8.44</v>
      </c>
      <c r="F35" s="53">
        <v>4683</v>
      </c>
      <c r="G35" s="47">
        <f t="shared" si="1"/>
        <v>2.4359408109118751E-3</v>
      </c>
    </row>
    <row r="36" spans="1:7" x14ac:dyDescent="0.3">
      <c r="A36" s="5" t="s">
        <v>592</v>
      </c>
      <c r="B36" s="51">
        <v>946</v>
      </c>
      <c r="C36" s="51">
        <v>47</v>
      </c>
      <c r="D36" s="51">
        <v>466575</v>
      </c>
      <c r="E36" s="51">
        <v>8.33</v>
      </c>
      <c r="F36" s="53">
        <v>10002</v>
      </c>
      <c r="G36" s="47">
        <f t="shared" si="1"/>
        <v>1.9268070513850934E-3</v>
      </c>
    </row>
    <row r="37" spans="1:7" x14ac:dyDescent="0.3">
      <c r="A37" s="5" t="s">
        <v>23</v>
      </c>
      <c r="B37" s="51">
        <v>891</v>
      </c>
      <c r="C37" s="51">
        <v>45</v>
      </c>
      <c r="D37" s="51">
        <v>95410</v>
      </c>
      <c r="E37" s="51">
        <v>8.33</v>
      </c>
      <c r="F37" s="53">
        <v>15045</v>
      </c>
      <c r="G37" s="47">
        <f t="shared" si="1"/>
        <v>8.8669950738916262E-3</v>
      </c>
    </row>
    <row r="38" spans="1:7" x14ac:dyDescent="0.3">
      <c r="A38" s="5" t="s">
        <v>592</v>
      </c>
      <c r="B38" s="51">
        <v>584</v>
      </c>
      <c r="C38" s="51">
        <v>169</v>
      </c>
      <c r="D38" s="51">
        <v>146834</v>
      </c>
      <c r="E38" s="51">
        <v>8.31</v>
      </c>
      <c r="F38" s="53">
        <v>26752</v>
      </c>
      <c r="G38" s="47">
        <f t="shared" si="1"/>
        <v>2.826320879360366E-3</v>
      </c>
    </row>
    <row r="39" spans="1:7" x14ac:dyDescent="0.3">
      <c r="A39" s="5" t="s">
        <v>592</v>
      </c>
      <c r="B39" s="51">
        <v>697</v>
      </c>
      <c r="C39" s="51">
        <v>61</v>
      </c>
      <c r="D39" s="51">
        <v>258287</v>
      </c>
      <c r="E39" s="51">
        <v>8.25</v>
      </c>
      <c r="F39" s="53">
        <v>21208</v>
      </c>
      <c r="G39" s="47">
        <f t="shared" si="1"/>
        <v>2.4623771231227277E-3</v>
      </c>
    </row>
    <row r="40" spans="1:7" x14ac:dyDescent="0.3">
      <c r="A40" s="5" t="s">
        <v>39</v>
      </c>
      <c r="B40" s="51">
        <v>816</v>
      </c>
      <c r="C40" s="51">
        <v>196</v>
      </c>
      <c r="D40" s="51">
        <v>95728</v>
      </c>
      <c r="E40" s="51">
        <v>8.1999999999999993</v>
      </c>
      <c r="F40" s="53">
        <v>17951</v>
      </c>
      <c r="G40" s="47">
        <f t="shared" si="1"/>
        <v>6.4766839378238338E-3</v>
      </c>
    </row>
    <row r="41" spans="1:7" x14ac:dyDescent="0.3">
      <c r="A41" s="5" t="s">
        <v>592</v>
      </c>
      <c r="B41" s="51">
        <v>1335</v>
      </c>
      <c r="C41" s="51">
        <v>40</v>
      </c>
      <c r="D41" s="51">
        <v>122732</v>
      </c>
      <c r="E41" s="51">
        <v>8.19</v>
      </c>
      <c r="F41" s="53">
        <v>22482</v>
      </c>
      <c r="G41" s="47">
        <f t="shared" si="1"/>
        <v>1.0551445425805821E-2</v>
      </c>
    </row>
    <row r="42" spans="1:7" x14ac:dyDescent="0.3">
      <c r="A42" s="5" t="s">
        <v>23</v>
      </c>
      <c r="B42" s="51">
        <v>1218</v>
      </c>
      <c r="C42" s="51">
        <v>212</v>
      </c>
      <c r="D42" s="51">
        <v>63177</v>
      </c>
      <c r="E42" s="51">
        <v>8.1300000000000008</v>
      </c>
      <c r="F42" s="53">
        <v>38883</v>
      </c>
      <c r="G42" s="47">
        <f t="shared" si="1"/>
        <v>1.592351646960128E-2</v>
      </c>
    </row>
    <row r="43" spans="1:7" x14ac:dyDescent="0.3">
      <c r="A43" s="5" t="s">
        <v>39</v>
      </c>
      <c r="B43" s="51">
        <v>1623</v>
      </c>
      <c r="C43" s="51">
        <v>246</v>
      </c>
      <c r="D43" s="51">
        <v>415815</v>
      </c>
      <c r="E43" s="51">
        <v>8.11</v>
      </c>
      <c r="F43" s="53">
        <v>18656</v>
      </c>
      <c r="G43" s="47">
        <f t="shared" si="1"/>
        <v>3.311568846722701E-3</v>
      </c>
    </row>
    <row r="44" spans="1:7" x14ac:dyDescent="0.3">
      <c r="A44" s="5" t="s">
        <v>39</v>
      </c>
      <c r="B44" s="51">
        <v>1753</v>
      </c>
      <c r="C44" s="51">
        <v>371</v>
      </c>
      <c r="D44" s="51">
        <v>169496</v>
      </c>
      <c r="E44" s="51">
        <v>8.11</v>
      </c>
      <c r="F44" s="53">
        <v>46670</v>
      </c>
      <c r="G44" s="47">
        <f t="shared" si="1"/>
        <v>8.1535847453627231E-3</v>
      </c>
    </row>
    <row r="45" spans="1:7" x14ac:dyDescent="0.3">
      <c r="A45" s="5" t="s">
        <v>23</v>
      </c>
      <c r="B45" s="51">
        <v>1004</v>
      </c>
      <c r="C45" s="51">
        <v>128</v>
      </c>
      <c r="D45" s="51">
        <v>488901</v>
      </c>
      <c r="E45" s="51">
        <v>8.09</v>
      </c>
      <c r="F45" s="53">
        <v>49558</v>
      </c>
      <c r="G45" s="47">
        <f t="shared" si="1"/>
        <v>1.7917737946946315E-3</v>
      </c>
    </row>
    <row r="46" spans="1:7" x14ac:dyDescent="0.3">
      <c r="A46" s="5" t="s">
        <v>29</v>
      </c>
      <c r="B46" s="51">
        <v>1135</v>
      </c>
      <c r="C46" s="51">
        <v>88</v>
      </c>
      <c r="D46" s="51">
        <v>344084</v>
      </c>
      <c r="E46" s="51">
        <v>8.06</v>
      </c>
      <c r="F46" s="53">
        <v>5904</v>
      </c>
      <c r="G46" s="47">
        <f t="shared" si="1"/>
        <v>3.0428616268120576E-3</v>
      </c>
    </row>
    <row r="47" spans="1:7" x14ac:dyDescent="0.3">
      <c r="A47" s="5" t="s">
        <v>39</v>
      </c>
      <c r="B47" s="51">
        <v>1294</v>
      </c>
      <c r="C47" s="51">
        <v>382</v>
      </c>
      <c r="D47" s="51">
        <v>309914</v>
      </c>
      <c r="E47" s="51">
        <v>8.0299999999999994</v>
      </c>
      <c r="F47" s="53">
        <v>23489</v>
      </c>
      <c r="G47" s="47">
        <f t="shared" si="1"/>
        <v>2.9427518601934728E-3</v>
      </c>
    </row>
    <row r="48" spans="1:7" x14ac:dyDescent="0.3">
      <c r="A48" s="5" t="s">
        <v>592</v>
      </c>
      <c r="B48" s="51">
        <v>557</v>
      </c>
      <c r="C48" s="51">
        <v>360</v>
      </c>
      <c r="D48" s="51">
        <v>318779</v>
      </c>
      <c r="E48" s="51">
        <v>8.02</v>
      </c>
      <c r="F48" s="53">
        <v>25797</v>
      </c>
      <c r="G48" s="47">
        <f t="shared" si="1"/>
        <v>6.1798299135137512E-4</v>
      </c>
    </row>
    <row r="49" spans="1:7" x14ac:dyDescent="0.3">
      <c r="A49" s="5" t="s">
        <v>23</v>
      </c>
      <c r="B49" s="51">
        <v>454</v>
      </c>
      <c r="C49" s="51">
        <v>105</v>
      </c>
      <c r="D49" s="51">
        <v>121091</v>
      </c>
      <c r="E49" s="51">
        <v>7.97</v>
      </c>
      <c r="F49" s="53">
        <v>9269</v>
      </c>
      <c r="G49" s="47">
        <f t="shared" si="1"/>
        <v>2.8821299683708945E-3</v>
      </c>
    </row>
    <row r="50" spans="1:7" x14ac:dyDescent="0.3">
      <c r="A50" s="5" t="s">
        <v>29</v>
      </c>
      <c r="B50" s="51">
        <v>508</v>
      </c>
      <c r="C50" s="51">
        <v>349</v>
      </c>
      <c r="D50" s="51">
        <v>473812</v>
      </c>
      <c r="E50" s="51">
        <v>7.88</v>
      </c>
      <c r="F50" s="53">
        <v>17328</v>
      </c>
      <c r="G50" s="47">
        <f t="shared" si="1"/>
        <v>3.3557613568250698E-4</v>
      </c>
    </row>
    <row r="51" spans="1:7" x14ac:dyDescent="0.3">
      <c r="A51" s="5" t="s">
        <v>39</v>
      </c>
      <c r="B51" s="51">
        <v>1391</v>
      </c>
      <c r="C51" s="51">
        <v>430</v>
      </c>
      <c r="D51" s="51">
        <v>295032</v>
      </c>
      <c r="E51" s="51">
        <v>7.86</v>
      </c>
      <c r="F51" s="53">
        <v>26067</v>
      </c>
      <c r="G51" s="47">
        <f t="shared" si="1"/>
        <v>3.2572737872501967E-3</v>
      </c>
    </row>
    <row r="52" spans="1:7" x14ac:dyDescent="0.3">
      <c r="A52" s="5" t="s">
        <v>23</v>
      </c>
      <c r="B52" s="51">
        <v>422</v>
      </c>
      <c r="C52" s="51">
        <v>394</v>
      </c>
      <c r="D52" s="51">
        <v>239044</v>
      </c>
      <c r="E52" s="51">
        <v>7.83</v>
      </c>
      <c r="F52" s="53">
        <v>32929</v>
      </c>
      <c r="G52" s="47">
        <f t="shared" si="1"/>
        <v>1.1713324743561855E-4</v>
      </c>
    </row>
    <row r="53" spans="1:7" x14ac:dyDescent="0.3">
      <c r="A53" s="5" t="s">
        <v>29</v>
      </c>
      <c r="B53" s="51">
        <v>645</v>
      </c>
      <c r="C53" s="51">
        <v>293</v>
      </c>
      <c r="D53" s="51">
        <v>437968</v>
      </c>
      <c r="E53" s="51">
        <v>7.83</v>
      </c>
      <c r="F53" s="53">
        <v>49303</v>
      </c>
      <c r="G53" s="47">
        <f t="shared" si="1"/>
        <v>8.0371168669857163E-4</v>
      </c>
    </row>
    <row r="54" spans="1:7" x14ac:dyDescent="0.3">
      <c r="A54" s="5" t="s">
        <v>39</v>
      </c>
      <c r="B54" s="51">
        <v>1884</v>
      </c>
      <c r="C54" s="51">
        <v>177</v>
      </c>
      <c r="D54" s="51">
        <v>230448</v>
      </c>
      <c r="E54" s="51">
        <v>7.8</v>
      </c>
      <c r="F54" s="53">
        <v>22713</v>
      </c>
      <c r="G54" s="47">
        <f t="shared" si="1"/>
        <v>7.4073109768798169E-3</v>
      </c>
    </row>
    <row r="55" spans="1:7" x14ac:dyDescent="0.3">
      <c r="A55" s="5" t="s">
        <v>29</v>
      </c>
      <c r="B55" s="51">
        <v>1102</v>
      </c>
      <c r="C55" s="51">
        <v>422</v>
      </c>
      <c r="D55" s="51">
        <v>410330</v>
      </c>
      <c r="E55" s="51">
        <v>7.74</v>
      </c>
      <c r="F55" s="53">
        <v>9480</v>
      </c>
      <c r="G55" s="47">
        <f t="shared" si="1"/>
        <v>1.6572027392586454E-3</v>
      </c>
    </row>
    <row r="56" spans="1:7" x14ac:dyDescent="0.3">
      <c r="A56" s="5" t="s">
        <v>592</v>
      </c>
      <c r="B56" s="51">
        <v>1137</v>
      </c>
      <c r="C56" s="51">
        <v>226</v>
      </c>
      <c r="D56" s="51">
        <v>81119</v>
      </c>
      <c r="E56" s="51">
        <v>7.74</v>
      </c>
      <c r="F56" s="53">
        <v>35359</v>
      </c>
      <c r="G56" s="47">
        <f t="shared" si="1"/>
        <v>1.1230414576116569E-2</v>
      </c>
    </row>
    <row r="57" spans="1:7" x14ac:dyDescent="0.3">
      <c r="A57" s="5" t="s">
        <v>39</v>
      </c>
      <c r="B57" s="51">
        <v>160</v>
      </c>
      <c r="C57" s="51">
        <v>478</v>
      </c>
      <c r="D57" s="51">
        <v>435034</v>
      </c>
      <c r="E57" s="51">
        <v>7.73</v>
      </c>
      <c r="F57" s="53">
        <v>4839</v>
      </c>
      <c r="G57" s="47">
        <f t="shared" si="1"/>
        <v>-7.3097734889686784E-4</v>
      </c>
    </row>
    <row r="58" spans="1:7" x14ac:dyDescent="0.3">
      <c r="A58" s="5" t="s">
        <v>592</v>
      </c>
      <c r="B58" s="51">
        <v>337</v>
      </c>
      <c r="C58" s="51">
        <v>68</v>
      </c>
      <c r="D58" s="51">
        <v>456298</v>
      </c>
      <c r="E58" s="51">
        <v>7.57</v>
      </c>
      <c r="F58" s="53">
        <v>4007</v>
      </c>
      <c r="G58" s="47">
        <f t="shared" si="1"/>
        <v>5.8952701962314107E-4</v>
      </c>
    </row>
    <row r="59" spans="1:7" x14ac:dyDescent="0.3">
      <c r="A59" s="5" t="s">
        <v>592</v>
      </c>
      <c r="B59" s="51">
        <v>1946</v>
      </c>
      <c r="C59" s="51">
        <v>270</v>
      </c>
      <c r="D59" s="51">
        <v>198350</v>
      </c>
      <c r="E59" s="51">
        <v>7.5</v>
      </c>
      <c r="F59" s="53">
        <v>11805</v>
      </c>
      <c r="G59" s="47">
        <f t="shared" si="1"/>
        <v>8.4497101083942528E-3</v>
      </c>
    </row>
    <row r="60" spans="1:7" x14ac:dyDescent="0.3">
      <c r="A60" s="5" t="s">
        <v>39</v>
      </c>
      <c r="B60" s="51">
        <v>1514</v>
      </c>
      <c r="C60" s="51">
        <v>141</v>
      </c>
      <c r="D60" s="51">
        <v>35842</v>
      </c>
      <c r="E60" s="51">
        <v>7.47</v>
      </c>
      <c r="F60" s="53">
        <v>18601</v>
      </c>
      <c r="G60" s="47">
        <f t="shared" si="1"/>
        <v>3.8307014117515761E-2</v>
      </c>
    </row>
    <row r="61" spans="1:7" x14ac:dyDescent="0.3">
      <c r="A61" s="5" t="s">
        <v>39</v>
      </c>
      <c r="B61" s="51">
        <v>198</v>
      </c>
      <c r="C61" s="51">
        <v>217</v>
      </c>
      <c r="D61" s="51">
        <v>239753</v>
      </c>
      <c r="E61" s="51">
        <v>7.36</v>
      </c>
      <c r="F61" s="53">
        <v>11901</v>
      </c>
      <c r="G61" s="47">
        <f t="shared" si="1"/>
        <v>-7.9248226299566635E-5</v>
      </c>
    </row>
    <row r="62" spans="1:7" x14ac:dyDescent="0.3">
      <c r="A62" s="5" t="s">
        <v>23</v>
      </c>
      <c r="B62" s="51">
        <v>1918</v>
      </c>
      <c r="C62" s="51">
        <v>212</v>
      </c>
      <c r="D62" s="51">
        <v>94360</v>
      </c>
      <c r="E62" s="51">
        <v>7.36</v>
      </c>
      <c r="F62" s="53">
        <v>36851</v>
      </c>
      <c r="G62" s="47">
        <f t="shared" si="1"/>
        <v>1.8079694785926241E-2</v>
      </c>
    </row>
    <row r="63" spans="1:7" x14ac:dyDescent="0.3">
      <c r="A63" s="5" t="s">
        <v>592</v>
      </c>
      <c r="B63" s="51">
        <v>628</v>
      </c>
      <c r="C63" s="51">
        <v>183</v>
      </c>
      <c r="D63" s="51">
        <v>487523</v>
      </c>
      <c r="E63" s="51">
        <v>7.32</v>
      </c>
      <c r="F63" s="53">
        <v>5391</v>
      </c>
      <c r="G63" s="47">
        <f t="shared" si="1"/>
        <v>9.1277744844858602E-4</v>
      </c>
    </row>
    <row r="64" spans="1:7" x14ac:dyDescent="0.3">
      <c r="A64" s="5" t="s">
        <v>592</v>
      </c>
      <c r="B64" s="51">
        <v>362</v>
      </c>
      <c r="C64" s="51">
        <v>399</v>
      </c>
      <c r="D64" s="51">
        <v>145608</v>
      </c>
      <c r="E64" s="51">
        <v>7.3</v>
      </c>
      <c r="F64" s="53">
        <v>37636</v>
      </c>
      <c r="G64" s="47">
        <f t="shared" si="1"/>
        <v>-2.5410691720235154E-4</v>
      </c>
    </row>
    <row r="65" spans="1:7" x14ac:dyDescent="0.3">
      <c r="A65" s="5" t="s">
        <v>592</v>
      </c>
      <c r="B65" s="51">
        <v>1751</v>
      </c>
      <c r="C65" s="51">
        <v>86</v>
      </c>
      <c r="D65" s="51">
        <v>188655</v>
      </c>
      <c r="E65" s="51">
        <v>7.24</v>
      </c>
      <c r="F65" s="53">
        <v>22206</v>
      </c>
      <c r="G65" s="47">
        <f t="shared" si="1"/>
        <v>8.825634093981077E-3</v>
      </c>
    </row>
    <row r="66" spans="1:7" x14ac:dyDescent="0.3">
      <c r="A66" s="5" t="s">
        <v>29</v>
      </c>
      <c r="B66" s="51">
        <v>393</v>
      </c>
      <c r="C66" s="51">
        <v>181</v>
      </c>
      <c r="D66" s="51">
        <v>462142</v>
      </c>
      <c r="E66" s="51">
        <v>7.23</v>
      </c>
      <c r="F66" s="53">
        <v>6296</v>
      </c>
      <c r="G66" s="47">
        <f t="shared" ref="G66:G97" si="2">((B66-C66)/D66)</f>
        <v>4.5873346287504706E-4</v>
      </c>
    </row>
    <row r="67" spans="1:7" x14ac:dyDescent="0.3">
      <c r="A67" s="5" t="s">
        <v>29</v>
      </c>
      <c r="B67" s="51">
        <v>1429</v>
      </c>
      <c r="C67" s="51">
        <v>182</v>
      </c>
      <c r="D67" s="51">
        <v>101332</v>
      </c>
      <c r="E67" s="51">
        <v>7.16</v>
      </c>
      <c r="F67" s="53">
        <v>37829</v>
      </c>
      <c r="G67" s="47">
        <f t="shared" si="2"/>
        <v>1.2306082974775983E-2</v>
      </c>
    </row>
    <row r="68" spans="1:7" x14ac:dyDescent="0.3">
      <c r="A68" s="5" t="s">
        <v>592</v>
      </c>
      <c r="B68" s="51">
        <v>1587</v>
      </c>
      <c r="C68" s="51">
        <v>385</v>
      </c>
      <c r="D68" s="51">
        <v>126582</v>
      </c>
      <c r="E68" s="51">
        <v>6.99</v>
      </c>
      <c r="F68" s="53">
        <v>42832</v>
      </c>
      <c r="G68" s="47">
        <f t="shared" si="2"/>
        <v>9.4958208908059605E-3</v>
      </c>
    </row>
    <row r="69" spans="1:7" x14ac:dyDescent="0.3">
      <c r="A69" s="5" t="s">
        <v>592</v>
      </c>
      <c r="B69" s="51">
        <v>927</v>
      </c>
      <c r="C69" s="51">
        <v>358</v>
      </c>
      <c r="D69" s="51">
        <v>177554</v>
      </c>
      <c r="E69" s="51">
        <v>6.95</v>
      </c>
      <c r="F69" s="53">
        <v>48270</v>
      </c>
      <c r="G69" s="47">
        <f t="shared" si="2"/>
        <v>3.2046588643454949E-3</v>
      </c>
    </row>
    <row r="70" spans="1:7" x14ac:dyDescent="0.3">
      <c r="A70" s="5" t="s">
        <v>29</v>
      </c>
      <c r="B70" s="51">
        <v>911</v>
      </c>
      <c r="C70" s="51">
        <v>282</v>
      </c>
      <c r="D70" s="51">
        <v>35664</v>
      </c>
      <c r="E70" s="51">
        <v>6.92</v>
      </c>
      <c r="F70" s="53">
        <v>18050</v>
      </c>
      <c r="G70" s="47">
        <f t="shared" si="2"/>
        <v>1.7636832660385824E-2</v>
      </c>
    </row>
    <row r="71" spans="1:7" x14ac:dyDescent="0.3">
      <c r="A71" s="5" t="s">
        <v>29</v>
      </c>
      <c r="B71" s="51">
        <v>1466</v>
      </c>
      <c r="C71" s="51">
        <v>69</v>
      </c>
      <c r="D71" s="51">
        <v>54935</v>
      </c>
      <c r="E71" s="51">
        <v>6.85</v>
      </c>
      <c r="F71" s="53">
        <v>36484</v>
      </c>
      <c r="G71" s="47">
        <f t="shared" si="2"/>
        <v>2.5430053699827069E-2</v>
      </c>
    </row>
    <row r="72" spans="1:7" x14ac:dyDescent="0.3">
      <c r="A72" s="5" t="s">
        <v>23</v>
      </c>
      <c r="B72" s="51">
        <v>119</v>
      </c>
      <c r="C72" s="51">
        <v>456</v>
      </c>
      <c r="D72" s="51">
        <v>82558</v>
      </c>
      <c r="E72" s="51">
        <v>6.81</v>
      </c>
      <c r="F72" s="53">
        <v>12174</v>
      </c>
      <c r="G72" s="47">
        <f t="shared" si="2"/>
        <v>-4.0819787301048958E-3</v>
      </c>
    </row>
    <row r="73" spans="1:7" x14ac:dyDescent="0.3">
      <c r="A73" s="5" t="s">
        <v>29</v>
      </c>
      <c r="B73" s="51">
        <v>961</v>
      </c>
      <c r="C73" s="51">
        <v>358</v>
      </c>
      <c r="D73" s="51">
        <v>62942</v>
      </c>
      <c r="E73" s="51">
        <v>6.8</v>
      </c>
      <c r="F73" s="53">
        <v>18693</v>
      </c>
      <c r="G73" s="47">
        <f t="shared" si="2"/>
        <v>9.5802484827301332E-3</v>
      </c>
    </row>
    <row r="74" spans="1:7" x14ac:dyDescent="0.3">
      <c r="A74" s="5" t="s">
        <v>29</v>
      </c>
      <c r="B74" s="51">
        <v>198</v>
      </c>
      <c r="C74" s="51">
        <v>358</v>
      </c>
      <c r="D74" s="51">
        <v>66682</v>
      </c>
      <c r="E74" s="51">
        <v>6.73</v>
      </c>
      <c r="F74" s="53">
        <v>2293</v>
      </c>
      <c r="G74" s="47">
        <f t="shared" si="2"/>
        <v>-2.3994481269308059E-3</v>
      </c>
    </row>
    <row r="75" spans="1:7" x14ac:dyDescent="0.3">
      <c r="A75" s="5" t="s">
        <v>592</v>
      </c>
      <c r="B75" s="51">
        <v>1592</v>
      </c>
      <c r="C75" s="51">
        <v>233</v>
      </c>
      <c r="D75" s="51">
        <v>327183</v>
      </c>
      <c r="E75" s="51">
        <v>6.66</v>
      </c>
      <c r="F75" s="53">
        <v>13316</v>
      </c>
      <c r="G75" s="47">
        <f t="shared" si="2"/>
        <v>4.1536387893013997E-3</v>
      </c>
    </row>
    <row r="76" spans="1:7" x14ac:dyDescent="0.3">
      <c r="A76" s="5" t="s">
        <v>23</v>
      </c>
      <c r="B76" s="51">
        <v>1063</v>
      </c>
      <c r="C76" s="51">
        <v>47</v>
      </c>
      <c r="D76" s="51">
        <v>464239</v>
      </c>
      <c r="E76" s="51">
        <v>6.58</v>
      </c>
      <c r="F76" s="53">
        <v>39031</v>
      </c>
      <c r="G76" s="47">
        <f t="shared" si="2"/>
        <v>2.1885278918832756E-3</v>
      </c>
    </row>
    <row r="77" spans="1:7" x14ac:dyDescent="0.3">
      <c r="A77" s="5" t="s">
        <v>23</v>
      </c>
      <c r="B77" s="51">
        <v>520</v>
      </c>
      <c r="C77" s="51">
        <v>375</v>
      </c>
      <c r="D77" s="51">
        <v>369525</v>
      </c>
      <c r="E77" s="51">
        <v>6.54</v>
      </c>
      <c r="F77" s="53">
        <v>20733</v>
      </c>
      <c r="G77" s="47">
        <f t="shared" si="2"/>
        <v>3.9239564305527366E-4</v>
      </c>
    </row>
    <row r="78" spans="1:7" x14ac:dyDescent="0.3">
      <c r="A78" s="5" t="s">
        <v>29</v>
      </c>
      <c r="B78" s="51">
        <v>703</v>
      </c>
      <c r="C78" s="51">
        <v>441</v>
      </c>
      <c r="D78" s="51">
        <v>357089</v>
      </c>
      <c r="E78" s="51">
        <v>6.5</v>
      </c>
      <c r="F78" s="53">
        <v>32478</v>
      </c>
      <c r="G78" s="47">
        <f t="shared" si="2"/>
        <v>7.3371064356504961E-4</v>
      </c>
    </row>
    <row r="79" spans="1:7" x14ac:dyDescent="0.3">
      <c r="A79" s="5" t="s">
        <v>23</v>
      </c>
      <c r="B79" s="51">
        <v>623</v>
      </c>
      <c r="C79" s="51">
        <v>414</v>
      </c>
      <c r="D79" s="51">
        <v>290354</v>
      </c>
      <c r="E79" s="51">
        <v>6.49</v>
      </c>
      <c r="F79" s="53">
        <v>39923</v>
      </c>
      <c r="G79" s="47">
        <f t="shared" si="2"/>
        <v>7.1981098934404211E-4</v>
      </c>
    </row>
    <row r="80" spans="1:7" x14ac:dyDescent="0.3">
      <c r="A80" s="5" t="s">
        <v>39</v>
      </c>
      <c r="B80" s="51">
        <v>170</v>
      </c>
      <c r="C80" s="51">
        <v>334</v>
      </c>
      <c r="D80" s="51">
        <v>334626</v>
      </c>
      <c r="E80" s="51">
        <v>6.44</v>
      </c>
      <c r="F80" s="53">
        <v>43420</v>
      </c>
      <c r="G80" s="47">
        <f t="shared" si="2"/>
        <v>-4.9009939454794306E-4</v>
      </c>
    </row>
    <row r="81" spans="1:7" x14ac:dyDescent="0.3">
      <c r="A81" s="5" t="s">
        <v>39</v>
      </c>
      <c r="B81" s="51">
        <v>1520</v>
      </c>
      <c r="C81" s="51">
        <v>475</v>
      </c>
      <c r="D81" s="51">
        <v>496982</v>
      </c>
      <c r="E81" s="51">
        <v>6.41</v>
      </c>
      <c r="F81" s="53">
        <v>24384</v>
      </c>
      <c r="G81" s="47">
        <f t="shared" si="2"/>
        <v>2.1026918479944948E-3</v>
      </c>
    </row>
    <row r="82" spans="1:7" x14ac:dyDescent="0.3">
      <c r="A82" s="5" t="s">
        <v>39</v>
      </c>
      <c r="B82" s="51">
        <v>1249</v>
      </c>
      <c r="C82" s="51">
        <v>351</v>
      </c>
      <c r="D82" s="51">
        <v>321307</v>
      </c>
      <c r="E82" s="51">
        <v>6.37</v>
      </c>
      <c r="F82" s="53">
        <v>20560</v>
      </c>
      <c r="G82" s="47">
        <f t="shared" si="2"/>
        <v>2.7948348464241365E-3</v>
      </c>
    </row>
    <row r="83" spans="1:7" x14ac:dyDescent="0.3">
      <c r="A83" s="5" t="s">
        <v>592</v>
      </c>
      <c r="B83" s="51">
        <v>1441</v>
      </c>
      <c r="C83" s="51">
        <v>268</v>
      </c>
      <c r="D83" s="51">
        <v>309904</v>
      </c>
      <c r="E83" s="51">
        <v>6.37</v>
      </c>
      <c r="F83" s="53">
        <v>3455</v>
      </c>
      <c r="G83" s="47">
        <f t="shared" si="2"/>
        <v>3.7850431101244257E-3</v>
      </c>
    </row>
    <row r="84" spans="1:7" x14ac:dyDescent="0.3">
      <c r="A84" s="5" t="s">
        <v>29</v>
      </c>
      <c r="B84" s="51">
        <v>1033</v>
      </c>
      <c r="C84" s="51">
        <v>392</v>
      </c>
      <c r="D84" s="51">
        <v>282780</v>
      </c>
      <c r="E84" s="51">
        <v>6.27</v>
      </c>
      <c r="F84" s="53">
        <v>23140</v>
      </c>
      <c r="G84" s="47">
        <f t="shared" si="2"/>
        <v>2.2667798288422093E-3</v>
      </c>
    </row>
    <row r="85" spans="1:7" x14ac:dyDescent="0.3">
      <c r="A85" s="5" t="s">
        <v>29</v>
      </c>
      <c r="B85" s="51">
        <v>1939</v>
      </c>
      <c r="C85" s="51">
        <v>67</v>
      </c>
      <c r="D85" s="51">
        <v>187183</v>
      </c>
      <c r="E85" s="51">
        <v>6.25</v>
      </c>
      <c r="F85" s="53">
        <v>41215</v>
      </c>
      <c r="G85" s="47">
        <f t="shared" si="2"/>
        <v>1.0000908202133741E-2</v>
      </c>
    </row>
    <row r="86" spans="1:7" x14ac:dyDescent="0.3">
      <c r="A86" s="5" t="s">
        <v>29</v>
      </c>
      <c r="B86" s="51">
        <v>1528</v>
      </c>
      <c r="C86" s="51">
        <v>203</v>
      </c>
      <c r="D86" s="51">
        <v>489188</v>
      </c>
      <c r="E86" s="51">
        <v>6.23</v>
      </c>
      <c r="F86" s="53">
        <v>47101</v>
      </c>
      <c r="G86" s="47">
        <f t="shared" si="2"/>
        <v>2.7085701202809553E-3</v>
      </c>
    </row>
    <row r="87" spans="1:7" x14ac:dyDescent="0.3">
      <c r="A87" s="5" t="s">
        <v>39</v>
      </c>
      <c r="B87" s="51">
        <v>1710</v>
      </c>
      <c r="C87" s="51">
        <v>378</v>
      </c>
      <c r="D87" s="51">
        <v>336661</v>
      </c>
      <c r="E87" s="51">
        <v>6.2</v>
      </c>
      <c r="F87" s="53">
        <v>28498</v>
      </c>
      <c r="G87" s="47">
        <f t="shared" si="2"/>
        <v>3.9565022381564839E-3</v>
      </c>
    </row>
    <row r="88" spans="1:7" x14ac:dyDescent="0.3">
      <c r="A88" s="5" t="s">
        <v>23</v>
      </c>
      <c r="B88" s="51">
        <v>221</v>
      </c>
      <c r="C88" s="51">
        <v>31</v>
      </c>
      <c r="D88" s="51">
        <v>87443</v>
      </c>
      <c r="E88" s="51">
        <v>6.19</v>
      </c>
      <c r="F88" s="53">
        <v>10283</v>
      </c>
      <c r="G88" s="47">
        <f t="shared" si="2"/>
        <v>2.1728440241071327E-3</v>
      </c>
    </row>
    <row r="89" spans="1:7" x14ac:dyDescent="0.3">
      <c r="A89" s="5" t="s">
        <v>592</v>
      </c>
      <c r="B89" s="51">
        <v>1420</v>
      </c>
      <c r="C89" s="51">
        <v>63</v>
      </c>
      <c r="D89" s="51">
        <v>315305</v>
      </c>
      <c r="E89" s="51">
        <v>6.19</v>
      </c>
      <c r="F89" s="53">
        <v>5914</v>
      </c>
      <c r="G89" s="47">
        <f t="shared" si="2"/>
        <v>4.3037693661692649E-3</v>
      </c>
    </row>
    <row r="90" spans="1:7" x14ac:dyDescent="0.3">
      <c r="A90" s="5" t="s">
        <v>39</v>
      </c>
      <c r="B90" s="51">
        <v>214</v>
      </c>
      <c r="C90" s="51">
        <v>411</v>
      </c>
      <c r="D90" s="51">
        <v>125034</v>
      </c>
      <c r="E90" s="51">
        <v>6.11</v>
      </c>
      <c r="F90" s="53">
        <v>26455</v>
      </c>
      <c r="G90" s="47">
        <f t="shared" si="2"/>
        <v>-1.5755714445670778E-3</v>
      </c>
    </row>
    <row r="91" spans="1:7" x14ac:dyDescent="0.3">
      <c r="A91" s="5" t="s">
        <v>23</v>
      </c>
      <c r="B91" s="51">
        <v>1658</v>
      </c>
      <c r="C91" s="51">
        <v>416</v>
      </c>
      <c r="D91" s="51">
        <v>98397</v>
      </c>
      <c r="E91" s="51">
        <v>6.11</v>
      </c>
      <c r="F91" s="53">
        <v>11383</v>
      </c>
      <c r="G91" s="47">
        <f t="shared" si="2"/>
        <v>1.2622336046830695E-2</v>
      </c>
    </row>
    <row r="92" spans="1:7" x14ac:dyDescent="0.3">
      <c r="A92" s="5" t="s">
        <v>29</v>
      </c>
      <c r="B92" s="51">
        <v>1957</v>
      </c>
      <c r="C92" s="51">
        <v>76</v>
      </c>
      <c r="D92" s="51">
        <v>447902</v>
      </c>
      <c r="E92" s="51">
        <v>6.09</v>
      </c>
      <c r="F92" s="53">
        <v>33381</v>
      </c>
      <c r="G92" s="47">
        <f t="shared" si="2"/>
        <v>4.1995793722733989E-3</v>
      </c>
    </row>
    <row r="93" spans="1:7" x14ac:dyDescent="0.3">
      <c r="A93" s="5" t="s">
        <v>23</v>
      </c>
      <c r="B93" s="51">
        <v>1507</v>
      </c>
      <c r="C93" s="51">
        <v>463</v>
      </c>
      <c r="D93" s="51">
        <v>258944</v>
      </c>
      <c r="E93" s="51">
        <v>6.08</v>
      </c>
      <c r="F93" s="53">
        <v>16443</v>
      </c>
      <c r="G93" s="47">
        <f t="shared" si="2"/>
        <v>4.0317597627286209E-3</v>
      </c>
    </row>
    <row r="94" spans="1:7" x14ac:dyDescent="0.3">
      <c r="A94" s="5" t="s">
        <v>39</v>
      </c>
      <c r="B94" s="51">
        <v>1534</v>
      </c>
      <c r="C94" s="51">
        <v>200</v>
      </c>
      <c r="D94" s="51">
        <v>307612</v>
      </c>
      <c r="E94" s="51">
        <v>6.01</v>
      </c>
      <c r="F94" s="53">
        <v>37903</v>
      </c>
      <c r="G94" s="47">
        <f t="shared" si="2"/>
        <v>4.3366318609156986E-3</v>
      </c>
    </row>
    <row r="95" spans="1:7" x14ac:dyDescent="0.3">
      <c r="A95" s="5" t="s">
        <v>592</v>
      </c>
      <c r="B95" s="51">
        <v>201</v>
      </c>
      <c r="C95" s="51">
        <v>221</v>
      </c>
      <c r="D95" s="51">
        <v>309772</v>
      </c>
      <c r="E95" s="51">
        <v>5.9</v>
      </c>
      <c r="F95" s="53">
        <v>33174</v>
      </c>
      <c r="G95" s="47">
        <f t="shared" si="2"/>
        <v>-6.456361452939582E-5</v>
      </c>
    </row>
    <row r="96" spans="1:7" x14ac:dyDescent="0.3">
      <c r="A96" s="5" t="s">
        <v>29</v>
      </c>
      <c r="B96" s="51">
        <v>642</v>
      </c>
      <c r="C96" s="51">
        <v>66</v>
      </c>
      <c r="D96" s="51">
        <v>346522</v>
      </c>
      <c r="E96" s="51">
        <v>5.85</v>
      </c>
      <c r="F96" s="53">
        <v>13116</v>
      </c>
      <c r="G96" s="47">
        <f t="shared" si="2"/>
        <v>1.6622321237901201E-3</v>
      </c>
    </row>
    <row r="97" spans="1:7" x14ac:dyDescent="0.3">
      <c r="A97" s="5" t="s">
        <v>29</v>
      </c>
      <c r="B97" s="51">
        <v>1685</v>
      </c>
      <c r="C97" s="51">
        <v>76</v>
      </c>
      <c r="D97" s="51">
        <v>453799</v>
      </c>
      <c r="E97" s="51">
        <v>5.71</v>
      </c>
      <c r="F97" s="53">
        <v>24913</v>
      </c>
      <c r="G97" s="47">
        <f t="shared" si="2"/>
        <v>3.5456226214689766E-3</v>
      </c>
    </row>
    <row r="98" spans="1:7" x14ac:dyDescent="0.3">
      <c r="A98" s="5" t="s">
        <v>29</v>
      </c>
      <c r="B98" s="51">
        <v>1693</v>
      </c>
      <c r="C98" s="51">
        <v>154</v>
      </c>
      <c r="D98" s="51">
        <v>445944</v>
      </c>
      <c r="E98" s="51">
        <v>5.69</v>
      </c>
      <c r="F98" s="53">
        <v>14216</v>
      </c>
      <c r="G98" s="47">
        <f t="shared" ref="G98:G129" si="3">((B98-C98)/D98)</f>
        <v>3.4511059684624078E-3</v>
      </c>
    </row>
    <row r="99" spans="1:7" x14ac:dyDescent="0.3">
      <c r="A99" s="5" t="s">
        <v>592</v>
      </c>
      <c r="B99" s="51">
        <v>1821</v>
      </c>
      <c r="C99" s="51">
        <v>218</v>
      </c>
      <c r="D99" s="51">
        <v>439080</v>
      </c>
      <c r="E99" s="51">
        <v>5.68</v>
      </c>
      <c r="F99" s="53">
        <v>36095</v>
      </c>
      <c r="G99" s="47">
        <f t="shared" si="3"/>
        <v>3.6508153411678964E-3</v>
      </c>
    </row>
    <row r="100" spans="1:7" x14ac:dyDescent="0.3">
      <c r="A100" s="5" t="s">
        <v>39</v>
      </c>
      <c r="B100" s="51">
        <v>651</v>
      </c>
      <c r="C100" s="51">
        <v>353</v>
      </c>
      <c r="D100" s="51">
        <v>224699</v>
      </c>
      <c r="E100" s="51">
        <v>5.61</v>
      </c>
      <c r="F100" s="53">
        <v>45708</v>
      </c>
      <c r="G100" s="47">
        <f t="shared" si="3"/>
        <v>1.3262186302564765E-3</v>
      </c>
    </row>
    <row r="101" spans="1:7" x14ac:dyDescent="0.3">
      <c r="A101" s="5" t="s">
        <v>39</v>
      </c>
      <c r="B101" s="51">
        <v>405</v>
      </c>
      <c r="C101" s="51">
        <v>66</v>
      </c>
      <c r="D101" s="51">
        <v>418696</v>
      </c>
      <c r="E101" s="51">
        <v>5.59</v>
      </c>
      <c r="F101" s="53">
        <v>48419</v>
      </c>
      <c r="G101" s="47">
        <f t="shared" si="3"/>
        <v>8.0965664826031301E-4</v>
      </c>
    </row>
    <row r="102" spans="1:7" x14ac:dyDescent="0.3">
      <c r="A102" s="5" t="s">
        <v>592</v>
      </c>
      <c r="B102" s="51">
        <v>364</v>
      </c>
      <c r="C102" s="51">
        <v>72</v>
      </c>
      <c r="D102" s="51">
        <v>211090</v>
      </c>
      <c r="E102" s="51">
        <v>5.53</v>
      </c>
      <c r="F102" s="53">
        <v>21061</v>
      </c>
      <c r="G102" s="47">
        <f t="shared" si="3"/>
        <v>1.3832962243592781E-3</v>
      </c>
    </row>
    <row r="103" spans="1:7" x14ac:dyDescent="0.3">
      <c r="A103" s="5" t="s">
        <v>23</v>
      </c>
      <c r="B103" s="51">
        <v>804</v>
      </c>
      <c r="C103" s="51">
        <v>487</v>
      </c>
      <c r="D103" s="51">
        <v>306564</v>
      </c>
      <c r="E103" s="51">
        <v>5.52</v>
      </c>
      <c r="F103" s="53">
        <v>26452</v>
      </c>
      <c r="G103" s="47">
        <f t="shared" si="3"/>
        <v>1.0340418313957282E-3</v>
      </c>
    </row>
    <row r="104" spans="1:7" x14ac:dyDescent="0.3">
      <c r="A104" s="5" t="s">
        <v>23</v>
      </c>
      <c r="B104" s="51">
        <v>736</v>
      </c>
      <c r="C104" s="51">
        <v>163</v>
      </c>
      <c r="D104" s="51">
        <v>451894</v>
      </c>
      <c r="E104" s="51">
        <v>5.43</v>
      </c>
      <c r="F104" s="53">
        <v>46625</v>
      </c>
      <c r="G104" s="47">
        <f t="shared" si="3"/>
        <v>1.2679964770499277E-3</v>
      </c>
    </row>
    <row r="105" spans="1:7" x14ac:dyDescent="0.3">
      <c r="A105" s="5" t="s">
        <v>23</v>
      </c>
      <c r="B105" s="51">
        <v>1210</v>
      </c>
      <c r="C105" s="51">
        <v>178</v>
      </c>
      <c r="D105" s="51">
        <v>102042</v>
      </c>
      <c r="E105" s="51">
        <v>5.42</v>
      </c>
      <c r="F105" s="53">
        <v>6915</v>
      </c>
      <c r="G105" s="47">
        <f t="shared" si="3"/>
        <v>1.011348268360087E-2</v>
      </c>
    </row>
    <row r="106" spans="1:7" x14ac:dyDescent="0.3">
      <c r="A106" s="5" t="s">
        <v>23</v>
      </c>
      <c r="B106" s="51">
        <v>1707</v>
      </c>
      <c r="C106" s="51">
        <v>223</v>
      </c>
      <c r="D106" s="51">
        <v>256910</v>
      </c>
      <c r="E106" s="51">
        <v>5.41</v>
      </c>
      <c r="F106" s="53">
        <v>44321</v>
      </c>
      <c r="G106" s="47">
        <f t="shared" si="3"/>
        <v>5.7763419096181542E-3</v>
      </c>
    </row>
    <row r="107" spans="1:7" x14ac:dyDescent="0.3">
      <c r="A107" s="5" t="s">
        <v>592</v>
      </c>
      <c r="B107" s="51">
        <v>1701</v>
      </c>
      <c r="C107" s="51">
        <v>385</v>
      </c>
      <c r="D107" s="51">
        <v>198278</v>
      </c>
      <c r="E107" s="51">
        <v>5.34</v>
      </c>
      <c r="F107" s="53">
        <v>32763</v>
      </c>
      <c r="G107" s="47">
        <f t="shared" si="3"/>
        <v>6.6371458255580548E-3</v>
      </c>
    </row>
    <row r="108" spans="1:7" x14ac:dyDescent="0.3">
      <c r="A108" s="5" t="s">
        <v>592</v>
      </c>
      <c r="B108" s="51">
        <v>353</v>
      </c>
      <c r="C108" s="51">
        <v>300</v>
      </c>
      <c r="D108" s="51">
        <v>142507</v>
      </c>
      <c r="E108" s="51">
        <v>5.3</v>
      </c>
      <c r="F108" s="53">
        <v>11035</v>
      </c>
      <c r="G108" s="47">
        <f t="shared" si="3"/>
        <v>3.7191155522184875E-4</v>
      </c>
    </row>
    <row r="109" spans="1:7" x14ac:dyDescent="0.3">
      <c r="A109" s="5" t="s">
        <v>29</v>
      </c>
      <c r="B109" s="51">
        <v>1013</v>
      </c>
      <c r="C109" s="51">
        <v>110</v>
      </c>
      <c r="D109" s="51">
        <v>466382</v>
      </c>
      <c r="E109" s="51">
        <v>5.3</v>
      </c>
      <c r="F109" s="53">
        <v>37132</v>
      </c>
      <c r="G109" s="47">
        <f t="shared" si="3"/>
        <v>1.9361810704529763E-3</v>
      </c>
    </row>
    <row r="110" spans="1:7" x14ac:dyDescent="0.3">
      <c r="A110" s="5" t="s">
        <v>592</v>
      </c>
      <c r="B110" s="51">
        <v>1040</v>
      </c>
      <c r="C110" s="51">
        <v>149</v>
      </c>
      <c r="D110" s="51">
        <v>124404</v>
      </c>
      <c r="E110" s="51">
        <v>5.23</v>
      </c>
      <c r="F110" s="53">
        <v>45380</v>
      </c>
      <c r="G110" s="47">
        <f t="shared" si="3"/>
        <v>7.1621491270377159E-3</v>
      </c>
    </row>
    <row r="111" spans="1:7" x14ac:dyDescent="0.3">
      <c r="A111" s="5" t="s">
        <v>592</v>
      </c>
      <c r="B111" s="51">
        <v>191</v>
      </c>
      <c r="C111" s="51">
        <v>154</v>
      </c>
      <c r="D111" s="51">
        <v>240550</v>
      </c>
      <c r="E111" s="51">
        <v>5.22</v>
      </c>
      <c r="F111" s="53">
        <v>15827</v>
      </c>
      <c r="G111" s="47">
        <f t="shared" si="3"/>
        <v>1.5381417584701726E-4</v>
      </c>
    </row>
    <row r="112" spans="1:7" x14ac:dyDescent="0.3">
      <c r="A112" s="5" t="s">
        <v>23</v>
      </c>
      <c r="B112" s="51">
        <v>1035</v>
      </c>
      <c r="C112" s="51">
        <v>171</v>
      </c>
      <c r="D112" s="51">
        <v>148477</v>
      </c>
      <c r="E112" s="51">
        <v>5.21</v>
      </c>
      <c r="F112" s="53">
        <v>7541</v>
      </c>
      <c r="G112" s="47">
        <f t="shared" si="3"/>
        <v>5.8190830903102836E-3</v>
      </c>
    </row>
    <row r="113" spans="1:7" x14ac:dyDescent="0.3">
      <c r="A113" s="5" t="s">
        <v>29</v>
      </c>
      <c r="B113" s="51">
        <v>1854</v>
      </c>
      <c r="C113" s="51">
        <v>161</v>
      </c>
      <c r="D113" s="51">
        <v>282466</v>
      </c>
      <c r="E113" s="51">
        <v>5.17</v>
      </c>
      <c r="F113" s="53">
        <v>1810</v>
      </c>
      <c r="G113" s="47">
        <f t="shared" si="3"/>
        <v>5.9936417126309005E-3</v>
      </c>
    </row>
    <row r="114" spans="1:7" x14ac:dyDescent="0.3">
      <c r="A114" s="5" t="s">
        <v>592</v>
      </c>
      <c r="B114" s="51">
        <v>1399</v>
      </c>
      <c r="C114" s="51">
        <v>49</v>
      </c>
      <c r="D114" s="51">
        <v>12471</v>
      </c>
      <c r="E114" s="51">
        <v>5.12</v>
      </c>
      <c r="F114" s="53">
        <v>14722</v>
      </c>
      <c r="G114" s="47">
        <f t="shared" si="3"/>
        <v>0.10825114265095021</v>
      </c>
    </row>
    <row r="115" spans="1:7" x14ac:dyDescent="0.3">
      <c r="A115" s="5" t="s">
        <v>39</v>
      </c>
      <c r="B115" s="51">
        <v>1312</v>
      </c>
      <c r="C115" s="51">
        <v>310</v>
      </c>
      <c r="D115" s="51">
        <v>42654</v>
      </c>
      <c r="E115" s="51">
        <v>4.9800000000000004</v>
      </c>
      <c r="F115" s="53">
        <v>9566</v>
      </c>
      <c r="G115" s="47">
        <f t="shared" si="3"/>
        <v>2.3491348994232664E-2</v>
      </c>
    </row>
    <row r="116" spans="1:7" x14ac:dyDescent="0.3">
      <c r="A116" s="5" t="s">
        <v>592</v>
      </c>
      <c r="B116" s="51">
        <v>437</v>
      </c>
      <c r="C116" s="51">
        <v>330</v>
      </c>
      <c r="D116" s="51">
        <v>476486</v>
      </c>
      <c r="E116" s="51">
        <v>4.97</v>
      </c>
      <c r="F116" s="53">
        <v>4509</v>
      </c>
      <c r="G116" s="47">
        <f t="shared" si="3"/>
        <v>2.2456063766826309E-4</v>
      </c>
    </row>
    <row r="117" spans="1:7" x14ac:dyDescent="0.3">
      <c r="A117" s="5" t="s">
        <v>39</v>
      </c>
      <c r="B117" s="51">
        <v>1358</v>
      </c>
      <c r="C117" s="51">
        <v>242</v>
      </c>
      <c r="D117" s="51">
        <v>342129</v>
      </c>
      <c r="E117" s="51">
        <v>4.9400000000000004</v>
      </c>
      <c r="F117" s="53">
        <v>29116</v>
      </c>
      <c r="G117" s="47">
        <f t="shared" si="3"/>
        <v>3.2619275185675578E-3</v>
      </c>
    </row>
    <row r="118" spans="1:7" x14ac:dyDescent="0.3">
      <c r="A118" s="5" t="s">
        <v>39</v>
      </c>
      <c r="B118" s="51">
        <v>198</v>
      </c>
      <c r="C118" s="51">
        <v>373</v>
      </c>
      <c r="D118" s="51">
        <v>70707</v>
      </c>
      <c r="E118" s="51">
        <v>4.83</v>
      </c>
      <c r="F118" s="53">
        <v>25920</v>
      </c>
      <c r="G118" s="47">
        <f t="shared" si="3"/>
        <v>-2.4750024750024749E-3</v>
      </c>
    </row>
    <row r="119" spans="1:7" x14ac:dyDescent="0.3">
      <c r="A119" s="5" t="s">
        <v>39</v>
      </c>
      <c r="B119" s="51">
        <v>1902</v>
      </c>
      <c r="C119" s="51">
        <v>196</v>
      </c>
      <c r="D119" s="51">
        <v>470269</v>
      </c>
      <c r="E119" s="51">
        <v>4.79</v>
      </c>
      <c r="F119" s="53">
        <v>26103</v>
      </c>
      <c r="G119" s="47">
        <f t="shared" si="3"/>
        <v>3.6277109484146308E-3</v>
      </c>
    </row>
    <row r="120" spans="1:7" x14ac:dyDescent="0.3">
      <c r="A120" s="5" t="s">
        <v>23</v>
      </c>
      <c r="B120" s="51">
        <v>1957</v>
      </c>
      <c r="C120" s="51">
        <v>490</v>
      </c>
      <c r="D120" s="51">
        <v>435726</v>
      </c>
      <c r="E120" s="51">
        <v>4.7300000000000004</v>
      </c>
      <c r="F120" s="53">
        <v>15969</v>
      </c>
      <c r="G120" s="47">
        <f t="shared" si="3"/>
        <v>3.3667947287974553E-3</v>
      </c>
    </row>
    <row r="121" spans="1:7" x14ac:dyDescent="0.3">
      <c r="A121" s="5" t="s">
        <v>23</v>
      </c>
      <c r="B121" s="51">
        <v>278</v>
      </c>
      <c r="C121" s="51">
        <v>218</v>
      </c>
      <c r="D121" s="51">
        <v>301695</v>
      </c>
      <c r="E121" s="51">
        <v>4.68</v>
      </c>
      <c r="F121" s="53">
        <v>22373</v>
      </c>
      <c r="G121" s="47">
        <f t="shared" si="3"/>
        <v>1.9887634863023914E-4</v>
      </c>
    </row>
    <row r="122" spans="1:7" x14ac:dyDescent="0.3">
      <c r="A122" s="5" t="s">
        <v>23</v>
      </c>
      <c r="B122" s="51">
        <v>1166</v>
      </c>
      <c r="C122" s="51">
        <v>442</v>
      </c>
      <c r="D122" s="51">
        <v>336949</v>
      </c>
      <c r="E122" s="51">
        <v>4.68</v>
      </c>
      <c r="F122" s="53">
        <v>7705</v>
      </c>
      <c r="G122" s="47">
        <f t="shared" si="3"/>
        <v>2.1486931256659019E-3</v>
      </c>
    </row>
    <row r="123" spans="1:7" x14ac:dyDescent="0.3">
      <c r="A123" s="5" t="s">
        <v>592</v>
      </c>
      <c r="B123" s="51">
        <v>1786</v>
      </c>
      <c r="C123" s="51">
        <v>257</v>
      </c>
      <c r="D123" s="51">
        <v>274831</v>
      </c>
      <c r="E123" s="51">
        <v>4.68</v>
      </c>
      <c r="F123" s="53">
        <v>9118</v>
      </c>
      <c r="G123" s="47">
        <f t="shared" si="3"/>
        <v>5.5634189738421064E-3</v>
      </c>
    </row>
    <row r="124" spans="1:7" x14ac:dyDescent="0.3">
      <c r="A124" s="5" t="s">
        <v>592</v>
      </c>
      <c r="B124" s="51">
        <v>987</v>
      </c>
      <c r="C124" s="51">
        <v>440</v>
      </c>
      <c r="D124" s="51">
        <v>389810</v>
      </c>
      <c r="E124" s="51">
        <v>4.66</v>
      </c>
      <c r="F124" s="53">
        <v>2932</v>
      </c>
      <c r="G124" s="47">
        <f t="shared" si="3"/>
        <v>1.40324773607655E-3</v>
      </c>
    </row>
    <row r="125" spans="1:7" x14ac:dyDescent="0.3">
      <c r="A125" s="5" t="s">
        <v>29</v>
      </c>
      <c r="B125" s="51">
        <v>1075</v>
      </c>
      <c r="C125" s="51">
        <v>173</v>
      </c>
      <c r="D125" s="51">
        <v>51395</v>
      </c>
      <c r="E125" s="51">
        <v>4.66</v>
      </c>
      <c r="F125" s="53">
        <v>47812</v>
      </c>
      <c r="G125" s="47">
        <f t="shared" si="3"/>
        <v>1.7550345364335054E-2</v>
      </c>
    </row>
    <row r="126" spans="1:7" x14ac:dyDescent="0.3">
      <c r="A126" s="5" t="s">
        <v>29</v>
      </c>
      <c r="B126" s="51">
        <v>1957</v>
      </c>
      <c r="C126" s="51">
        <v>234</v>
      </c>
      <c r="D126" s="51">
        <v>222126</v>
      </c>
      <c r="E126" s="51">
        <v>4.6100000000000003</v>
      </c>
      <c r="F126" s="53">
        <v>3314</v>
      </c>
      <c r="G126" s="47">
        <f t="shared" si="3"/>
        <v>7.7568587198256845E-3</v>
      </c>
    </row>
    <row r="127" spans="1:7" x14ac:dyDescent="0.3">
      <c r="A127" s="5" t="s">
        <v>23</v>
      </c>
      <c r="B127" s="51">
        <v>224</v>
      </c>
      <c r="C127" s="51">
        <v>64</v>
      </c>
      <c r="D127" s="51">
        <v>156683</v>
      </c>
      <c r="E127" s="51">
        <v>4.5599999999999996</v>
      </c>
      <c r="F127" s="53">
        <v>28474</v>
      </c>
      <c r="G127" s="47">
        <f t="shared" si="3"/>
        <v>1.0211701333265254E-3</v>
      </c>
    </row>
    <row r="128" spans="1:7" x14ac:dyDescent="0.3">
      <c r="A128" s="5" t="s">
        <v>39</v>
      </c>
      <c r="B128" s="51">
        <v>345</v>
      </c>
      <c r="C128" s="51">
        <v>464</v>
      </c>
      <c r="D128" s="51">
        <v>366881</v>
      </c>
      <c r="E128" s="51">
        <v>4.55</v>
      </c>
      <c r="F128" s="53">
        <v>20553</v>
      </c>
      <c r="G128" s="47">
        <f t="shared" si="3"/>
        <v>-3.2435585380545735E-4</v>
      </c>
    </row>
    <row r="129" spans="1:7" x14ac:dyDescent="0.3">
      <c r="A129" s="5" t="s">
        <v>39</v>
      </c>
      <c r="B129" s="51">
        <v>663</v>
      </c>
      <c r="C129" s="51">
        <v>236</v>
      </c>
      <c r="D129" s="51">
        <v>479490</v>
      </c>
      <c r="E129" s="51">
        <v>4.51</v>
      </c>
      <c r="F129" s="53">
        <v>23853</v>
      </c>
      <c r="G129" s="47">
        <f t="shared" si="3"/>
        <v>8.9052952094934197E-4</v>
      </c>
    </row>
    <row r="130" spans="1:7" x14ac:dyDescent="0.3">
      <c r="A130" s="5" t="s">
        <v>592</v>
      </c>
      <c r="B130" s="51">
        <v>1432</v>
      </c>
      <c r="C130" s="51">
        <v>425</v>
      </c>
      <c r="D130" s="51">
        <v>29589</v>
      </c>
      <c r="E130" s="51">
        <v>4.5</v>
      </c>
      <c r="F130" s="53">
        <v>42964</v>
      </c>
      <c r="G130" s="47">
        <f t="shared" ref="G130:G161" si="4">((B130-C130)/D130)</f>
        <v>3.4032917638311531E-2</v>
      </c>
    </row>
    <row r="131" spans="1:7" x14ac:dyDescent="0.3">
      <c r="A131" s="5" t="s">
        <v>39</v>
      </c>
      <c r="B131" s="51">
        <v>505</v>
      </c>
      <c r="C131" s="51">
        <v>441</v>
      </c>
      <c r="D131" s="51">
        <v>220020</v>
      </c>
      <c r="E131" s="51">
        <v>4.4800000000000004</v>
      </c>
      <c r="F131" s="53">
        <v>42307</v>
      </c>
      <c r="G131" s="47">
        <f t="shared" si="4"/>
        <v>2.9088264703208797E-4</v>
      </c>
    </row>
    <row r="132" spans="1:7" x14ac:dyDescent="0.3">
      <c r="A132" s="5" t="s">
        <v>23</v>
      </c>
      <c r="B132" s="51">
        <v>1495</v>
      </c>
      <c r="C132" s="51">
        <v>35</v>
      </c>
      <c r="D132" s="51">
        <v>136845</v>
      </c>
      <c r="E132" s="51">
        <v>4.4800000000000004</v>
      </c>
      <c r="F132" s="53">
        <v>39931</v>
      </c>
      <c r="G132" s="47">
        <f t="shared" si="4"/>
        <v>1.0669005078738719E-2</v>
      </c>
    </row>
    <row r="133" spans="1:7" x14ac:dyDescent="0.3">
      <c r="A133" s="5" t="s">
        <v>39</v>
      </c>
      <c r="B133" s="51">
        <v>859</v>
      </c>
      <c r="C133" s="51">
        <v>473</v>
      </c>
      <c r="D133" s="51">
        <v>209987</v>
      </c>
      <c r="E133" s="51">
        <v>4.46</v>
      </c>
      <c r="F133" s="53">
        <v>30214</v>
      </c>
      <c r="G133" s="47">
        <f t="shared" si="4"/>
        <v>1.8382090319876945E-3</v>
      </c>
    </row>
    <row r="134" spans="1:7" x14ac:dyDescent="0.3">
      <c r="A134" s="5" t="s">
        <v>592</v>
      </c>
      <c r="B134" s="51">
        <v>1756</v>
      </c>
      <c r="C134" s="51">
        <v>261</v>
      </c>
      <c r="D134" s="51">
        <v>287574</v>
      </c>
      <c r="E134" s="51">
        <v>4.3600000000000003</v>
      </c>
      <c r="F134" s="53">
        <v>39272</v>
      </c>
      <c r="G134" s="47">
        <f t="shared" si="4"/>
        <v>5.1986619096302169E-3</v>
      </c>
    </row>
    <row r="135" spans="1:7" x14ac:dyDescent="0.3">
      <c r="A135" s="5" t="s">
        <v>29</v>
      </c>
      <c r="B135" s="51">
        <v>1440</v>
      </c>
      <c r="C135" s="51">
        <v>65</v>
      </c>
      <c r="D135" s="51">
        <v>126524</v>
      </c>
      <c r="E135" s="51">
        <v>4.34</v>
      </c>
      <c r="F135" s="53">
        <v>49772</v>
      </c>
      <c r="G135" s="47">
        <f t="shared" si="4"/>
        <v>1.0867503398564699E-2</v>
      </c>
    </row>
    <row r="136" spans="1:7" x14ac:dyDescent="0.3">
      <c r="A136" s="5" t="s">
        <v>592</v>
      </c>
      <c r="B136" s="51">
        <v>1937</v>
      </c>
      <c r="C136" s="51">
        <v>210</v>
      </c>
      <c r="D136" s="51">
        <v>20607</v>
      </c>
      <c r="E136" s="51">
        <v>4.2</v>
      </c>
      <c r="F136" s="53">
        <v>20861</v>
      </c>
      <c r="G136" s="47">
        <f t="shared" si="4"/>
        <v>8.3806473528412681E-2</v>
      </c>
    </row>
    <row r="137" spans="1:7" x14ac:dyDescent="0.3">
      <c r="A137" s="5" t="s">
        <v>23</v>
      </c>
      <c r="B137" s="51">
        <v>1535</v>
      </c>
      <c r="C137" s="51">
        <v>445</v>
      </c>
      <c r="D137" s="51">
        <v>395536</v>
      </c>
      <c r="E137" s="51">
        <v>4.1100000000000003</v>
      </c>
      <c r="F137" s="53">
        <v>30671</v>
      </c>
      <c r="G137" s="47">
        <f t="shared" si="4"/>
        <v>2.7557542170624167E-3</v>
      </c>
    </row>
    <row r="138" spans="1:7" x14ac:dyDescent="0.3">
      <c r="A138" s="5" t="s">
        <v>29</v>
      </c>
      <c r="B138" s="51">
        <v>653</v>
      </c>
      <c r="C138" s="51">
        <v>112</v>
      </c>
      <c r="D138" s="51">
        <v>23664</v>
      </c>
      <c r="E138" s="51">
        <v>4.05</v>
      </c>
      <c r="F138" s="53">
        <v>15353</v>
      </c>
      <c r="G138" s="47">
        <f t="shared" si="4"/>
        <v>2.2861730899256253E-2</v>
      </c>
    </row>
    <row r="139" spans="1:7" x14ac:dyDescent="0.3">
      <c r="A139" s="5" t="s">
        <v>23</v>
      </c>
      <c r="B139" s="51">
        <v>460</v>
      </c>
      <c r="C139" s="51">
        <v>141</v>
      </c>
      <c r="D139" s="51">
        <v>320650</v>
      </c>
      <c r="E139" s="51">
        <v>4.04</v>
      </c>
      <c r="F139" s="53">
        <v>49372</v>
      </c>
      <c r="G139" s="47">
        <f t="shared" si="4"/>
        <v>9.9485420240137223E-4</v>
      </c>
    </row>
    <row r="140" spans="1:7" x14ac:dyDescent="0.3">
      <c r="A140" s="5" t="s">
        <v>592</v>
      </c>
      <c r="B140" s="51">
        <v>436</v>
      </c>
      <c r="C140" s="51">
        <v>250</v>
      </c>
      <c r="D140" s="51">
        <v>254347</v>
      </c>
      <c r="E140" s="51">
        <v>4.01</v>
      </c>
      <c r="F140" s="53">
        <v>8912</v>
      </c>
      <c r="G140" s="47">
        <f t="shared" si="4"/>
        <v>7.3128442639386348E-4</v>
      </c>
    </row>
    <row r="141" spans="1:7" x14ac:dyDescent="0.3">
      <c r="A141" s="5" t="s">
        <v>39</v>
      </c>
      <c r="B141" s="51">
        <v>837</v>
      </c>
      <c r="C141" s="51">
        <v>430</v>
      </c>
      <c r="D141" s="51">
        <v>364820</v>
      </c>
      <c r="E141" s="51">
        <v>4</v>
      </c>
      <c r="F141" s="53">
        <v>49400</v>
      </c>
      <c r="G141" s="47">
        <f t="shared" si="4"/>
        <v>1.1156186612576065E-3</v>
      </c>
    </row>
    <row r="142" spans="1:7" x14ac:dyDescent="0.3">
      <c r="A142" s="5" t="s">
        <v>592</v>
      </c>
      <c r="B142" s="51">
        <v>1300</v>
      </c>
      <c r="C142" s="51">
        <v>71</v>
      </c>
      <c r="D142" s="51">
        <v>186454</v>
      </c>
      <c r="E142" s="51">
        <v>3.91</v>
      </c>
      <c r="F142" s="53">
        <v>9942</v>
      </c>
      <c r="G142" s="47">
        <f t="shared" si="4"/>
        <v>6.5914381026955706E-3</v>
      </c>
    </row>
    <row r="143" spans="1:7" x14ac:dyDescent="0.3">
      <c r="A143" s="5" t="s">
        <v>29</v>
      </c>
      <c r="B143" s="51">
        <v>1556</v>
      </c>
      <c r="C143" s="51">
        <v>476</v>
      </c>
      <c r="D143" s="51">
        <v>351556</v>
      </c>
      <c r="E143" s="51">
        <v>3.89</v>
      </c>
      <c r="F143" s="53">
        <v>10825</v>
      </c>
      <c r="G143" s="47">
        <f t="shared" si="4"/>
        <v>3.0720567989168156E-3</v>
      </c>
    </row>
    <row r="144" spans="1:7" x14ac:dyDescent="0.3">
      <c r="A144" s="5" t="s">
        <v>39</v>
      </c>
      <c r="B144" s="51">
        <v>643</v>
      </c>
      <c r="C144" s="51">
        <v>358</v>
      </c>
      <c r="D144" s="51">
        <v>157599</v>
      </c>
      <c r="E144" s="51">
        <v>3.88</v>
      </c>
      <c r="F144" s="53">
        <v>7285</v>
      </c>
      <c r="G144" s="47">
        <f t="shared" si="4"/>
        <v>1.8083871090552605E-3</v>
      </c>
    </row>
    <row r="145" spans="1:7" x14ac:dyDescent="0.3">
      <c r="A145" s="5" t="s">
        <v>23</v>
      </c>
      <c r="B145" s="51">
        <v>728</v>
      </c>
      <c r="C145" s="51">
        <v>395</v>
      </c>
      <c r="D145" s="51">
        <v>370971</v>
      </c>
      <c r="E145" s="51">
        <v>3.86</v>
      </c>
      <c r="F145" s="53">
        <v>12646</v>
      </c>
      <c r="G145" s="47">
        <f t="shared" si="4"/>
        <v>8.9764429025449434E-4</v>
      </c>
    </row>
    <row r="146" spans="1:7" x14ac:dyDescent="0.3">
      <c r="A146" s="5" t="s">
        <v>39</v>
      </c>
      <c r="B146" s="51">
        <v>833</v>
      </c>
      <c r="C146" s="51">
        <v>380</v>
      </c>
      <c r="D146" s="51">
        <v>224830</v>
      </c>
      <c r="E146" s="51">
        <v>3.86</v>
      </c>
      <c r="F146" s="53">
        <v>3582</v>
      </c>
      <c r="G146" s="47">
        <f t="shared" si="4"/>
        <v>2.014855668727483E-3</v>
      </c>
    </row>
    <row r="147" spans="1:7" x14ac:dyDescent="0.3">
      <c r="A147" s="5" t="s">
        <v>592</v>
      </c>
      <c r="B147" s="51">
        <v>861</v>
      </c>
      <c r="C147" s="51">
        <v>153</v>
      </c>
      <c r="D147" s="51">
        <v>317007</v>
      </c>
      <c r="E147" s="51">
        <v>3.85</v>
      </c>
      <c r="F147" s="53">
        <v>8718</v>
      </c>
      <c r="G147" s="47">
        <f t="shared" si="4"/>
        <v>2.2333891680625349E-3</v>
      </c>
    </row>
    <row r="148" spans="1:7" x14ac:dyDescent="0.3">
      <c r="A148" s="5" t="s">
        <v>39</v>
      </c>
      <c r="B148" s="51">
        <v>1895</v>
      </c>
      <c r="C148" s="51">
        <v>305</v>
      </c>
      <c r="D148" s="51">
        <v>104967</v>
      </c>
      <c r="E148" s="51">
        <v>3.85</v>
      </c>
      <c r="F148" s="53">
        <v>31853</v>
      </c>
      <c r="G148" s="47">
        <f t="shared" si="4"/>
        <v>1.5147617822744291E-2</v>
      </c>
    </row>
    <row r="149" spans="1:7" x14ac:dyDescent="0.3">
      <c r="A149" s="5" t="s">
        <v>29</v>
      </c>
      <c r="B149" s="51">
        <v>1696</v>
      </c>
      <c r="C149" s="51">
        <v>71</v>
      </c>
      <c r="D149" s="51">
        <v>421957</v>
      </c>
      <c r="E149" s="51">
        <v>3.79</v>
      </c>
      <c r="F149" s="53">
        <v>36103</v>
      </c>
      <c r="G149" s="47">
        <f t="shared" si="4"/>
        <v>3.8511033114748661E-3</v>
      </c>
    </row>
    <row r="150" spans="1:7" x14ac:dyDescent="0.3">
      <c r="A150" s="5" t="s">
        <v>29</v>
      </c>
      <c r="B150" s="51">
        <v>1960</v>
      </c>
      <c r="C150" s="51">
        <v>115</v>
      </c>
      <c r="D150" s="51">
        <v>154169</v>
      </c>
      <c r="E150" s="51">
        <v>3.74</v>
      </c>
      <c r="F150" s="53">
        <v>10740</v>
      </c>
      <c r="G150" s="47">
        <f t="shared" si="4"/>
        <v>1.1967386439556591E-2</v>
      </c>
    </row>
    <row r="151" spans="1:7" x14ac:dyDescent="0.3">
      <c r="A151" s="5" t="s">
        <v>23</v>
      </c>
      <c r="B151" s="51">
        <v>1411</v>
      </c>
      <c r="C151" s="51">
        <v>186</v>
      </c>
      <c r="D151" s="51">
        <v>461669</v>
      </c>
      <c r="E151" s="51">
        <v>3.72</v>
      </c>
      <c r="F151" s="53">
        <v>43999</v>
      </c>
      <c r="G151" s="47">
        <f t="shared" si="4"/>
        <v>2.6534161921203288E-3</v>
      </c>
    </row>
    <row r="152" spans="1:7" x14ac:dyDescent="0.3">
      <c r="A152" s="5" t="s">
        <v>592</v>
      </c>
      <c r="B152" s="51">
        <v>1581</v>
      </c>
      <c r="C152" s="51">
        <v>71</v>
      </c>
      <c r="D152" s="51">
        <v>484364</v>
      </c>
      <c r="E152" s="51">
        <v>3.55</v>
      </c>
      <c r="F152" s="53">
        <v>16149</v>
      </c>
      <c r="G152" s="47">
        <f t="shared" si="4"/>
        <v>3.1174901520344203E-3</v>
      </c>
    </row>
    <row r="153" spans="1:7" x14ac:dyDescent="0.3">
      <c r="A153" s="5" t="s">
        <v>23</v>
      </c>
      <c r="B153" s="51">
        <v>123</v>
      </c>
      <c r="C153" s="51">
        <v>155</v>
      </c>
      <c r="D153" s="51">
        <v>119934</v>
      </c>
      <c r="E153" s="51">
        <v>3.5</v>
      </c>
      <c r="F153" s="53">
        <v>5442</v>
      </c>
      <c r="G153" s="47">
        <f t="shared" si="4"/>
        <v>-2.6681341404439108E-4</v>
      </c>
    </row>
    <row r="154" spans="1:7" x14ac:dyDescent="0.3">
      <c r="A154" s="5" t="s">
        <v>592</v>
      </c>
      <c r="B154" s="51">
        <v>1238</v>
      </c>
      <c r="C154" s="51">
        <v>403</v>
      </c>
      <c r="D154" s="51">
        <v>298421</v>
      </c>
      <c r="E154" s="51">
        <v>3.5</v>
      </c>
      <c r="F154" s="53">
        <v>31280</v>
      </c>
      <c r="G154" s="47">
        <f t="shared" si="4"/>
        <v>2.798060458211721E-3</v>
      </c>
    </row>
    <row r="155" spans="1:7" x14ac:dyDescent="0.3">
      <c r="A155" s="5" t="s">
        <v>23</v>
      </c>
      <c r="B155" s="51">
        <v>403</v>
      </c>
      <c r="C155" s="51">
        <v>66</v>
      </c>
      <c r="D155" s="51">
        <v>382851</v>
      </c>
      <c r="E155" s="51">
        <v>3.49</v>
      </c>
      <c r="F155" s="53">
        <v>24313</v>
      </c>
      <c r="G155" s="47">
        <f t="shared" si="4"/>
        <v>8.80238003818718E-4</v>
      </c>
    </row>
    <row r="156" spans="1:7" x14ac:dyDescent="0.3">
      <c r="A156" s="5" t="s">
        <v>23</v>
      </c>
      <c r="B156" s="51">
        <v>576</v>
      </c>
      <c r="C156" s="51">
        <v>101</v>
      </c>
      <c r="D156" s="51">
        <v>62499</v>
      </c>
      <c r="E156" s="51">
        <v>3.48</v>
      </c>
      <c r="F156" s="53">
        <v>16804</v>
      </c>
      <c r="G156" s="47">
        <f t="shared" si="4"/>
        <v>7.600121601945631E-3</v>
      </c>
    </row>
    <row r="157" spans="1:7" x14ac:dyDescent="0.3">
      <c r="A157" s="5" t="s">
        <v>29</v>
      </c>
      <c r="B157" s="51">
        <v>778</v>
      </c>
      <c r="C157" s="51">
        <v>401</v>
      </c>
      <c r="D157" s="51">
        <v>50793</v>
      </c>
      <c r="E157" s="51">
        <v>3.4</v>
      </c>
      <c r="F157" s="53">
        <v>21939</v>
      </c>
      <c r="G157" s="47">
        <f t="shared" si="4"/>
        <v>7.4222825979957871E-3</v>
      </c>
    </row>
    <row r="158" spans="1:7" x14ac:dyDescent="0.3">
      <c r="A158" s="5" t="s">
        <v>39</v>
      </c>
      <c r="B158" s="51">
        <v>947</v>
      </c>
      <c r="C158" s="51">
        <v>407</v>
      </c>
      <c r="D158" s="51">
        <v>319186</v>
      </c>
      <c r="E158" s="51">
        <v>3.32</v>
      </c>
      <c r="F158" s="53">
        <v>4996</v>
      </c>
      <c r="G158" s="47">
        <f t="shared" si="4"/>
        <v>1.6918035252172713E-3</v>
      </c>
    </row>
    <row r="159" spans="1:7" x14ac:dyDescent="0.3">
      <c r="A159" s="5" t="s">
        <v>29</v>
      </c>
      <c r="B159" s="51">
        <v>1502</v>
      </c>
      <c r="C159" s="51">
        <v>70</v>
      </c>
      <c r="D159" s="51">
        <v>465553</v>
      </c>
      <c r="E159" s="51">
        <v>3.32</v>
      </c>
      <c r="F159" s="53">
        <v>20692</v>
      </c>
      <c r="G159" s="47">
        <f t="shared" si="4"/>
        <v>3.0759118725472716E-3</v>
      </c>
    </row>
    <row r="160" spans="1:7" x14ac:dyDescent="0.3">
      <c r="A160" s="5" t="s">
        <v>29</v>
      </c>
      <c r="B160" s="51">
        <v>1433</v>
      </c>
      <c r="C160" s="51">
        <v>408</v>
      </c>
      <c r="D160" s="51">
        <v>370269</v>
      </c>
      <c r="E160" s="51">
        <v>3.3</v>
      </c>
      <c r="F160" s="53">
        <v>30575</v>
      </c>
      <c r="G160" s="47">
        <f t="shared" si="4"/>
        <v>2.7682576721248606E-3</v>
      </c>
    </row>
    <row r="161" spans="1:7" x14ac:dyDescent="0.3">
      <c r="A161" s="5" t="s">
        <v>29</v>
      </c>
      <c r="B161" s="51">
        <v>1855</v>
      </c>
      <c r="C161" s="51">
        <v>133</v>
      </c>
      <c r="D161" s="51">
        <v>349413</v>
      </c>
      <c r="E161" s="51">
        <v>3.3</v>
      </c>
      <c r="F161" s="53">
        <v>14548</v>
      </c>
      <c r="G161" s="47">
        <f t="shared" si="4"/>
        <v>4.9282654051223049E-3</v>
      </c>
    </row>
    <row r="162" spans="1:7" x14ac:dyDescent="0.3">
      <c r="A162" s="5" t="s">
        <v>23</v>
      </c>
      <c r="B162" s="51">
        <v>1331</v>
      </c>
      <c r="C162" s="51">
        <v>430</v>
      </c>
      <c r="D162" s="51">
        <v>14437</v>
      </c>
      <c r="E162" s="51">
        <v>3.29</v>
      </c>
      <c r="F162" s="53">
        <v>40868</v>
      </c>
      <c r="G162" s="47">
        <f t="shared" ref="G162:G193" si="5">((B162-C162)/D162)</f>
        <v>6.2409087760615087E-2</v>
      </c>
    </row>
    <row r="163" spans="1:7" x14ac:dyDescent="0.3">
      <c r="A163" s="5" t="s">
        <v>29</v>
      </c>
      <c r="B163" s="51">
        <v>215</v>
      </c>
      <c r="C163" s="51">
        <v>139</v>
      </c>
      <c r="D163" s="51">
        <v>325444</v>
      </c>
      <c r="E163" s="51">
        <v>3.25</v>
      </c>
      <c r="F163" s="53">
        <v>35501</v>
      </c>
      <c r="G163" s="47">
        <f t="shared" si="5"/>
        <v>2.335271198731579E-4</v>
      </c>
    </row>
    <row r="164" spans="1:7" x14ac:dyDescent="0.3">
      <c r="A164" s="5" t="s">
        <v>29</v>
      </c>
      <c r="B164" s="51">
        <v>559</v>
      </c>
      <c r="C164" s="51">
        <v>392</v>
      </c>
      <c r="D164" s="51">
        <v>78789</v>
      </c>
      <c r="E164" s="51">
        <v>3.19</v>
      </c>
      <c r="F164" s="53">
        <v>2436</v>
      </c>
      <c r="G164" s="47">
        <f t="shared" si="5"/>
        <v>2.1195852212872357E-3</v>
      </c>
    </row>
    <row r="165" spans="1:7" x14ac:dyDescent="0.3">
      <c r="A165" s="5" t="s">
        <v>592</v>
      </c>
      <c r="B165" s="51">
        <v>1222</v>
      </c>
      <c r="C165" s="51">
        <v>274</v>
      </c>
      <c r="D165" s="51">
        <v>487289</v>
      </c>
      <c r="E165" s="51">
        <v>3.16</v>
      </c>
      <c r="F165" s="53">
        <v>32500</v>
      </c>
      <c r="G165" s="47">
        <f t="shared" si="5"/>
        <v>1.9454574184929272E-3</v>
      </c>
    </row>
    <row r="166" spans="1:7" x14ac:dyDescent="0.3">
      <c r="A166" s="5" t="s">
        <v>23</v>
      </c>
      <c r="B166" s="51">
        <v>1197</v>
      </c>
      <c r="C166" s="51">
        <v>203</v>
      </c>
      <c r="D166" s="51">
        <v>413878</v>
      </c>
      <c r="E166" s="51">
        <v>3.16</v>
      </c>
      <c r="F166" s="53">
        <v>21205</v>
      </c>
      <c r="G166" s="47">
        <f t="shared" si="5"/>
        <v>2.4016739232334168E-3</v>
      </c>
    </row>
    <row r="167" spans="1:7" x14ac:dyDescent="0.3">
      <c r="A167" s="5" t="s">
        <v>39</v>
      </c>
      <c r="B167" s="51">
        <v>508</v>
      </c>
      <c r="C167" s="51">
        <v>69</v>
      </c>
      <c r="D167" s="51">
        <v>23492</v>
      </c>
      <c r="E167" s="51">
        <v>3.16</v>
      </c>
      <c r="F167" s="53">
        <v>42824</v>
      </c>
      <c r="G167" s="47">
        <f t="shared" si="5"/>
        <v>1.8687212668142345E-2</v>
      </c>
    </row>
    <row r="168" spans="1:7" x14ac:dyDescent="0.3">
      <c r="A168" s="5" t="s">
        <v>39</v>
      </c>
      <c r="B168" s="51">
        <v>1980</v>
      </c>
      <c r="C168" s="51">
        <v>204</v>
      </c>
      <c r="D168" s="51">
        <v>379431</v>
      </c>
      <c r="E168" s="51">
        <v>3.09</v>
      </c>
      <c r="F168" s="53">
        <v>25140</v>
      </c>
      <c r="G168" s="47">
        <f t="shared" si="5"/>
        <v>4.6806929323118035E-3</v>
      </c>
    </row>
    <row r="169" spans="1:7" x14ac:dyDescent="0.3">
      <c r="A169" s="5" t="s">
        <v>23</v>
      </c>
      <c r="B169" s="51">
        <v>1707</v>
      </c>
      <c r="C169" s="51">
        <v>74</v>
      </c>
      <c r="D169" s="51">
        <v>270958</v>
      </c>
      <c r="E169" s="51">
        <v>3.09</v>
      </c>
      <c r="F169" s="53">
        <v>14090</v>
      </c>
      <c r="G169" s="47">
        <f t="shared" si="5"/>
        <v>6.0267642955734836E-3</v>
      </c>
    </row>
    <row r="170" spans="1:7" x14ac:dyDescent="0.3">
      <c r="A170" s="5" t="s">
        <v>23</v>
      </c>
      <c r="B170" s="51">
        <v>1900</v>
      </c>
      <c r="C170" s="51">
        <v>311</v>
      </c>
      <c r="D170" s="51">
        <v>25177</v>
      </c>
      <c r="E170" s="51">
        <v>2.89</v>
      </c>
      <c r="F170" s="53">
        <v>14154</v>
      </c>
      <c r="G170" s="47">
        <f t="shared" si="5"/>
        <v>6.3113158835445049E-2</v>
      </c>
    </row>
    <row r="171" spans="1:7" x14ac:dyDescent="0.3">
      <c r="A171" s="5" t="s">
        <v>23</v>
      </c>
      <c r="B171" s="51">
        <v>883</v>
      </c>
      <c r="C171" s="51">
        <v>369</v>
      </c>
      <c r="D171" s="51">
        <v>233694</v>
      </c>
      <c r="E171" s="51">
        <v>2.88</v>
      </c>
      <c r="F171" s="53">
        <v>15071</v>
      </c>
      <c r="G171" s="47">
        <f t="shared" si="5"/>
        <v>2.1994574101175039E-3</v>
      </c>
    </row>
    <row r="172" spans="1:7" x14ac:dyDescent="0.3">
      <c r="A172" s="5" t="s">
        <v>29</v>
      </c>
      <c r="B172" s="51">
        <v>1138</v>
      </c>
      <c r="C172" s="51">
        <v>173</v>
      </c>
      <c r="D172" s="51">
        <v>453243</v>
      </c>
      <c r="E172" s="51">
        <v>2.86</v>
      </c>
      <c r="F172" s="53">
        <v>44097</v>
      </c>
      <c r="G172" s="47">
        <f t="shared" si="5"/>
        <v>2.1291007252180398E-3</v>
      </c>
    </row>
    <row r="173" spans="1:7" x14ac:dyDescent="0.3">
      <c r="A173" s="5" t="s">
        <v>592</v>
      </c>
      <c r="B173" s="51">
        <v>330</v>
      </c>
      <c r="C173" s="51">
        <v>232</v>
      </c>
      <c r="D173" s="51">
        <v>88455</v>
      </c>
      <c r="E173" s="51">
        <v>2.69</v>
      </c>
      <c r="F173" s="53">
        <v>39530</v>
      </c>
      <c r="G173" s="47">
        <f t="shared" si="5"/>
        <v>1.1079079758069075E-3</v>
      </c>
    </row>
    <row r="174" spans="1:7" x14ac:dyDescent="0.3">
      <c r="A174" s="5" t="s">
        <v>39</v>
      </c>
      <c r="B174" s="51">
        <v>513</v>
      </c>
      <c r="C174" s="51">
        <v>441</v>
      </c>
      <c r="D174" s="51">
        <v>338847</v>
      </c>
      <c r="E174" s="51">
        <v>2.68</v>
      </c>
      <c r="F174" s="53">
        <v>39997</v>
      </c>
      <c r="G174" s="47">
        <f t="shared" si="5"/>
        <v>2.1248528096751631E-4</v>
      </c>
    </row>
    <row r="175" spans="1:7" x14ac:dyDescent="0.3">
      <c r="A175" s="5" t="s">
        <v>23</v>
      </c>
      <c r="B175" s="51">
        <v>452</v>
      </c>
      <c r="C175" s="51">
        <v>161</v>
      </c>
      <c r="D175" s="51">
        <v>221274</v>
      </c>
      <c r="E175" s="51">
        <v>2.65</v>
      </c>
      <c r="F175" s="53">
        <v>40888</v>
      </c>
      <c r="G175" s="47">
        <f t="shared" si="5"/>
        <v>1.3151115811166245E-3</v>
      </c>
    </row>
    <row r="176" spans="1:7" x14ac:dyDescent="0.3">
      <c r="A176" s="5" t="s">
        <v>23</v>
      </c>
      <c r="B176" s="51">
        <v>308</v>
      </c>
      <c r="C176" s="51">
        <v>431</v>
      </c>
      <c r="D176" s="51">
        <v>426184</v>
      </c>
      <c r="E176" s="51">
        <v>2.62</v>
      </c>
      <c r="F176" s="53">
        <v>1783</v>
      </c>
      <c r="G176" s="47">
        <f t="shared" si="5"/>
        <v>-2.8860773750305035E-4</v>
      </c>
    </row>
    <row r="177" spans="1:7" x14ac:dyDescent="0.3">
      <c r="A177" s="5" t="s">
        <v>39</v>
      </c>
      <c r="B177" s="51">
        <v>1375</v>
      </c>
      <c r="C177" s="51">
        <v>330</v>
      </c>
      <c r="D177" s="51">
        <v>377382</v>
      </c>
      <c r="E177" s="51">
        <v>2.6</v>
      </c>
      <c r="F177" s="53">
        <v>7875</v>
      </c>
      <c r="G177" s="47">
        <f t="shared" si="5"/>
        <v>2.7690774864725927E-3</v>
      </c>
    </row>
    <row r="178" spans="1:7" x14ac:dyDescent="0.3">
      <c r="A178" s="5" t="s">
        <v>592</v>
      </c>
      <c r="B178" s="51">
        <v>118</v>
      </c>
      <c r="C178" s="51">
        <v>262</v>
      </c>
      <c r="D178" s="51">
        <v>487896</v>
      </c>
      <c r="E178" s="51">
        <v>2.56</v>
      </c>
      <c r="F178" s="53">
        <v>12350</v>
      </c>
      <c r="G178" s="47">
        <f t="shared" si="5"/>
        <v>-2.9514486693885583E-4</v>
      </c>
    </row>
    <row r="179" spans="1:7" x14ac:dyDescent="0.3">
      <c r="A179" s="5" t="s">
        <v>39</v>
      </c>
      <c r="B179" s="51">
        <v>1307</v>
      </c>
      <c r="C179" s="51">
        <v>278</v>
      </c>
      <c r="D179" s="51">
        <v>98596</v>
      </c>
      <c r="E179" s="51">
        <v>2.4900000000000002</v>
      </c>
      <c r="F179" s="53">
        <v>47603</v>
      </c>
      <c r="G179" s="47">
        <f t="shared" si="5"/>
        <v>1.0436528865268368E-2</v>
      </c>
    </row>
    <row r="180" spans="1:7" x14ac:dyDescent="0.3">
      <c r="A180" s="5" t="s">
        <v>29</v>
      </c>
      <c r="B180" s="51">
        <v>1048</v>
      </c>
      <c r="C180" s="51">
        <v>155</v>
      </c>
      <c r="D180" s="51">
        <v>456946</v>
      </c>
      <c r="E180" s="51">
        <v>2.46</v>
      </c>
      <c r="F180" s="53">
        <v>11329</v>
      </c>
      <c r="G180" s="47">
        <f t="shared" si="5"/>
        <v>1.9542790614208243E-3</v>
      </c>
    </row>
    <row r="181" spans="1:7" x14ac:dyDescent="0.3">
      <c r="A181" s="5" t="s">
        <v>592</v>
      </c>
      <c r="B181" s="51">
        <v>1487</v>
      </c>
      <c r="C181" s="51">
        <v>337</v>
      </c>
      <c r="D181" s="51">
        <v>87305</v>
      </c>
      <c r="E181" s="51">
        <v>2.46</v>
      </c>
      <c r="F181" s="53">
        <v>30428</v>
      </c>
      <c r="G181" s="47">
        <f t="shared" si="5"/>
        <v>1.3172212358971423E-2</v>
      </c>
    </row>
    <row r="182" spans="1:7" x14ac:dyDescent="0.3">
      <c r="A182" s="5" t="s">
        <v>592</v>
      </c>
      <c r="B182" s="51">
        <v>1147</v>
      </c>
      <c r="C182" s="51">
        <v>388</v>
      </c>
      <c r="D182" s="51">
        <v>333851</v>
      </c>
      <c r="E182" s="51">
        <v>2.44</v>
      </c>
      <c r="F182" s="53">
        <v>8471</v>
      </c>
      <c r="G182" s="47">
        <f t="shared" si="5"/>
        <v>2.2734693021737242E-3</v>
      </c>
    </row>
    <row r="183" spans="1:7" x14ac:dyDescent="0.3">
      <c r="A183" s="5" t="s">
        <v>39</v>
      </c>
      <c r="B183" s="51">
        <v>1697</v>
      </c>
      <c r="C183" s="51">
        <v>414</v>
      </c>
      <c r="D183" s="51">
        <v>316555</v>
      </c>
      <c r="E183" s="51">
        <v>2.37</v>
      </c>
      <c r="F183" s="53">
        <v>7924</v>
      </c>
      <c r="G183" s="47">
        <f t="shared" si="5"/>
        <v>4.0530081660374974E-3</v>
      </c>
    </row>
    <row r="184" spans="1:7" x14ac:dyDescent="0.3">
      <c r="A184" s="5" t="s">
        <v>29</v>
      </c>
      <c r="B184" s="51">
        <v>817</v>
      </c>
      <c r="C184" s="51">
        <v>151</v>
      </c>
      <c r="D184" s="51">
        <v>422625</v>
      </c>
      <c r="E184" s="51">
        <v>2.36</v>
      </c>
      <c r="F184" s="53">
        <v>1083</v>
      </c>
      <c r="G184" s="47">
        <f t="shared" si="5"/>
        <v>1.5758651286601596E-3</v>
      </c>
    </row>
    <row r="185" spans="1:7" x14ac:dyDescent="0.3">
      <c r="A185" s="5" t="s">
        <v>592</v>
      </c>
      <c r="B185" s="51">
        <v>1633</v>
      </c>
      <c r="C185" s="51">
        <v>445</v>
      </c>
      <c r="D185" s="51">
        <v>371156</v>
      </c>
      <c r="E185" s="51">
        <v>2.2200000000000002</v>
      </c>
      <c r="F185" s="53">
        <v>2798</v>
      </c>
      <c r="G185" s="47">
        <f t="shared" si="5"/>
        <v>3.2008104408927781E-3</v>
      </c>
    </row>
    <row r="186" spans="1:7" x14ac:dyDescent="0.3">
      <c r="A186" s="5" t="s">
        <v>592</v>
      </c>
      <c r="B186" s="51">
        <v>752</v>
      </c>
      <c r="C186" s="51">
        <v>153</v>
      </c>
      <c r="D186" s="51">
        <v>64906</v>
      </c>
      <c r="E186" s="51">
        <v>2.09</v>
      </c>
      <c r="F186" s="53">
        <v>12148</v>
      </c>
      <c r="G186" s="47">
        <f t="shared" si="5"/>
        <v>9.2287307798970819E-3</v>
      </c>
    </row>
    <row r="187" spans="1:7" x14ac:dyDescent="0.3">
      <c r="A187" s="5" t="s">
        <v>39</v>
      </c>
      <c r="B187" s="51">
        <v>1155</v>
      </c>
      <c r="C187" s="51">
        <v>425</v>
      </c>
      <c r="D187" s="51">
        <v>93347</v>
      </c>
      <c r="E187" s="51">
        <v>2.02</v>
      </c>
      <c r="F187" s="53">
        <v>47502</v>
      </c>
      <c r="G187" s="47">
        <f t="shared" si="5"/>
        <v>7.8202834584935772E-3</v>
      </c>
    </row>
    <row r="188" spans="1:7" x14ac:dyDescent="0.3">
      <c r="A188" s="5" t="s">
        <v>592</v>
      </c>
      <c r="B188" s="51">
        <v>1501</v>
      </c>
      <c r="C188" s="51">
        <v>75</v>
      </c>
      <c r="D188" s="51">
        <v>262569</v>
      </c>
      <c r="E188" s="51">
        <v>2.0099999999999998</v>
      </c>
      <c r="F188" s="53">
        <v>19119</v>
      </c>
      <c r="G188" s="47">
        <f t="shared" si="5"/>
        <v>5.4309533874905263E-3</v>
      </c>
    </row>
    <row r="189" spans="1:7" x14ac:dyDescent="0.3">
      <c r="A189" s="5" t="s">
        <v>23</v>
      </c>
      <c r="B189" s="51">
        <v>1814</v>
      </c>
      <c r="C189" s="51">
        <v>157</v>
      </c>
      <c r="D189" s="51">
        <v>305827</v>
      </c>
      <c r="E189" s="51">
        <v>1.99</v>
      </c>
      <c r="F189" s="53">
        <v>46643</v>
      </c>
      <c r="G189" s="47">
        <f t="shared" si="5"/>
        <v>5.4180958515762179E-3</v>
      </c>
    </row>
    <row r="190" spans="1:7" x14ac:dyDescent="0.3">
      <c r="A190" s="5" t="s">
        <v>39</v>
      </c>
      <c r="B190" s="51">
        <v>350</v>
      </c>
      <c r="C190" s="51">
        <v>41</v>
      </c>
      <c r="D190" s="51">
        <v>251694</v>
      </c>
      <c r="E190" s="51">
        <v>1.91</v>
      </c>
      <c r="F190" s="53">
        <v>38610</v>
      </c>
      <c r="G190" s="47">
        <f t="shared" si="5"/>
        <v>1.2276812319721568E-3</v>
      </c>
    </row>
    <row r="191" spans="1:7" x14ac:dyDescent="0.3">
      <c r="A191" s="5" t="s">
        <v>23</v>
      </c>
      <c r="B191" s="51">
        <v>442</v>
      </c>
      <c r="C191" s="51">
        <v>53</v>
      </c>
      <c r="D191" s="51">
        <v>441931</v>
      </c>
      <c r="E191" s="51">
        <v>1.87</v>
      </c>
      <c r="F191" s="53">
        <v>20059</v>
      </c>
      <c r="G191" s="47">
        <f t="shared" si="5"/>
        <v>8.8022790888170322E-4</v>
      </c>
    </row>
    <row r="192" spans="1:7" x14ac:dyDescent="0.3">
      <c r="A192" s="5" t="s">
        <v>29</v>
      </c>
      <c r="B192" s="51">
        <v>1765</v>
      </c>
      <c r="C192" s="51">
        <v>109</v>
      </c>
      <c r="D192" s="51">
        <v>468301</v>
      </c>
      <c r="E192" s="51">
        <v>1.82</v>
      </c>
      <c r="F192" s="53">
        <v>20042</v>
      </c>
      <c r="G192" s="47">
        <f t="shared" si="5"/>
        <v>3.5361871958419907E-3</v>
      </c>
    </row>
    <row r="193" spans="1:7" x14ac:dyDescent="0.3">
      <c r="A193" s="5" t="s">
        <v>29</v>
      </c>
      <c r="B193" s="51">
        <v>1494</v>
      </c>
      <c r="C193" s="51">
        <v>375</v>
      </c>
      <c r="D193" s="51">
        <v>220616</v>
      </c>
      <c r="E193" s="51">
        <v>1.81</v>
      </c>
      <c r="F193" s="53">
        <v>22724</v>
      </c>
      <c r="G193" s="47">
        <f t="shared" si="5"/>
        <v>5.0721615839286359E-3</v>
      </c>
    </row>
    <row r="194" spans="1:7" x14ac:dyDescent="0.3">
      <c r="A194" s="5" t="s">
        <v>592</v>
      </c>
      <c r="B194" s="51">
        <v>1077</v>
      </c>
      <c r="C194" s="51">
        <v>216</v>
      </c>
      <c r="D194" s="51">
        <v>12447</v>
      </c>
      <c r="E194" s="51">
        <v>1.8</v>
      </c>
      <c r="F194" s="53">
        <v>14068</v>
      </c>
      <c r="G194" s="47">
        <f t="shared" ref="G194:G201" si="6">((B194-C194)/D194)</f>
        <v>6.9173294769824048E-2</v>
      </c>
    </row>
    <row r="195" spans="1:7" x14ac:dyDescent="0.3">
      <c r="A195" s="5" t="s">
        <v>39</v>
      </c>
      <c r="B195" s="51">
        <v>250</v>
      </c>
      <c r="C195" s="51">
        <v>429</v>
      </c>
      <c r="D195" s="51">
        <v>453423</v>
      </c>
      <c r="E195" s="51">
        <v>1.77</v>
      </c>
      <c r="F195" s="53">
        <v>2315</v>
      </c>
      <c r="G195" s="47">
        <f t="shared" si="6"/>
        <v>-3.9477485703195471E-4</v>
      </c>
    </row>
    <row r="196" spans="1:7" x14ac:dyDescent="0.3">
      <c r="A196" s="5" t="s">
        <v>39</v>
      </c>
      <c r="B196" s="51">
        <v>1842</v>
      </c>
      <c r="C196" s="51">
        <v>414</v>
      </c>
      <c r="D196" s="51">
        <v>307524</v>
      </c>
      <c r="E196" s="51">
        <v>1.76</v>
      </c>
      <c r="F196" s="53">
        <v>40478</v>
      </c>
      <c r="G196" s="47">
        <f t="shared" si="6"/>
        <v>4.6435400163889647E-3</v>
      </c>
    </row>
    <row r="197" spans="1:7" x14ac:dyDescent="0.3">
      <c r="A197" s="5" t="s">
        <v>29</v>
      </c>
      <c r="B197" s="51">
        <v>1814</v>
      </c>
      <c r="C197" s="51">
        <v>49</v>
      </c>
      <c r="D197" s="51">
        <v>140804</v>
      </c>
      <c r="E197" s="51">
        <v>1.76</v>
      </c>
      <c r="F197" s="53">
        <v>4313</v>
      </c>
      <c r="G197" s="47">
        <f t="shared" si="6"/>
        <v>1.253515525127127E-2</v>
      </c>
    </row>
    <row r="198" spans="1:7" x14ac:dyDescent="0.3">
      <c r="A198" s="5" t="s">
        <v>39</v>
      </c>
      <c r="B198" s="51">
        <v>1929</v>
      </c>
      <c r="C198" s="51">
        <v>267</v>
      </c>
      <c r="D198" s="51">
        <v>379363</v>
      </c>
      <c r="E198" s="51">
        <v>1.75</v>
      </c>
      <c r="F198" s="53">
        <v>43836</v>
      </c>
      <c r="G198" s="47">
        <f t="shared" si="6"/>
        <v>4.3810281972675247E-3</v>
      </c>
    </row>
    <row r="199" spans="1:7" x14ac:dyDescent="0.3">
      <c r="A199" s="5" t="s">
        <v>23</v>
      </c>
      <c r="B199" s="51">
        <v>777</v>
      </c>
      <c r="C199" s="51">
        <v>140</v>
      </c>
      <c r="D199" s="51">
        <v>11435</v>
      </c>
      <c r="E199" s="51">
        <v>1.6</v>
      </c>
      <c r="F199" s="53">
        <v>6832</v>
      </c>
      <c r="G199" s="47">
        <f t="shared" si="6"/>
        <v>5.5706165282028861E-2</v>
      </c>
    </row>
    <row r="200" spans="1:7" x14ac:dyDescent="0.3">
      <c r="A200" s="5" t="s">
        <v>29</v>
      </c>
      <c r="B200" s="51">
        <v>490</v>
      </c>
      <c r="C200" s="51">
        <v>29</v>
      </c>
      <c r="D200" s="51">
        <v>364810</v>
      </c>
      <c r="E200" s="51">
        <v>1.53</v>
      </c>
      <c r="F200" s="53">
        <v>49077</v>
      </c>
      <c r="G200" s="47">
        <f t="shared" si="6"/>
        <v>1.2636715002329981E-3</v>
      </c>
    </row>
    <row r="201" spans="1:7" x14ac:dyDescent="0.3">
      <c r="A201" s="5" t="s">
        <v>23</v>
      </c>
      <c r="B201" s="51">
        <v>414</v>
      </c>
      <c r="C201" s="51">
        <v>47</v>
      </c>
      <c r="D201" s="51">
        <v>199178</v>
      </c>
      <c r="E201" s="51">
        <v>1.53</v>
      </c>
      <c r="F201" s="53">
        <v>6742</v>
      </c>
      <c r="G201" s="47">
        <f t="shared" si="6"/>
        <v>1.8425729749269497E-3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4DBE9-D0F0-426A-ACFE-2254FE354ED1}">
  <sheetPr>
    <tabColor theme="9" tint="0.39997558519241921"/>
  </sheetPr>
  <dimension ref="A1:R337"/>
  <sheetViews>
    <sheetView topLeftCell="A2" zoomScale="90" zoomScaleNormal="70" workbookViewId="0">
      <selection activeCell="I9" sqref="I9"/>
    </sheetView>
  </sheetViews>
  <sheetFormatPr defaultRowHeight="14.4" x14ac:dyDescent="0.3"/>
  <cols>
    <col min="1" max="1" width="29.44140625" customWidth="1"/>
    <col min="2" max="2" width="8.6640625" customWidth="1"/>
    <col min="3" max="3" width="12" customWidth="1"/>
    <col min="7" max="7" width="20.21875" bestFit="1" customWidth="1"/>
    <col min="8" max="8" width="20.6640625" bestFit="1" customWidth="1"/>
    <col min="9" max="9" width="21.77734375" customWidth="1"/>
    <col min="11" max="11" width="20.21875" bestFit="1" customWidth="1"/>
    <col min="12" max="12" width="14.77734375" bestFit="1" customWidth="1"/>
    <col min="13" max="13" width="19.88671875" bestFit="1" customWidth="1"/>
  </cols>
  <sheetData>
    <row r="1" spans="1:18" x14ac:dyDescent="0.3">
      <c r="A1" t="s">
        <v>11</v>
      </c>
      <c r="B1" t="s">
        <v>5</v>
      </c>
      <c r="C1" t="s">
        <v>7</v>
      </c>
    </row>
    <row r="2" spans="1:18" x14ac:dyDescent="0.3">
      <c r="A2" t="s">
        <v>33</v>
      </c>
      <c r="B2">
        <v>1644</v>
      </c>
      <c r="C2">
        <v>150</v>
      </c>
      <c r="G2" s="45" t="s">
        <v>647</v>
      </c>
      <c r="H2" t="s">
        <v>649</v>
      </c>
      <c r="I2" t="s">
        <v>648</v>
      </c>
    </row>
    <row r="3" spans="1:18" x14ac:dyDescent="0.3">
      <c r="A3" t="s">
        <v>33</v>
      </c>
      <c r="B3">
        <v>4750</v>
      </c>
      <c r="C3">
        <v>415</v>
      </c>
      <c r="G3" s="46" t="s">
        <v>601</v>
      </c>
      <c r="H3" s="62">
        <v>2200.0714285714284</v>
      </c>
      <c r="I3" s="62">
        <v>272.64285714285717</v>
      </c>
    </row>
    <row r="4" spans="1:18" ht="18" x14ac:dyDescent="0.35">
      <c r="A4" t="s">
        <v>26</v>
      </c>
      <c r="B4">
        <v>4619</v>
      </c>
      <c r="C4">
        <v>499</v>
      </c>
      <c r="G4" s="46" t="s">
        <v>602</v>
      </c>
      <c r="H4" s="62">
        <v>3455.6666666666665</v>
      </c>
      <c r="I4" s="62">
        <v>162</v>
      </c>
      <c r="L4" s="201"/>
      <c r="M4" s="201"/>
    </row>
    <row r="5" spans="1:18" ht="18" x14ac:dyDescent="0.35">
      <c r="A5" t="s">
        <v>57</v>
      </c>
      <c r="B5">
        <v>1957</v>
      </c>
      <c r="C5">
        <v>238</v>
      </c>
      <c r="G5" s="46" t="s">
        <v>57</v>
      </c>
      <c r="H5" s="62">
        <v>2634.7184466019417</v>
      </c>
      <c r="I5" s="62">
        <v>262.50485436893206</v>
      </c>
      <c r="L5" s="198" t="s">
        <v>665</v>
      </c>
      <c r="M5" s="199"/>
      <c r="N5" s="200"/>
      <c r="O5" s="200"/>
      <c r="P5" s="200"/>
      <c r="Q5" s="200"/>
    </row>
    <row r="6" spans="1:18" x14ac:dyDescent="0.3">
      <c r="A6" t="s">
        <v>26</v>
      </c>
      <c r="B6">
        <v>3861</v>
      </c>
      <c r="C6">
        <v>101</v>
      </c>
      <c r="G6" s="46" t="s">
        <v>26</v>
      </c>
      <c r="H6" s="62">
        <v>2722</v>
      </c>
      <c r="I6" s="62">
        <v>254.26415094339623</v>
      </c>
      <c r="L6" s="196" t="s">
        <v>729</v>
      </c>
      <c r="M6" s="196"/>
      <c r="N6" s="196"/>
      <c r="O6" s="196"/>
      <c r="P6" s="196"/>
      <c r="Q6" s="196"/>
      <c r="R6" s="196"/>
    </row>
    <row r="7" spans="1:18" x14ac:dyDescent="0.3">
      <c r="A7" t="s">
        <v>33</v>
      </c>
      <c r="B7">
        <v>3641</v>
      </c>
      <c r="C7">
        <v>46</v>
      </c>
      <c r="G7" s="46" t="s">
        <v>587</v>
      </c>
      <c r="H7" s="62">
        <v>3127.8</v>
      </c>
      <c r="I7" s="62">
        <v>283.39999999999998</v>
      </c>
      <c r="L7" s="197" t="s">
        <v>730</v>
      </c>
      <c r="M7" s="196"/>
      <c r="N7" s="196"/>
      <c r="O7" s="196"/>
      <c r="P7" s="196"/>
      <c r="Q7" s="196"/>
      <c r="R7" s="196"/>
    </row>
    <row r="8" spans="1:18" x14ac:dyDescent="0.3">
      <c r="A8" t="s">
        <v>26</v>
      </c>
      <c r="B8">
        <v>59</v>
      </c>
      <c r="C8">
        <v>93</v>
      </c>
      <c r="G8" s="46" t="s">
        <v>33</v>
      </c>
      <c r="H8" s="62">
        <v>2838.8039215686276</v>
      </c>
      <c r="I8" s="62">
        <v>230.95098039215685</v>
      </c>
    </row>
    <row r="9" spans="1:18" x14ac:dyDescent="0.3">
      <c r="A9" t="s">
        <v>26</v>
      </c>
      <c r="B9">
        <v>3796</v>
      </c>
      <c r="C9">
        <v>395</v>
      </c>
    </row>
    <row r="10" spans="1:18" x14ac:dyDescent="0.3">
      <c r="A10" t="s">
        <v>26</v>
      </c>
      <c r="B10">
        <v>4295</v>
      </c>
      <c r="C10">
        <v>325</v>
      </c>
    </row>
    <row r="11" spans="1:18" ht="15.6" x14ac:dyDescent="0.3">
      <c r="A11" t="s">
        <v>33</v>
      </c>
      <c r="B11">
        <v>1881</v>
      </c>
      <c r="C11">
        <v>99</v>
      </c>
      <c r="G11" s="202" t="s">
        <v>738</v>
      </c>
      <c r="H11" s="200"/>
      <c r="I11" s="200"/>
      <c r="J11" s="200"/>
      <c r="K11" s="200"/>
    </row>
    <row r="12" spans="1:18" x14ac:dyDescent="0.3">
      <c r="A12" t="s">
        <v>33</v>
      </c>
      <c r="B12">
        <v>1871</v>
      </c>
      <c r="C12">
        <v>335</v>
      </c>
    </row>
    <row r="13" spans="1:18" x14ac:dyDescent="0.3">
      <c r="A13" t="s">
        <v>57</v>
      </c>
      <c r="B13">
        <v>257</v>
      </c>
      <c r="C13">
        <v>398</v>
      </c>
    </row>
    <row r="14" spans="1:18" x14ac:dyDescent="0.3">
      <c r="A14" t="s">
        <v>57</v>
      </c>
      <c r="B14">
        <v>3773</v>
      </c>
      <c r="C14">
        <v>38</v>
      </c>
      <c r="G14" s="45" t="s">
        <v>647</v>
      </c>
      <c r="H14" t="s">
        <v>646</v>
      </c>
    </row>
    <row r="15" spans="1:18" x14ac:dyDescent="0.3">
      <c r="A15" t="s">
        <v>26</v>
      </c>
      <c r="B15">
        <v>1816</v>
      </c>
      <c r="C15">
        <v>41</v>
      </c>
      <c r="G15" s="46" t="s">
        <v>33</v>
      </c>
      <c r="H15" s="43">
        <v>102</v>
      </c>
    </row>
    <row r="16" spans="1:18" x14ac:dyDescent="0.3">
      <c r="A16" t="s">
        <v>57</v>
      </c>
      <c r="B16">
        <v>521</v>
      </c>
      <c r="C16">
        <v>315</v>
      </c>
      <c r="G16" s="46" t="s">
        <v>587</v>
      </c>
      <c r="H16" s="43">
        <v>5</v>
      </c>
    </row>
    <row r="17" spans="1:10" x14ac:dyDescent="0.3">
      <c r="A17" t="s">
        <v>26</v>
      </c>
      <c r="B17">
        <v>438</v>
      </c>
      <c r="C17">
        <v>275</v>
      </c>
      <c r="G17" s="46" t="s">
        <v>26</v>
      </c>
      <c r="H17" s="43">
        <v>106</v>
      </c>
    </row>
    <row r="18" spans="1:10" x14ac:dyDescent="0.3">
      <c r="A18" t="s">
        <v>57</v>
      </c>
      <c r="B18">
        <v>914</v>
      </c>
      <c r="C18">
        <v>246</v>
      </c>
      <c r="G18" s="46" t="s">
        <v>57</v>
      </c>
      <c r="H18" s="43">
        <v>103</v>
      </c>
    </row>
    <row r="19" spans="1:10" x14ac:dyDescent="0.3">
      <c r="A19" t="s">
        <v>33</v>
      </c>
      <c r="B19">
        <v>4516</v>
      </c>
      <c r="C19">
        <v>169</v>
      </c>
      <c r="G19" s="46" t="s">
        <v>602</v>
      </c>
      <c r="H19" s="43">
        <v>6</v>
      </c>
    </row>
    <row r="20" spans="1:10" x14ac:dyDescent="0.3">
      <c r="A20" t="s">
        <v>26</v>
      </c>
      <c r="B20">
        <v>4905</v>
      </c>
      <c r="C20">
        <v>129</v>
      </c>
      <c r="G20" s="46" t="s">
        <v>601</v>
      </c>
      <c r="H20" s="43">
        <v>14</v>
      </c>
    </row>
    <row r="21" spans="1:10" x14ac:dyDescent="0.3">
      <c r="A21" t="s">
        <v>57</v>
      </c>
      <c r="B21">
        <v>3008</v>
      </c>
      <c r="C21">
        <v>37</v>
      </c>
    </row>
    <row r="22" spans="1:10" x14ac:dyDescent="0.3">
      <c r="A22" t="s">
        <v>33</v>
      </c>
      <c r="B22">
        <v>2634</v>
      </c>
      <c r="C22">
        <v>241</v>
      </c>
      <c r="G22" s="101" t="s">
        <v>650</v>
      </c>
      <c r="H22" s="102"/>
      <c r="I22" s="102"/>
      <c r="J22" s="102"/>
    </row>
    <row r="23" spans="1:10" x14ac:dyDescent="0.3">
      <c r="A23" t="s">
        <v>26</v>
      </c>
      <c r="B23">
        <v>2509</v>
      </c>
      <c r="C23">
        <v>171</v>
      </c>
      <c r="G23" s="101" t="s">
        <v>651</v>
      </c>
      <c r="H23" s="102"/>
      <c r="I23" s="102"/>
    </row>
    <row r="24" spans="1:10" x14ac:dyDescent="0.3">
      <c r="A24" t="s">
        <v>33</v>
      </c>
      <c r="B24">
        <v>2278</v>
      </c>
      <c r="C24">
        <v>321</v>
      </c>
    </row>
    <row r="25" spans="1:10" x14ac:dyDescent="0.3">
      <c r="A25" t="s">
        <v>26</v>
      </c>
      <c r="B25">
        <v>1869</v>
      </c>
      <c r="C25">
        <v>490</v>
      </c>
    </row>
    <row r="26" spans="1:10" x14ac:dyDescent="0.3">
      <c r="A26" t="s">
        <v>33</v>
      </c>
      <c r="B26">
        <v>1176</v>
      </c>
      <c r="C26">
        <v>394</v>
      </c>
    </row>
    <row r="27" spans="1:10" x14ac:dyDescent="0.3">
      <c r="A27" t="s">
        <v>57</v>
      </c>
      <c r="B27">
        <v>4213</v>
      </c>
      <c r="C27">
        <v>434</v>
      </c>
    </row>
    <row r="28" spans="1:10" x14ac:dyDescent="0.3">
      <c r="A28" t="s">
        <v>57</v>
      </c>
      <c r="B28">
        <v>3775</v>
      </c>
      <c r="C28">
        <v>239</v>
      </c>
    </row>
    <row r="29" spans="1:10" x14ac:dyDescent="0.3">
      <c r="A29" t="s">
        <v>26</v>
      </c>
      <c r="B29">
        <v>1188</v>
      </c>
      <c r="C29">
        <v>174</v>
      </c>
    </row>
    <row r="30" spans="1:10" x14ac:dyDescent="0.3">
      <c r="A30" t="s">
        <v>33</v>
      </c>
      <c r="B30">
        <v>3523</v>
      </c>
      <c r="C30">
        <v>482</v>
      </c>
    </row>
    <row r="31" spans="1:10" x14ac:dyDescent="0.3">
      <c r="A31" t="s">
        <v>33</v>
      </c>
      <c r="B31">
        <v>4579</v>
      </c>
      <c r="C31">
        <v>300</v>
      </c>
    </row>
    <row r="32" spans="1:10" x14ac:dyDescent="0.3">
      <c r="A32" t="s">
        <v>33</v>
      </c>
      <c r="B32">
        <v>3068</v>
      </c>
      <c r="C32">
        <v>329</v>
      </c>
    </row>
    <row r="33" spans="1:3" x14ac:dyDescent="0.3">
      <c r="A33" t="s">
        <v>26</v>
      </c>
      <c r="B33">
        <v>3798</v>
      </c>
      <c r="C33">
        <v>279</v>
      </c>
    </row>
    <row r="34" spans="1:3" x14ac:dyDescent="0.3">
      <c r="A34" t="s">
        <v>57</v>
      </c>
      <c r="B34">
        <v>4242</v>
      </c>
      <c r="C34">
        <v>131</v>
      </c>
    </row>
    <row r="35" spans="1:3" x14ac:dyDescent="0.3">
      <c r="A35" t="s">
        <v>33</v>
      </c>
      <c r="B35">
        <v>4292</v>
      </c>
      <c r="C35">
        <v>392</v>
      </c>
    </row>
    <row r="36" spans="1:3" x14ac:dyDescent="0.3">
      <c r="A36" t="s">
        <v>33</v>
      </c>
      <c r="B36">
        <v>3432</v>
      </c>
      <c r="C36">
        <v>123</v>
      </c>
    </row>
    <row r="37" spans="1:3" x14ac:dyDescent="0.3">
      <c r="A37" t="s">
        <v>26</v>
      </c>
      <c r="B37">
        <v>103</v>
      </c>
      <c r="C37">
        <v>19</v>
      </c>
    </row>
    <row r="38" spans="1:3" x14ac:dyDescent="0.3">
      <c r="A38" t="s">
        <v>57</v>
      </c>
      <c r="B38">
        <v>4780</v>
      </c>
      <c r="C38">
        <v>380</v>
      </c>
    </row>
    <row r="39" spans="1:3" x14ac:dyDescent="0.3">
      <c r="A39" t="s">
        <v>26</v>
      </c>
      <c r="B39">
        <v>2945</v>
      </c>
      <c r="C39">
        <v>355</v>
      </c>
    </row>
    <row r="40" spans="1:3" x14ac:dyDescent="0.3">
      <c r="A40" t="s">
        <v>26</v>
      </c>
      <c r="B40">
        <v>1674</v>
      </c>
      <c r="C40">
        <v>37</v>
      </c>
    </row>
    <row r="41" spans="1:3" x14ac:dyDescent="0.3">
      <c r="A41" t="s">
        <v>57</v>
      </c>
      <c r="B41">
        <v>1841</v>
      </c>
      <c r="C41">
        <v>342</v>
      </c>
    </row>
    <row r="42" spans="1:3" x14ac:dyDescent="0.3">
      <c r="A42" t="s">
        <v>33</v>
      </c>
      <c r="B42">
        <v>827</v>
      </c>
      <c r="C42">
        <v>402</v>
      </c>
    </row>
    <row r="43" spans="1:3" x14ac:dyDescent="0.3">
      <c r="A43" t="s">
        <v>26</v>
      </c>
      <c r="B43">
        <v>3338</v>
      </c>
      <c r="C43">
        <v>118</v>
      </c>
    </row>
    <row r="44" spans="1:3" x14ac:dyDescent="0.3">
      <c r="A44" t="s">
        <v>33</v>
      </c>
      <c r="B44">
        <v>3215</v>
      </c>
      <c r="C44">
        <v>202</v>
      </c>
    </row>
    <row r="45" spans="1:3" x14ac:dyDescent="0.3">
      <c r="A45" t="s">
        <v>57</v>
      </c>
      <c r="B45">
        <v>1430</v>
      </c>
      <c r="C45">
        <v>33</v>
      </c>
    </row>
    <row r="46" spans="1:3" x14ac:dyDescent="0.3">
      <c r="A46" t="s">
        <v>57</v>
      </c>
      <c r="B46">
        <v>3813</v>
      </c>
      <c r="C46">
        <v>274</v>
      </c>
    </row>
    <row r="47" spans="1:3" x14ac:dyDescent="0.3">
      <c r="A47" t="s">
        <v>57</v>
      </c>
      <c r="B47">
        <v>2382</v>
      </c>
      <c r="C47">
        <v>134</v>
      </c>
    </row>
    <row r="48" spans="1:3" x14ac:dyDescent="0.3">
      <c r="A48" t="s">
        <v>33</v>
      </c>
      <c r="B48">
        <v>2696</v>
      </c>
      <c r="C48">
        <v>443</v>
      </c>
    </row>
    <row r="49" spans="1:3" x14ac:dyDescent="0.3">
      <c r="A49" t="s">
        <v>33</v>
      </c>
      <c r="B49">
        <v>2143</v>
      </c>
      <c r="C49">
        <v>204</v>
      </c>
    </row>
    <row r="50" spans="1:3" x14ac:dyDescent="0.3">
      <c r="A50" t="s">
        <v>33</v>
      </c>
      <c r="B50">
        <v>3073</v>
      </c>
      <c r="C50">
        <v>174</v>
      </c>
    </row>
    <row r="51" spans="1:3" x14ac:dyDescent="0.3">
      <c r="A51" t="s">
        <v>26</v>
      </c>
      <c r="B51">
        <v>4671</v>
      </c>
      <c r="C51">
        <v>366</v>
      </c>
    </row>
    <row r="52" spans="1:3" x14ac:dyDescent="0.3">
      <c r="A52" t="s">
        <v>33</v>
      </c>
      <c r="B52">
        <v>3428</v>
      </c>
      <c r="C52">
        <v>85</v>
      </c>
    </row>
    <row r="53" spans="1:3" x14ac:dyDescent="0.3">
      <c r="A53" t="s">
        <v>26</v>
      </c>
      <c r="B53">
        <v>2493</v>
      </c>
      <c r="C53">
        <v>44</v>
      </c>
    </row>
    <row r="54" spans="1:3" x14ac:dyDescent="0.3">
      <c r="A54" t="s">
        <v>33</v>
      </c>
      <c r="B54">
        <v>1543</v>
      </c>
      <c r="C54">
        <v>333</v>
      </c>
    </row>
    <row r="55" spans="1:3" x14ac:dyDescent="0.3">
      <c r="A55" t="s">
        <v>26</v>
      </c>
      <c r="B55">
        <v>3196</v>
      </c>
      <c r="C55">
        <v>376</v>
      </c>
    </row>
    <row r="56" spans="1:3" x14ac:dyDescent="0.3">
      <c r="A56" t="s">
        <v>26</v>
      </c>
      <c r="B56">
        <v>3774</v>
      </c>
      <c r="C56">
        <v>39</v>
      </c>
    </row>
    <row r="57" spans="1:3" x14ac:dyDescent="0.3">
      <c r="A57" t="s">
        <v>57</v>
      </c>
      <c r="B57">
        <v>3170</v>
      </c>
      <c r="C57">
        <v>379</v>
      </c>
    </row>
    <row r="58" spans="1:3" x14ac:dyDescent="0.3">
      <c r="A58" t="s">
        <v>57</v>
      </c>
      <c r="B58">
        <v>3352</v>
      </c>
      <c r="C58">
        <v>482</v>
      </c>
    </row>
    <row r="59" spans="1:3" x14ac:dyDescent="0.3">
      <c r="A59" t="s">
        <v>33</v>
      </c>
      <c r="B59">
        <v>606</v>
      </c>
      <c r="C59">
        <v>470</v>
      </c>
    </row>
    <row r="60" spans="1:3" x14ac:dyDescent="0.3">
      <c r="A60" t="s">
        <v>26</v>
      </c>
      <c r="B60">
        <v>129</v>
      </c>
      <c r="C60">
        <v>136</v>
      </c>
    </row>
    <row r="61" spans="1:3" x14ac:dyDescent="0.3">
      <c r="A61" t="s">
        <v>57</v>
      </c>
      <c r="B61">
        <v>4236</v>
      </c>
      <c r="C61">
        <v>298</v>
      </c>
    </row>
    <row r="62" spans="1:3" x14ac:dyDescent="0.3">
      <c r="A62" t="s">
        <v>26</v>
      </c>
      <c r="B62">
        <v>880</v>
      </c>
      <c r="C62">
        <v>345</v>
      </c>
    </row>
    <row r="63" spans="1:3" x14ac:dyDescent="0.3">
      <c r="A63" t="s">
        <v>33</v>
      </c>
      <c r="B63">
        <v>3128</v>
      </c>
      <c r="C63">
        <v>197</v>
      </c>
    </row>
    <row r="64" spans="1:3" x14ac:dyDescent="0.3">
      <c r="A64" t="s">
        <v>26</v>
      </c>
      <c r="B64">
        <v>1206</v>
      </c>
      <c r="C64">
        <v>36</v>
      </c>
    </row>
    <row r="65" spans="1:3" x14ac:dyDescent="0.3">
      <c r="A65" t="s">
        <v>57</v>
      </c>
      <c r="B65">
        <v>3801</v>
      </c>
      <c r="C65">
        <v>401</v>
      </c>
    </row>
    <row r="66" spans="1:3" x14ac:dyDescent="0.3">
      <c r="A66" t="s">
        <v>57</v>
      </c>
      <c r="B66">
        <v>1952</v>
      </c>
      <c r="C66">
        <v>287</v>
      </c>
    </row>
    <row r="67" spans="1:3" x14ac:dyDescent="0.3">
      <c r="A67" t="s">
        <v>33</v>
      </c>
      <c r="B67">
        <v>3828</v>
      </c>
      <c r="C67">
        <v>253</v>
      </c>
    </row>
    <row r="68" spans="1:3" x14ac:dyDescent="0.3">
      <c r="A68" t="s">
        <v>26</v>
      </c>
      <c r="B68">
        <v>3860</v>
      </c>
      <c r="C68">
        <v>279</v>
      </c>
    </row>
    <row r="69" spans="1:3" x14ac:dyDescent="0.3">
      <c r="A69" t="s">
        <v>57</v>
      </c>
      <c r="B69">
        <v>305</v>
      </c>
      <c r="C69">
        <v>243</v>
      </c>
    </row>
    <row r="70" spans="1:3" x14ac:dyDescent="0.3">
      <c r="A70" t="s">
        <v>26</v>
      </c>
      <c r="B70">
        <v>3811</v>
      </c>
      <c r="C70">
        <v>216</v>
      </c>
    </row>
    <row r="71" spans="1:3" x14ac:dyDescent="0.3">
      <c r="A71" t="s">
        <v>26</v>
      </c>
      <c r="B71">
        <v>3718</v>
      </c>
      <c r="C71">
        <v>310</v>
      </c>
    </row>
    <row r="72" spans="1:3" x14ac:dyDescent="0.3">
      <c r="A72" t="s">
        <v>26</v>
      </c>
      <c r="B72">
        <v>571</v>
      </c>
      <c r="C72">
        <v>352</v>
      </c>
    </row>
    <row r="73" spans="1:3" x14ac:dyDescent="0.3">
      <c r="A73" t="s">
        <v>57</v>
      </c>
      <c r="B73">
        <v>4177</v>
      </c>
      <c r="C73">
        <v>55</v>
      </c>
    </row>
    <row r="74" spans="1:3" x14ac:dyDescent="0.3">
      <c r="A74" t="s">
        <v>26</v>
      </c>
      <c r="B74">
        <v>3239</v>
      </c>
      <c r="C74">
        <v>211</v>
      </c>
    </row>
    <row r="75" spans="1:3" x14ac:dyDescent="0.3">
      <c r="A75" t="s">
        <v>57</v>
      </c>
      <c r="B75">
        <v>1330</v>
      </c>
      <c r="C75">
        <v>35</v>
      </c>
    </row>
    <row r="76" spans="1:3" x14ac:dyDescent="0.3">
      <c r="A76" t="s">
        <v>57</v>
      </c>
      <c r="B76">
        <v>3389</v>
      </c>
      <c r="C76">
        <v>229</v>
      </c>
    </row>
    <row r="77" spans="1:3" x14ac:dyDescent="0.3">
      <c r="A77" t="s">
        <v>26</v>
      </c>
      <c r="B77">
        <v>2551</v>
      </c>
      <c r="C77">
        <v>205</v>
      </c>
    </row>
    <row r="78" spans="1:3" x14ac:dyDescent="0.3">
      <c r="A78" t="s">
        <v>57</v>
      </c>
      <c r="B78">
        <v>3767</v>
      </c>
      <c r="C78">
        <v>238</v>
      </c>
    </row>
    <row r="79" spans="1:3" x14ac:dyDescent="0.3">
      <c r="A79" t="s">
        <v>57</v>
      </c>
      <c r="B79">
        <v>2200</v>
      </c>
      <c r="C79">
        <v>239</v>
      </c>
    </row>
    <row r="80" spans="1:3" x14ac:dyDescent="0.3">
      <c r="A80" t="s">
        <v>26</v>
      </c>
      <c r="B80">
        <v>1606</v>
      </c>
      <c r="C80">
        <v>316</v>
      </c>
    </row>
    <row r="81" spans="1:3" x14ac:dyDescent="0.3">
      <c r="A81" t="s">
        <v>57</v>
      </c>
      <c r="B81">
        <v>2692</v>
      </c>
      <c r="C81">
        <v>64</v>
      </c>
    </row>
    <row r="82" spans="1:3" x14ac:dyDescent="0.3">
      <c r="A82" t="s">
        <v>33</v>
      </c>
      <c r="B82">
        <v>3557</v>
      </c>
      <c r="C82">
        <v>424</v>
      </c>
    </row>
    <row r="83" spans="1:3" x14ac:dyDescent="0.3">
      <c r="A83" t="s">
        <v>33</v>
      </c>
      <c r="B83">
        <v>1000</v>
      </c>
      <c r="C83">
        <v>162</v>
      </c>
    </row>
    <row r="84" spans="1:3" x14ac:dyDescent="0.3">
      <c r="A84" t="s">
        <v>33</v>
      </c>
      <c r="B84">
        <v>4858</v>
      </c>
      <c r="C84">
        <v>129</v>
      </c>
    </row>
    <row r="85" spans="1:3" x14ac:dyDescent="0.3">
      <c r="A85" t="s">
        <v>57</v>
      </c>
      <c r="B85">
        <v>2566</v>
      </c>
      <c r="C85">
        <v>37</v>
      </c>
    </row>
    <row r="86" spans="1:3" x14ac:dyDescent="0.3">
      <c r="A86" t="s">
        <v>26</v>
      </c>
      <c r="B86">
        <v>3874</v>
      </c>
      <c r="C86">
        <v>19</v>
      </c>
    </row>
    <row r="87" spans="1:3" x14ac:dyDescent="0.3">
      <c r="A87" t="s">
        <v>33</v>
      </c>
      <c r="B87">
        <v>1606</v>
      </c>
      <c r="C87">
        <v>405</v>
      </c>
    </row>
    <row r="88" spans="1:3" x14ac:dyDescent="0.3">
      <c r="A88" t="s">
        <v>26</v>
      </c>
      <c r="B88">
        <v>4941</v>
      </c>
      <c r="C88">
        <v>266</v>
      </c>
    </row>
    <row r="89" spans="1:3" x14ac:dyDescent="0.3">
      <c r="A89" t="s">
        <v>57</v>
      </c>
      <c r="B89">
        <v>246</v>
      </c>
      <c r="C89">
        <v>130</v>
      </c>
    </row>
    <row r="90" spans="1:3" x14ac:dyDescent="0.3">
      <c r="A90" t="s">
        <v>26</v>
      </c>
      <c r="B90">
        <v>2358</v>
      </c>
      <c r="C90">
        <v>344</v>
      </c>
    </row>
    <row r="91" spans="1:3" x14ac:dyDescent="0.3">
      <c r="A91" t="s">
        <v>26</v>
      </c>
      <c r="B91">
        <v>1652</v>
      </c>
      <c r="C91">
        <v>357</v>
      </c>
    </row>
    <row r="92" spans="1:3" x14ac:dyDescent="0.3">
      <c r="A92" t="s">
        <v>57</v>
      </c>
      <c r="B92">
        <v>1946</v>
      </c>
      <c r="C92">
        <v>377</v>
      </c>
    </row>
    <row r="93" spans="1:3" x14ac:dyDescent="0.3">
      <c r="A93" t="s">
        <v>33</v>
      </c>
      <c r="B93">
        <v>886</v>
      </c>
      <c r="C93">
        <v>153</v>
      </c>
    </row>
    <row r="94" spans="1:3" x14ac:dyDescent="0.3">
      <c r="A94" t="s">
        <v>26</v>
      </c>
      <c r="B94">
        <v>754</v>
      </c>
      <c r="C94">
        <v>257</v>
      </c>
    </row>
    <row r="95" spans="1:3" x14ac:dyDescent="0.3">
      <c r="A95" t="s">
        <v>33</v>
      </c>
      <c r="B95">
        <v>3689</v>
      </c>
      <c r="C95">
        <v>306</v>
      </c>
    </row>
    <row r="96" spans="1:3" x14ac:dyDescent="0.3">
      <c r="A96" t="s">
        <v>57</v>
      </c>
      <c r="B96">
        <v>3009</v>
      </c>
      <c r="C96">
        <v>358</v>
      </c>
    </row>
    <row r="97" spans="1:3" x14ac:dyDescent="0.3">
      <c r="A97" t="s">
        <v>33</v>
      </c>
      <c r="B97">
        <v>4767</v>
      </c>
      <c r="C97">
        <v>340</v>
      </c>
    </row>
    <row r="98" spans="1:3" x14ac:dyDescent="0.3">
      <c r="A98" t="s">
        <v>26</v>
      </c>
      <c r="B98">
        <v>3440</v>
      </c>
      <c r="C98">
        <v>20</v>
      </c>
    </row>
    <row r="99" spans="1:3" x14ac:dyDescent="0.3">
      <c r="A99" t="s">
        <v>26</v>
      </c>
      <c r="B99">
        <v>4050</v>
      </c>
      <c r="C99">
        <v>347</v>
      </c>
    </row>
    <row r="100" spans="1:3" x14ac:dyDescent="0.3">
      <c r="A100" t="s">
        <v>57</v>
      </c>
      <c r="B100">
        <v>360</v>
      </c>
      <c r="C100">
        <v>393</v>
      </c>
    </row>
    <row r="101" spans="1:3" x14ac:dyDescent="0.3">
      <c r="A101" t="s">
        <v>57</v>
      </c>
      <c r="B101">
        <v>3960</v>
      </c>
      <c r="C101">
        <v>8</v>
      </c>
    </row>
    <row r="102" spans="1:3" x14ac:dyDescent="0.3">
      <c r="A102" t="s">
        <v>57</v>
      </c>
      <c r="B102">
        <v>456</v>
      </c>
      <c r="C102">
        <v>428</v>
      </c>
    </row>
    <row r="103" spans="1:3" x14ac:dyDescent="0.3">
      <c r="A103" t="s">
        <v>33</v>
      </c>
      <c r="B103">
        <v>3791</v>
      </c>
      <c r="C103">
        <v>228</v>
      </c>
    </row>
    <row r="104" spans="1:3" x14ac:dyDescent="0.3">
      <c r="A104" t="s">
        <v>26</v>
      </c>
      <c r="B104">
        <v>2795</v>
      </c>
      <c r="C104">
        <v>49</v>
      </c>
    </row>
    <row r="105" spans="1:3" x14ac:dyDescent="0.3">
      <c r="A105" t="s">
        <v>33</v>
      </c>
      <c r="B105">
        <v>249</v>
      </c>
      <c r="C105">
        <v>230</v>
      </c>
    </row>
    <row r="106" spans="1:3" x14ac:dyDescent="0.3">
      <c r="A106" t="s">
        <v>33</v>
      </c>
      <c r="B106">
        <v>3065</v>
      </c>
      <c r="C106">
        <v>142</v>
      </c>
    </row>
    <row r="107" spans="1:3" x14ac:dyDescent="0.3">
      <c r="A107" t="s">
        <v>57</v>
      </c>
      <c r="B107">
        <v>725</v>
      </c>
      <c r="C107">
        <v>428</v>
      </c>
    </row>
    <row r="108" spans="1:3" x14ac:dyDescent="0.3">
      <c r="A108" t="s">
        <v>26</v>
      </c>
      <c r="B108">
        <v>3655</v>
      </c>
      <c r="C108">
        <v>286</v>
      </c>
    </row>
    <row r="109" spans="1:3" x14ac:dyDescent="0.3">
      <c r="A109" t="s">
        <v>57</v>
      </c>
      <c r="B109">
        <v>2234</v>
      </c>
      <c r="C109">
        <v>432</v>
      </c>
    </row>
    <row r="110" spans="1:3" x14ac:dyDescent="0.3">
      <c r="A110" t="s">
        <v>57</v>
      </c>
      <c r="B110">
        <v>1436</v>
      </c>
      <c r="C110">
        <v>496</v>
      </c>
    </row>
    <row r="111" spans="1:3" x14ac:dyDescent="0.3">
      <c r="A111" t="s">
        <v>33</v>
      </c>
      <c r="B111">
        <v>3575</v>
      </c>
      <c r="C111">
        <v>111</v>
      </c>
    </row>
    <row r="112" spans="1:3" x14ac:dyDescent="0.3">
      <c r="A112" t="s">
        <v>33</v>
      </c>
      <c r="B112">
        <v>4350</v>
      </c>
      <c r="C112">
        <v>7</v>
      </c>
    </row>
    <row r="113" spans="1:3" x14ac:dyDescent="0.3">
      <c r="A113" t="s">
        <v>33</v>
      </c>
      <c r="B113">
        <v>4808</v>
      </c>
      <c r="C113">
        <v>320</v>
      </c>
    </row>
    <row r="114" spans="1:3" x14ac:dyDescent="0.3">
      <c r="A114" t="s">
        <v>57</v>
      </c>
      <c r="B114">
        <v>1257</v>
      </c>
      <c r="C114">
        <v>351</v>
      </c>
    </row>
    <row r="115" spans="1:3" x14ac:dyDescent="0.3">
      <c r="A115" t="s">
        <v>26</v>
      </c>
      <c r="B115">
        <v>3360</v>
      </c>
      <c r="C115">
        <v>500</v>
      </c>
    </row>
    <row r="116" spans="1:3" x14ac:dyDescent="0.3">
      <c r="A116" t="s">
        <v>33</v>
      </c>
      <c r="B116">
        <v>2107</v>
      </c>
      <c r="C116">
        <v>349</v>
      </c>
    </row>
    <row r="117" spans="1:3" x14ac:dyDescent="0.3">
      <c r="A117" t="s">
        <v>26</v>
      </c>
      <c r="B117">
        <v>4494</v>
      </c>
      <c r="C117">
        <v>45</v>
      </c>
    </row>
    <row r="118" spans="1:3" x14ac:dyDescent="0.3">
      <c r="A118" t="s">
        <v>57</v>
      </c>
      <c r="B118">
        <v>1377</v>
      </c>
      <c r="C118">
        <v>387</v>
      </c>
    </row>
    <row r="119" spans="1:3" x14ac:dyDescent="0.3">
      <c r="A119" t="s">
        <v>57</v>
      </c>
      <c r="B119">
        <v>4775</v>
      </c>
      <c r="C119">
        <v>206</v>
      </c>
    </row>
    <row r="120" spans="1:3" x14ac:dyDescent="0.3">
      <c r="A120" t="s">
        <v>57</v>
      </c>
      <c r="B120">
        <v>1947</v>
      </c>
      <c r="C120">
        <v>101</v>
      </c>
    </row>
    <row r="121" spans="1:3" x14ac:dyDescent="0.3">
      <c r="A121" t="s">
        <v>57</v>
      </c>
      <c r="B121">
        <v>498</v>
      </c>
      <c r="C121">
        <v>412</v>
      </c>
    </row>
    <row r="122" spans="1:3" x14ac:dyDescent="0.3">
      <c r="A122" t="s">
        <v>33</v>
      </c>
      <c r="B122">
        <v>432</v>
      </c>
      <c r="C122">
        <v>280</v>
      </c>
    </row>
    <row r="123" spans="1:3" x14ac:dyDescent="0.3">
      <c r="A123" t="s">
        <v>33</v>
      </c>
      <c r="B123">
        <v>2418</v>
      </c>
      <c r="C123">
        <v>54</v>
      </c>
    </row>
    <row r="124" spans="1:3" x14ac:dyDescent="0.3">
      <c r="A124" t="s">
        <v>26</v>
      </c>
      <c r="B124">
        <v>4832</v>
      </c>
      <c r="C124">
        <v>10</v>
      </c>
    </row>
    <row r="125" spans="1:3" x14ac:dyDescent="0.3">
      <c r="A125" t="s">
        <v>33</v>
      </c>
      <c r="B125">
        <v>2214</v>
      </c>
      <c r="C125">
        <v>152</v>
      </c>
    </row>
    <row r="126" spans="1:3" x14ac:dyDescent="0.3">
      <c r="A126" t="s">
        <v>33</v>
      </c>
      <c r="B126">
        <v>4134</v>
      </c>
      <c r="C126">
        <v>99</v>
      </c>
    </row>
    <row r="127" spans="1:3" x14ac:dyDescent="0.3">
      <c r="A127" t="s">
        <v>26</v>
      </c>
      <c r="B127">
        <v>2164</v>
      </c>
      <c r="C127">
        <v>274</v>
      </c>
    </row>
    <row r="128" spans="1:3" x14ac:dyDescent="0.3">
      <c r="A128" t="s">
        <v>33</v>
      </c>
      <c r="B128">
        <v>4133</v>
      </c>
      <c r="C128">
        <v>327</v>
      </c>
    </row>
    <row r="129" spans="1:3" x14ac:dyDescent="0.3">
      <c r="A129" t="s">
        <v>57</v>
      </c>
      <c r="B129">
        <v>3371</v>
      </c>
      <c r="C129">
        <v>327</v>
      </c>
    </row>
    <row r="130" spans="1:3" x14ac:dyDescent="0.3">
      <c r="A130" t="s">
        <v>33</v>
      </c>
      <c r="B130">
        <v>4021</v>
      </c>
      <c r="C130">
        <v>77</v>
      </c>
    </row>
    <row r="131" spans="1:3" x14ac:dyDescent="0.3">
      <c r="A131" t="s">
        <v>33</v>
      </c>
      <c r="B131">
        <v>2180</v>
      </c>
      <c r="C131">
        <v>387</v>
      </c>
    </row>
    <row r="132" spans="1:3" x14ac:dyDescent="0.3">
      <c r="A132" t="s">
        <v>26</v>
      </c>
      <c r="B132">
        <v>4689</v>
      </c>
      <c r="C132">
        <v>403</v>
      </c>
    </row>
    <row r="133" spans="1:3" x14ac:dyDescent="0.3">
      <c r="A133" t="s">
        <v>57</v>
      </c>
      <c r="B133">
        <v>4171</v>
      </c>
      <c r="C133">
        <v>86</v>
      </c>
    </row>
    <row r="134" spans="1:3" x14ac:dyDescent="0.3">
      <c r="A134" t="s">
        <v>33</v>
      </c>
      <c r="B134">
        <v>3601</v>
      </c>
      <c r="C134">
        <v>75</v>
      </c>
    </row>
    <row r="135" spans="1:3" x14ac:dyDescent="0.3">
      <c r="A135" t="s">
        <v>26</v>
      </c>
      <c r="B135">
        <v>3820</v>
      </c>
      <c r="C135">
        <v>268</v>
      </c>
    </row>
    <row r="136" spans="1:3" x14ac:dyDescent="0.3">
      <c r="A136" t="s">
        <v>26</v>
      </c>
      <c r="B136">
        <v>2147</v>
      </c>
      <c r="C136">
        <v>393</v>
      </c>
    </row>
    <row r="137" spans="1:3" x14ac:dyDescent="0.3">
      <c r="A137" t="s">
        <v>33</v>
      </c>
      <c r="B137">
        <v>4853</v>
      </c>
      <c r="C137">
        <v>340</v>
      </c>
    </row>
    <row r="138" spans="1:3" x14ac:dyDescent="0.3">
      <c r="A138" t="s">
        <v>26</v>
      </c>
      <c r="B138">
        <v>4934</v>
      </c>
      <c r="C138">
        <v>156</v>
      </c>
    </row>
    <row r="139" spans="1:3" x14ac:dyDescent="0.3">
      <c r="A139" t="s">
        <v>26</v>
      </c>
      <c r="B139">
        <v>2825</v>
      </c>
      <c r="C139">
        <v>295</v>
      </c>
    </row>
    <row r="140" spans="1:3" x14ac:dyDescent="0.3">
      <c r="A140" t="s">
        <v>57</v>
      </c>
      <c r="B140">
        <v>3649</v>
      </c>
      <c r="C140">
        <v>413</v>
      </c>
    </row>
    <row r="141" spans="1:3" x14ac:dyDescent="0.3">
      <c r="A141" t="s">
        <v>26</v>
      </c>
      <c r="B141">
        <v>4241</v>
      </c>
      <c r="C141">
        <v>47</v>
      </c>
    </row>
    <row r="142" spans="1:3" x14ac:dyDescent="0.3">
      <c r="A142" t="s">
        <v>26</v>
      </c>
      <c r="B142">
        <v>602</v>
      </c>
      <c r="C142">
        <v>156</v>
      </c>
    </row>
    <row r="143" spans="1:3" x14ac:dyDescent="0.3">
      <c r="A143" t="s">
        <v>57</v>
      </c>
      <c r="B143">
        <v>3182</v>
      </c>
      <c r="C143">
        <v>160</v>
      </c>
    </row>
    <row r="144" spans="1:3" x14ac:dyDescent="0.3">
      <c r="A144" t="s">
        <v>57</v>
      </c>
      <c r="B144">
        <v>3961</v>
      </c>
      <c r="C144">
        <v>131</v>
      </c>
    </row>
    <row r="145" spans="1:3" x14ac:dyDescent="0.3">
      <c r="A145" t="s">
        <v>57</v>
      </c>
      <c r="B145">
        <v>400</v>
      </c>
      <c r="C145">
        <v>434</v>
      </c>
    </row>
    <row r="146" spans="1:3" x14ac:dyDescent="0.3">
      <c r="A146" t="s">
        <v>33</v>
      </c>
      <c r="B146">
        <v>4441</v>
      </c>
      <c r="C146">
        <v>70</v>
      </c>
    </row>
    <row r="147" spans="1:3" x14ac:dyDescent="0.3">
      <c r="A147" t="s">
        <v>26</v>
      </c>
      <c r="B147">
        <v>1048</v>
      </c>
      <c r="C147">
        <v>450</v>
      </c>
    </row>
    <row r="148" spans="1:3" x14ac:dyDescent="0.3">
      <c r="A148" t="s">
        <v>57</v>
      </c>
      <c r="B148">
        <v>3452</v>
      </c>
      <c r="C148">
        <v>442</v>
      </c>
    </row>
    <row r="149" spans="1:3" x14ac:dyDescent="0.3">
      <c r="A149" t="s">
        <v>33</v>
      </c>
      <c r="B149">
        <v>4363</v>
      </c>
      <c r="C149">
        <v>140</v>
      </c>
    </row>
    <row r="150" spans="1:3" x14ac:dyDescent="0.3">
      <c r="A150" t="s">
        <v>57</v>
      </c>
      <c r="B150">
        <v>3367</v>
      </c>
      <c r="C150">
        <v>57</v>
      </c>
    </row>
    <row r="151" spans="1:3" x14ac:dyDescent="0.3">
      <c r="A151" t="s">
        <v>57</v>
      </c>
      <c r="B151">
        <v>142</v>
      </c>
      <c r="C151">
        <v>183</v>
      </c>
    </row>
    <row r="152" spans="1:3" x14ac:dyDescent="0.3">
      <c r="A152" t="s">
        <v>33</v>
      </c>
      <c r="B152">
        <v>1431</v>
      </c>
      <c r="C152">
        <v>26</v>
      </c>
    </row>
    <row r="153" spans="1:3" x14ac:dyDescent="0.3">
      <c r="A153" t="s">
        <v>57</v>
      </c>
      <c r="B153">
        <v>4771</v>
      </c>
      <c r="C153">
        <v>56</v>
      </c>
    </row>
    <row r="154" spans="1:3" x14ac:dyDescent="0.3">
      <c r="A154" t="s">
        <v>57</v>
      </c>
      <c r="B154">
        <v>1292</v>
      </c>
      <c r="C154">
        <v>496</v>
      </c>
    </row>
    <row r="155" spans="1:3" x14ac:dyDescent="0.3">
      <c r="A155" t="s">
        <v>26</v>
      </c>
      <c r="B155">
        <v>53</v>
      </c>
      <c r="C155">
        <v>379</v>
      </c>
    </row>
    <row r="156" spans="1:3" x14ac:dyDescent="0.3">
      <c r="A156" t="s">
        <v>33</v>
      </c>
      <c r="B156">
        <v>2746</v>
      </c>
      <c r="C156">
        <v>203</v>
      </c>
    </row>
    <row r="157" spans="1:3" x14ac:dyDescent="0.3">
      <c r="A157" t="s">
        <v>33</v>
      </c>
      <c r="B157">
        <v>929</v>
      </c>
      <c r="C157">
        <v>322</v>
      </c>
    </row>
    <row r="158" spans="1:3" x14ac:dyDescent="0.3">
      <c r="A158" t="s">
        <v>57</v>
      </c>
      <c r="B158">
        <v>1963</v>
      </c>
      <c r="C158">
        <v>19</v>
      </c>
    </row>
    <row r="159" spans="1:3" x14ac:dyDescent="0.3">
      <c r="A159" t="s">
        <v>26</v>
      </c>
      <c r="B159">
        <v>3256</v>
      </c>
      <c r="C159">
        <v>266</v>
      </c>
    </row>
    <row r="160" spans="1:3" x14ac:dyDescent="0.3">
      <c r="A160" t="s">
        <v>57</v>
      </c>
      <c r="B160">
        <v>2283</v>
      </c>
      <c r="C160">
        <v>130</v>
      </c>
    </row>
    <row r="161" spans="1:3" x14ac:dyDescent="0.3">
      <c r="A161" t="s">
        <v>57</v>
      </c>
      <c r="B161">
        <v>4158</v>
      </c>
      <c r="C161">
        <v>241</v>
      </c>
    </row>
    <row r="162" spans="1:3" x14ac:dyDescent="0.3">
      <c r="A162" t="s">
        <v>26</v>
      </c>
      <c r="B162">
        <v>1878</v>
      </c>
      <c r="C162">
        <v>179</v>
      </c>
    </row>
    <row r="163" spans="1:3" x14ac:dyDescent="0.3">
      <c r="A163" t="s">
        <v>26</v>
      </c>
      <c r="B163">
        <v>2174</v>
      </c>
      <c r="C163">
        <v>15</v>
      </c>
    </row>
    <row r="164" spans="1:3" x14ac:dyDescent="0.3">
      <c r="A164" t="s">
        <v>26</v>
      </c>
      <c r="B164">
        <v>1556</v>
      </c>
      <c r="C164">
        <v>131</v>
      </c>
    </row>
    <row r="165" spans="1:3" x14ac:dyDescent="0.3">
      <c r="A165" t="s">
        <v>57</v>
      </c>
      <c r="B165">
        <v>2728</v>
      </c>
      <c r="C165">
        <v>215</v>
      </c>
    </row>
    <row r="166" spans="1:3" x14ac:dyDescent="0.3">
      <c r="A166" t="s">
        <v>33</v>
      </c>
      <c r="B166">
        <v>1263</v>
      </c>
      <c r="C166">
        <v>357</v>
      </c>
    </row>
    <row r="167" spans="1:3" x14ac:dyDescent="0.3">
      <c r="A167" t="s">
        <v>26</v>
      </c>
      <c r="B167">
        <v>2949</v>
      </c>
      <c r="C167">
        <v>403</v>
      </c>
    </row>
    <row r="168" spans="1:3" x14ac:dyDescent="0.3">
      <c r="A168" t="s">
        <v>33</v>
      </c>
      <c r="B168">
        <v>3166</v>
      </c>
      <c r="C168">
        <v>341</v>
      </c>
    </row>
    <row r="169" spans="1:3" x14ac:dyDescent="0.3">
      <c r="A169" t="s">
        <v>26</v>
      </c>
      <c r="B169">
        <v>1570</v>
      </c>
      <c r="C169">
        <v>260</v>
      </c>
    </row>
    <row r="170" spans="1:3" x14ac:dyDescent="0.3">
      <c r="A170" t="s">
        <v>26</v>
      </c>
      <c r="B170">
        <v>4501</v>
      </c>
      <c r="C170">
        <v>323</v>
      </c>
    </row>
    <row r="171" spans="1:3" x14ac:dyDescent="0.3">
      <c r="A171" t="s">
        <v>26</v>
      </c>
      <c r="B171">
        <v>3704</v>
      </c>
      <c r="C171">
        <v>458</v>
      </c>
    </row>
    <row r="172" spans="1:3" x14ac:dyDescent="0.3">
      <c r="A172" t="s">
        <v>26</v>
      </c>
      <c r="B172">
        <v>3784</v>
      </c>
      <c r="C172">
        <v>404</v>
      </c>
    </row>
    <row r="173" spans="1:3" x14ac:dyDescent="0.3">
      <c r="A173" t="s">
        <v>33</v>
      </c>
      <c r="B173">
        <v>3134</v>
      </c>
      <c r="C173">
        <v>444</v>
      </c>
    </row>
    <row r="174" spans="1:3" x14ac:dyDescent="0.3">
      <c r="A174" t="s">
        <v>26</v>
      </c>
      <c r="B174">
        <v>4274</v>
      </c>
      <c r="C174">
        <v>281</v>
      </c>
    </row>
    <row r="175" spans="1:3" x14ac:dyDescent="0.3">
      <c r="A175" t="s">
        <v>57</v>
      </c>
      <c r="B175">
        <v>2751</v>
      </c>
      <c r="C175">
        <v>430</v>
      </c>
    </row>
    <row r="176" spans="1:3" x14ac:dyDescent="0.3">
      <c r="A176" t="s">
        <v>33</v>
      </c>
      <c r="B176">
        <v>2404</v>
      </c>
      <c r="C176">
        <v>138</v>
      </c>
    </row>
    <row r="177" spans="1:3" x14ac:dyDescent="0.3">
      <c r="A177" t="s">
        <v>57</v>
      </c>
      <c r="B177">
        <v>2704</v>
      </c>
      <c r="C177">
        <v>153</v>
      </c>
    </row>
    <row r="178" spans="1:3" x14ac:dyDescent="0.3">
      <c r="A178" t="s">
        <v>57</v>
      </c>
      <c r="B178">
        <v>4507</v>
      </c>
      <c r="C178">
        <v>13</v>
      </c>
    </row>
    <row r="179" spans="1:3" x14ac:dyDescent="0.3">
      <c r="A179" t="s">
        <v>26</v>
      </c>
      <c r="B179">
        <v>1855</v>
      </c>
      <c r="C179">
        <v>174</v>
      </c>
    </row>
    <row r="180" spans="1:3" x14ac:dyDescent="0.3">
      <c r="A180" t="s">
        <v>57</v>
      </c>
      <c r="B180">
        <v>1238</v>
      </c>
      <c r="C180">
        <v>444</v>
      </c>
    </row>
    <row r="181" spans="1:3" x14ac:dyDescent="0.3">
      <c r="A181" t="s">
        <v>33</v>
      </c>
      <c r="B181">
        <v>1226</v>
      </c>
      <c r="C181">
        <v>7</v>
      </c>
    </row>
    <row r="182" spans="1:3" x14ac:dyDescent="0.3">
      <c r="A182" t="s">
        <v>26</v>
      </c>
      <c r="B182">
        <v>4321</v>
      </c>
      <c r="C182">
        <v>172</v>
      </c>
    </row>
    <row r="183" spans="1:3" x14ac:dyDescent="0.3">
      <c r="A183" t="s">
        <v>33</v>
      </c>
      <c r="B183">
        <v>3559</v>
      </c>
      <c r="C183">
        <v>289</v>
      </c>
    </row>
    <row r="184" spans="1:3" x14ac:dyDescent="0.3">
      <c r="A184" t="s">
        <v>26</v>
      </c>
      <c r="B184">
        <v>1741</v>
      </c>
      <c r="C184">
        <v>318</v>
      </c>
    </row>
    <row r="185" spans="1:3" x14ac:dyDescent="0.3">
      <c r="A185" t="s">
        <v>57</v>
      </c>
      <c r="B185">
        <v>3430</v>
      </c>
      <c r="C185">
        <v>164</v>
      </c>
    </row>
    <row r="186" spans="1:3" x14ac:dyDescent="0.3">
      <c r="A186" t="s">
        <v>26</v>
      </c>
      <c r="B186">
        <v>1950</v>
      </c>
      <c r="C186">
        <v>478</v>
      </c>
    </row>
    <row r="187" spans="1:3" x14ac:dyDescent="0.3">
      <c r="A187" t="s">
        <v>33</v>
      </c>
      <c r="B187">
        <v>1509</v>
      </c>
      <c r="C187">
        <v>163</v>
      </c>
    </row>
    <row r="188" spans="1:3" x14ac:dyDescent="0.3">
      <c r="A188" t="s">
        <v>26</v>
      </c>
      <c r="B188">
        <v>4799</v>
      </c>
      <c r="C188">
        <v>289</v>
      </c>
    </row>
    <row r="189" spans="1:3" x14ac:dyDescent="0.3">
      <c r="A189" t="s">
        <v>33</v>
      </c>
      <c r="B189">
        <v>4672</v>
      </c>
      <c r="C189">
        <v>32</v>
      </c>
    </row>
    <row r="190" spans="1:3" x14ac:dyDescent="0.3">
      <c r="A190" t="s">
        <v>26</v>
      </c>
      <c r="B190">
        <v>80</v>
      </c>
      <c r="C190">
        <v>80</v>
      </c>
    </row>
    <row r="191" spans="1:3" x14ac:dyDescent="0.3">
      <c r="A191" t="s">
        <v>57</v>
      </c>
      <c r="B191">
        <v>1970</v>
      </c>
      <c r="C191">
        <v>478</v>
      </c>
    </row>
    <row r="192" spans="1:3" x14ac:dyDescent="0.3">
      <c r="A192" t="s">
        <v>26</v>
      </c>
      <c r="B192">
        <v>4054</v>
      </c>
      <c r="C192">
        <v>493</v>
      </c>
    </row>
    <row r="193" spans="1:3" x14ac:dyDescent="0.3">
      <c r="A193" t="s">
        <v>33</v>
      </c>
      <c r="B193">
        <v>1171</v>
      </c>
      <c r="C193">
        <v>231</v>
      </c>
    </row>
    <row r="194" spans="1:3" x14ac:dyDescent="0.3">
      <c r="A194" t="s">
        <v>57</v>
      </c>
      <c r="B194">
        <v>2070</v>
      </c>
      <c r="C194">
        <v>386</v>
      </c>
    </row>
    <row r="195" spans="1:3" x14ac:dyDescent="0.3">
      <c r="A195" t="s">
        <v>26</v>
      </c>
      <c r="B195">
        <v>1407</v>
      </c>
      <c r="C195">
        <v>351</v>
      </c>
    </row>
    <row r="196" spans="1:3" x14ac:dyDescent="0.3">
      <c r="A196" t="s">
        <v>33</v>
      </c>
      <c r="B196">
        <v>1094</v>
      </c>
      <c r="C196">
        <v>21</v>
      </c>
    </row>
    <row r="197" spans="1:3" x14ac:dyDescent="0.3">
      <c r="A197" t="s">
        <v>26</v>
      </c>
      <c r="B197">
        <v>2754</v>
      </c>
      <c r="C197">
        <v>90</v>
      </c>
    </row>
    <row r="198" spans="1:3" x14ac:dyDescent="0.3">
      <c r="A198" t="s">
        <v>57</v>
      </c>
      <c r="B198">
        <v>1076</v>
      </c>
      <c r="C198">
        <v>306</v>
      </c>
    </row>
    <row r="199" spans="1:3" x14ac:dyDescent="0.3">
      <c r="A199" t="s">
        <v>33</v>
      </c>
      <c r="B199">
        <v>4275</v>
      </c>
      <c r="C199">
        <v>385</v>
      </c>
    </row>
    <row r="200" spans="1:3" x14ac:dyDescent="0.3">
      <c r="A200" t="s">
        <v>26</v>
      </c>
      <c r="B200">
        <v>1071</v>
      </c>
      <c r="C200">
        <v>22</v>
      </c>
    </row>
    <row r="201" spans="1:3" x14ac:dyDescent="0.3">
      <c r="A201" t="s">
        <v>26</v>
      </c>
      <c r="B201">
        <v>3731</v>
      </c>
      <c r="C201">
        <v>135</v>
      </c>
    </row>
    <row r="202" spans="1:3" x14ac:dyDescent="0.3">
      <c r="A202" t="s">
        <v>57</v>
      </c>
      <c r="B202">
        <v>4188</v>
      </c>
      <c r="C202">
        <v>118</v>
      </c>
    </row>
    <row r="203" spans="1:3" x14ac:dyDescent="0.3">
      <c r="A203" t="s">
        <v>57</v>
      </c>
      <c r="B203">
        <v>3092</v>
      </c>
      <c r="C203">
        <v>291</v>
      </c>
    </row>
    <row r="204" spans="1:3" x14ac:dyDescent="0.3">
      <c r="A204" t="s">
        <v>33</v>
      </c>
      <c r="B204">
        <v>4712</v>
      </c>
      <c r="C204">
        <v>127</v>
      </c>
    </row>
    <row r="205" spans="1:3" x14ac:dyDescent="0.3">
      <c r="A205" t="s">
        <v>26</v>
      </c>
      <c r="B205">
        <v>1121</v>
      </c>
      <c r="C205">
        <v>18</v>
      </c>
    </row>
    <row r="206" spans="1:3" x14ac:dyDescent="0.3">
      <c r="A206" t="s">
        <v>26</v>
      </c>
      <c r="B206">
        <v>1108</v>
      </c>
      <c r="C206">
        <v>212</v>
      </c>
    </row>
    <row r="207" spans="1:3" x14ac:dyDescent="0.3">
      <c r="A207" t="s">
        <v>26</v>
      </c>
      <c r="B207">
        <v>562</v>
      </c>
      <c r="C207">
        <v>149</v>
      </c>
    </row>
    <row r="208" spans="1:3" x14ac:dyDescent="0.3">
      <c r="A208" t="s">
        <v>33</v>
      </c>
      <c r="B208">
        <v>3095</v>
      </c>
      <c r="C208">
        <v>78</v>
      </c>
    </row>
    <row r="209" spans="1:3" x14ac:dyDescent="0.3">
      <c r="A209" t="s">
        <v>26</v>
      </c>
      <c r="B209">
        <v>3564</v>
      </c>
      <c r="C209">
        <v>177</v>
      </c>
    </row>
    <row r="210" spans="1:3" x14ac:dyDescent="0.3">
      <c r="A210" t="s">
        <v>33</v>
      </c>
      <c r="B210">
        <v>780</v>
      </c>
      <c r="C210">
        <v>301</v>
      </c>
    </row>
    <row r="211" spans="1:3" x14ac:dyDescent="0.3">
      <c r="A211" t="s">
        <v>33</v>
      </c>
      <c r="B211">
        <v>4731</v>
      </c>
      <c r="C211">
        <v>276</v>
      </c>
    </row>
    <row r="212" spans="1:3" x14ac:dyDescent="0.3">
      <c r="A212" t="s">
        <v>33</v>
      </c>
      <c r="B212">
        <v>4872</v>
      </c>
      <c r="C212">
        <v>176</v>
      </c>
    </row>
    <row r="213" spans="1:3" x14ac:dyDescent="0.3">
      <c r="A213" t="s">
        <v>33</v>
      </c>
      <c r="B213">
        <v>296</v>
      </c>
      <c r="C213">
        <v>141</v>
      </c>
    </row>
    <row r="214" spans="1:3" x14ac:dyDescent="0.3">
      <c r="A214" t="s">
        <v>57</v>
      </c>
      <c r="B214">
        <v>4126</v>
      </c>
      <c r="C214">
        <v>486</v>
      </c>
    </row>
    <row r="215" spans="1:3" x14ac:dyDescent="0.3">
      <c r="A215" t="s">
        <v>26</v>
      </c>
      <c r="B215">
        <v>3138</v>
      </c>
      <c r="C215">
        <v>291</v>
      </c>
    </row>
    <row r="216" spans="1:3" x14ac:dyDescent="0.3">
      <c r="A216" t="s">
        <v>33</v>
      </c>
      <c r="B216">
        <v>941</v>
      </c>
      <c r="C216">
        <v>458</v>
      </c>
    </row>
    <row r="217" spans="1:3" x14ac:dyDescent="0.3">
      <c r="A217" t="s">
        <v>57</v>
      </c>
      <c r="B217">
        <v>3452</v>
      </c>
      <c r="C217">
        <v>360</v>
      </c>
    </row>
    <row r="218" spans="1:3" x14ac:dyDescent="0.3">
      <c r="A218" t="s">
        <v>33</v>
      </c>
      <c r="B218">
        <v>1813</v>
      </c>
      <c r="C218">
        <v>72</v>
      </c>
    </row>
    <row r="219" spans="1:3" x14ac:dyDescent="0.3">
      <c r="A219" t="s">
        <v>33</v>
      </c>
      <c r="B219">
        <v>904</v>
      </c>
      <c r="C219">
        <v>63</v>
      </c>
    </row>
    <row r="220" spans="1:3" x14ac:dyDescent="0.3">
      <c r="A220" t="s">
        <v>33</v>
      </c>
      <c r="B220">
        <v>3663</v>
      </c>
      <c r="C220">
        <v>295</v>
      </c>
    </row>
    <row r="221" spans="1:3" x14ac:dyDescent="0.3">
      <c r="A221" t="s">
        <v>33</v>
      </c>
      <c r="B221">
        <v>3809</v>
      </c>
      <c r="C221">
        <v>200</v>
      </c>
    </row>
    <row r="222" spans="1:3" x14ac:dyDescent="0.3">
      <c r="A222" t="s">
        <v>57</v>
      </c>
      <c r="B222">
        <v>4838</v>
      </c>
      <c r="C222">
        <v>128</v>
      </c>
    </row>
    <row r="223" spans="1:3" x14ac:dyDescent="0.3">
      <c r="A223" t="s">
        <v>33</v>
      </c>
      <c r="B223">
        <v>1164</v>
      </c>
      <c r="C223">
        <v>324</v>
      </c>
    </row>
    <row r="224" spans="1:3" x14ac:dyDescent="0.3">
      <c r="A224" t="s">
        <v>57</v>
      </c>
      <c r="B224">
        <v>432</v>
      </c>
      <c r="C224">
        <v>123</v>
      </c>
    </row>
    <row r="225" spans="1:3" x14ac:dyDescent="0.3">
      <c r="A225" t="s">
        <v>33</v>
      </c>
      <c r="B225">
        <v>1702</v>
      </c>
      <c r="C225">
        <v>179</v>
      </c>
    </row>
    <row r="226" spans="1:3" x14ac:dyDescent="0.3">
      <c r="A226" t="s">
        <v>57</v>
      </c>
      <c r="B226">
        <v>3770</v>
      </c>
      <c r="C226">
        <v>129</v>
      </c>
    </row>
    <row r="227" spans="1:3" x14ac:dyDescent="0.3">
      <c r="A227" t="s">
        <v>57</v>
      </c>
      <c r="B227">
        <v>2878</v>
      </c>
      <c r="C227">
        <v>416</v>
      </c>
    </row>
    <row r="228" spans="1:3" x14ac:dyDescent="0.3">
      <c r="A228" t="s">
        <v>33</v>
      </c>
      <c r="B228">
        <v>2610</v>
      </c>
      <c r="C228">
        <v>288</v>
      </c>
    </row>
    <row r="229" spans="1:3" x14ac:dyDescent="0.3">
      <c r="A229" t="s">
        <v>33</v>
      </c>
      <c r="B229">
        <v>4523</v>
      </c>
      <c r="C229">
        <v>157</v>
      </c>
    </row>
    <row r="230" spans="1:3" x14ac:dyDescent="0.3">
      <c r="A230" t="s">
        <v>57</v>
      </c>
      <c r="B230">
        <v>2581</v>
      </c>
      <c r="C230">
        <v>117</v>
      </c>
    </row>
    <row r="231" spans="1:3" x14ac:dyDescent="0.3">
      <c r="A231" t="s">
        <v>33</v>
      </c>
      <c r="B231">
        <v>4929</v>
      </c>
      <c r="C231">
        <v>452</v>
      </c>
    </row>
    <row r="232" spans="1:3" x14ac:dyDescent="0.3">
      <c r="A232" t="s">
        <v>26</v>
      </c>
      <c r="B232">
        <v>4886</v>
      </c>
      <c r="C232">
        <v>409</v>
      </c>
    </row>
    <row r="233" spans="1:3" x14ac:dyDescent="0.3">
      <c r="A233" t="s">
        <v>57</v>
      </c>
      <c r="B233">
        <v>1792</v>
      </c>
      <c r="C233">
        <v>497</v>
      </c>
    </row>
    <row r="234" spans="1:3" x14ac:dyDescent="0.3">
      <c r="A234" t="s">
        <v>57</v>
      </c>
      <c r="B234">
        <v>985</v>
      </c>
      <c r="C234">
        <v>287</v>
      </c>
    </row>
    <row r="235" spans="1:3" x14ac:dyDescent="0.3">
      <c r="A235" t="s">
        <v>57</v>
      </c>
      <c r="B235">
        <v>2089</v>
      </c>
      <c r="C235">
        <v>69</v>
      </c>
    </row>
    <row r="236" spans="1:3" x14ac:dyDescent="0.3">
      <c r="A236" t="s">
        <v>57</v>
      </c>
      <c r="B236">
        <v>4661</v>
      </c>
      <c r="C236">
        <v>433</v>
      </c>
    </row>
    <row r="237" spans="1:3" x14ac:dyDescent="0.3">
      <c r="A237" t="s">
        <v>26</v>
      </c>
      <c r="B237">
        <v>1249</v>
      </c>
      <c r="C237">
        <v>420</v>
      </c>
    </row>
    <row r="238" spans="1:3" x14ac:dyDescent="0.3">
      <c r="A238" t="s">
        <v>57</v>
      </c>
      <c r="B238">
        <v>4187</v>
      </c>
      <c r="C238">
        <v>31</v>
      </c>
    </row>
    <row r="239" spans="1:3" x14ac:dyDescent="0.3">
      <c r="A239" t="s">
        <v>57</v>
      </c>
      <c r="B239">
        <v>2946</v>
      </c>
      <c r="C239">
        <v>367</v>
      </c>
    </row>
    <row r="240" spans="1:3" x14ac:dyDescent="0.3">
      <c r="A240" t="s">
        <v>33</v>
      </c>
      <c r="B240">
        <v>1741</v>
      </c>
      <c r="C240">
        <v>345</v>
      </c>
    </row>
    <row r="241" spans="1:3" x14ac:dyDescent="0.3">
      <c r="A241" t="s">
        <v>57</v>
      </c>
      <c r="B241">
        <v>4840</v>
      </c>
      <c r="C241">
        <v>211</v>
      </c>
    </row>
    <row r="242" spans="1:3" x14ac:dyDescent="0.3">
      <c r="A242" t="s">
        <v>57</v>
      </c>
      <c r="B242">
        <v>4551</v>
      </c>
      <c r="C242">
        <v>207</v>
      </c>
    </row>
    <row r="243" spans="1:3" x14ac:dyDescent="0.3">
      <c r="A243" t="s">
        <v>26</v>
      </c>
      <c r="B243">
        <v>4606</v>
      </c>
      <c r="C243">
        <v>230</v>
      </c>
    </row>
    <row r="244" spans="1:3" x14ac:dyDescent="0.3">
      <c r="A244" t="s">
        <v>26</v>
      </c>
      <c r="B244">
        <v>3577</v>
      </c>
      <c r="C244">
        <v>493</v>
      </c>
    </row>
    <row r="245" spans="1:3" x14ac:dyDescent="0.3">
      <c r="A245" t="s">
        <v>57</v>
      </c>
      <c r="B245">
        <v>1686</v>
      </c>
      <c r="C245">
        <v>472</v>
      </c>
    </row>
    <row r="246" spans="1:3" x14ac:dyDescent="0.3">
      <c r="A246" t="s">
        <v>33</v>
      </c>
      <c r="B246">
        <v>1766</v>
      </c>
      <c r="C246">
        <v>424</v>
      </c>
    </row>
    <row r="247" spans="1:3" x14ac:dyDescent="0.3">
      <c r="A247" t="s">
        <v>26</v>
      </c>
      <c r="B247">
        <v>3099</v>
      </c>
      <c r="C247">
        <v>171</v>
      </c>
    </row>
    <row r="248" spans="1:3" x14ac:dyDescent="0.3">
      <c r="A248" t="s">
        <v>57</v>
      </c>
      <c r="B248">
        <v>4285</v>
      </c>
      <c r="C248">
        <v>376</v>
      </c>
    </row>
    <row r="249" spans="1:3" x14ac:dyDescent="0.3">
      <c r="A249" t="s">
        <v>57</v>
      </c>
      <c r="B249">
        <v>2076</v>
      </c>
      <c r="C249">
        <v>104</v>
      </c>
    </row>
    <row r="250" spans="1:3" x14ac:dyDescent="0.3">
      <c r="A250" t="s">
        <v>33</v>
      </c>
      <c r="B250">
        <v>802</v>
      </c>
      <c r="C250">
        <v>244</v>
      </c>
    </row>
    <row r="251" spans="1:3" x14ac:dyDescent="0.3">
      <c r="A251" t="s">
        <v>57</v>
      </c>
      <c r="B251">
        <v>3160</v>
      </c>
      <c r="C251">
        <v>297</v>
      </c>
    </row>
    <row r="252" spans="1:3" x14ac:dyDescent="0.3">
      <c r="A252" t="s">
        <v>33</v>
      </c>
      <c r="B252">
        <v>4804</v>
      </c>
      <c r="C252">
        <v>270</v>
      </c>
    </row>
    <row r="253" spans="1:3" x14ac:dyDescent="0.3">
      <c r="A253" t="s">
        <v>57</v>
      </c>
      <c r="B253">
        <v>2647</v>
      </c>
      <c r="C253">
        <v>170</v>
      </c>
    </row>
    <row r="254" spans="1:3" x14ac:dyDescent="0.3">
      <c r="A254" t="s">
        <v>26</v>
      </c>
      <c r="B254">
        <v>4561</v>
      </c>
      <c r="C254">
        <v>441</v>
      </c>
    </row>
    <row r="255" spans="1:3" x14ac:dyDescent="0.3">
      <c r="A255" t="s">
        <v>57</v>
      </c>
      <c r="B255">
        <v>4000</v>
      </c>
      <c r="C255">
        <v>488</v>
      </c>
    </row>
    <row r="256" spans="1:3" x14ac:dyDescent="0.3">
      <c r="A256" t="s">
        <v>26</v>
      </c>
      <c r="B256">
        <v>3535</v>
      </c>
      <c r="C256">
        <v>152</v>
      </c>
    </row>
    <row r="257" spans="1:3" x14ac:dyDescent="0.3">
      <c r="A257" t="s">
        <v>26</v>
      </c>
      <c r="B257">
        <v>199</v>
      </c>
      <c r="C257">
        <v>400</v>
      </c>
    </row>
    <row r="258" spans="1:3" x14ac:dyDescent="0.3">
      <c r="A258" t="s">
        <v>57</v>
      </c>
      <c r="B258">
        <v>4725</v>
      </c>
      <c r="C258">
        <v>362</v>
      </c>
    </row>
    <row r="259" spans="1:3" x14ac:dyDescent="0.3">
      <c r="A259" t="s">
        <v>26</v>
      </c>
      <c r="B259">
        <v>1272</v>
      </c>
      <c r="C259">
        <v>99</v>
      </c>
    </row>
    <row r="260" spans="1:3" x14ac:dyDescent="0.3">
      <c r="A260" t="s">
        <v>33</v>
      </c>
      <c r="B260">
        <v>1877</v>
      </c>
      <c r="C260">
        <v>225</v>
      </c>
    </row>
    <row r="261" spans="1:3" x14ac:dyDescent="0.3">
      <c r="A261" t="s">
        <v>26</v>
      </c>
      <c r="B261">
        <v>2719</v>
      </c>
      <c r="C261">
        <v>285</v>
      </c>
    </row>
    <row r="262" spans="1:3" x14ac:dyDescent="0.3">
      <c r="A262" t="s">
        <v>57</v>
      </c>
      <c r="B262">
        <v>1814</v>
      </c>
      <c r="C262">
        <v>363</v>
      </c>
    </row>
    <row r="263" spans="1:3" x14ac:dyDescent="0.3">
      <c r="A263" t="s">
        <v>33</v>
      </c>
      <c r="B263">
        <v>3929</v>
      </c>
      <c r="C263">
        <v>278</v>
      </c>
    </row>
    <row r="264" spans="1:3" x14ac:dyDescent="0.3">
      <c r="A264" t="s">
        <v>57</v>
      </c>
      <c r="B264">
        <v>1018</v>
      </c>
      <c r="C264">
        <v>332</v>
      </c>
    </row>
    <row r="265" spans="1:3" x14ac:dyDescent="0.3">
      <c r="A265" t="s">
        <v>33</v>
      </c>
      <c r="B265">
        <v>3024</v>
      </c>
      <c r="C265">
        <v>350</v>
      </c>
    </row>
    <row r="266" spans="1:3" x14ac:dyDescent="0.3">
      <c r="A266" t="s">
        <v>26</v>
      </c>
      <c r="B266">
        <v>4739</v>
      </c>
      <c r="C266">
        <v>135</v>
      </c>
    </row>
    <row r="267" spans="1:3" x14ac:dyDescent="0.3">
      <c r="A267" t="s">
        <v>33</v>
      </c>
      <c r="B267">
        <v>4663</v>
      </c>
      <c r="C267">
        <v>225</v>
      </c>
    </row>
    <row r="268" spans="1:3" x14ac:dyDescent="0.3">
      <c r="A268" t="s">
        <v>26</v>
      </c>
      <c r="B268">
        <v>947</v>
      </c>
      <c r="C268">
        <v>350</v>
      </c>
    </row>
    <row r="269" spans="1:3" x14ac:dyDescent="0.3">
      <c r="A269" t="s">
        <v>57</v>
      </c>
      <c r="B269">
        <v>498</v>
      </c>
      <c r="C269">
        <v>42</v>
      </c>
    </row>
    <row r="270" spans="1:3" x14ac:dyDescent="0.3">
      <c r="A270" t="s">
        <v>57</v>
      </c>
      <c r="B270">
        <v>3592</v>
      </c>
      <c r="C270">
        <v>375</v>
      </c>
    </row>
    <row r="271" spans="1:3" x14ac:dyDescent="0.3">
      <c r="A271" t="s">
        <v>33</v>
      </c>
      <c r="B271">
        <v>4518</v>
      </c>
      <c r="C271">
        <v>383</v>
      </c>
    </row>
    <row r="272" spans="1:3" x14ac:dyDescent="0.3">
      <c r="A272" t="s">
        <v>57</v>
      </c>
      <c r="B272">
        <v>1488</v>
      </c>
      <c r="C272">
        <v>168</v>
      </c>
    </row>
    <row r="273" spans="1:3" x14ac:dyDescent="0.3">
      <c r="A273" t="s">
        <v>57</v>
      </c>
      <c r="B273">
        <v>2103</v>
      </c>
      <c r="C273">
        <v>103</v>
      </c>
    </row>
    <row r="274" spans="1:3" x14ac:dyDescent="0.3">
      <c r="A274" t="s">
        <v>26</v>
      </c>
      <c r="B274">
        <v>302</v>
      </c>
      <c r="C274">
        <v>430</v>
      </c>
    </row>
    <row r="275" spans="1:3" x14ac:dyDescent="0.3">
      <c r="A275" t="s">
        <v>26</v>
      </c>
      <c r="B275">
        <v>1762</v>
      </c>
      <c r="C275">
        <v>423</v>
      </c>
    </row>
    <row r="276" spans="1:3" x14ac:dyDescent="0.3">
      <c r="A276" t="s">
        <v>33</v>
      </c>
      <c r="B276">
        <v>3090</v>
      </c>
      <c r="C276">
        <v>164</v>
      </c>
    </row>
    <row r="277" spans="1:3" x14ac:dyDescent="0.3">
      <c r="A277" t="s">
        <v>26</v>
      </c>
      <c r="B277">
        <v>2072</v>
      </c>
      <c r="C277">
        <v>71</v>
      </c>
    </row>
    <row r="278" spans="1:3" x14ac:dyDescent="0.3">
      <c r="A278" t="s">
        <v>26</v>
      </c>
      <c r="B278">
        <v>4054</v>
      </c>
      <c r="C278">
        <v>373</v>
      </c>
    </row>
    <row r="279" spans="1:3" x14ac:dyDescent="0.3">
      <c r="A279" t="s">
        <v>33</v>
      </c>
      <c r="B279">
        <v>2166</v>
      </c>
      <c r="C279">
        <v>117</v>
      </c>
    </row>
    <row r="280" spans="1:3" x14ac:dyDescent="0.3">
      <c r="A280" t="s">
        <v>26</v>
      </c>
      <c r="B280">
        <v>4453</v>
      </c>
      <c r="C280">
        <v>420</v>
      </c>
    </row>
    <row r="281" spans="1:3" x14ac:dyDescent="0.3">
      <c r="A281" t="s">
        <v>33</v>
      </c>
      <c r="B281">
        <v>2936</v>
      </c>
      <c r="C281">
        <v>44</v>
      </c>
    </row>
    <row r="282" spans="1:3" x14ac:dyDescent="0.3">
      <c r="A282" t="s">
        <v>57</v>
      </c>
      <c r="B282">
        <v>2120</v>
      </c>
      <c r="C282">
        <v>212</v>
      </c>
    </row>
    <row r="283" spans="1:3" x14ac:dyDescent="0.3">
      <c r="A283" t="s">
        <v>57</v>
      </c>
      <c r="B283">
        <v>954</v>
      </c>
      <c r="C283">
        <v>288</v>
      </c>
    </row>
    <row r="284" spans="1:3" x14ac:dyDescent="0.3">
      <c r="A284" t="s">
        <v>57</v>
      </c>
      <c r="B284">
        <v>2603</v>
      </c>
      <c r="C284">
        <v>205</v>
      </c>
    </row>
    <row r="285" spans="1:3" x14ac:dyDescent="0.3">
      <c r="A285" t="s">
        <v>26</v>
      </c>
      <c r="B285">
        <v>1082</v>
      </c>
      <c r="C285">
        <v>484</v>
      </c>
    </row>
    <row r="286" spans="1:3" x14ac:dyDescent="0.3">
      <c r="A286" t="s">
        <v>57</v>
      </c>
      <c r="B286">
        <v>3888</v>
      </c>
      <c r="C286">
        <v>128</v>
      </c>
    </row>
    <row r="287" spans="1:3" x14ac:dyDescent="0.3">
      <c r="A287" t="s">
        <v>33</v>
      </c>
      <c r="B287">
        <v>736</v>
      </c>
      <c r="C287">
        <v>225</v>
      </c>
    </row>
    <row r="288" spans="1:3" x14ac:dyDescent="0.3">
      <c r="A288" t="s">
        <v>57</v>
      </c>
      <c r="B288">
        <v>3000</v>
      </c>
      <c r="C288">
        <v>325</v>
      </c>
    </row>
    <row r="289" spans="1:3" x14ac:dyDescent="0.3">
      <c r="A289" t="s">
        <v>33</v>
      </c>
      <c r="B289">
        <v>4782</v>
      </c>
      <c r="C289">
        <v>82</v>
      </c>
    </row>
    <row r="290" spans="1:3" x14ac:dyDescent="0.3">
      <c r="A290" t="s">
        <v>57</v>
      </c>
      <c r="B290">
        <v>2120</v>
      </c>
      <c r="C290">
        <v>488</v>
      </c>
    </row>
    <row r="291" spans="1:3" x14ac:dyDescent="0.3">
      <c r="A291" t="s">
        <v>57</v>
      </c>
      <c r="B291">
        <v>1575</v>
      </c>
      <c r="C291">
        <v>486</v>
      </c>
    </row>
    <row r="292" spans="1:3" x14ac:dyDescent="0.3">
      <c r="A292" t="s">
        <v>57</v>
      </c>
      <c r="B292">
        <v>1461</v>
      </c>
      <c r="C292">
        <v>344</v>
      </c>
    </row>
    <row r="293" spans="1:3" x14ac:dyDescent="0.3">
      <c r="A293" t="s">
        <v>26</v>
      </c>
      <c r="B293">
        <v>4303</v>
      </c>
      <c r="C293">
        <v>286</v>
      </c>
    </row>
    <row r="294" spans="1:3" x14ac:dyDescent="0.3">
      <c r="A294" t="s">
        <v>33</v>
      </c>
      <c r="B294">
        <v>84</v>
      </c>
      <c r="C294">
        <v>85</v>
      </c>
    </row>
    <row r="295" spans="1:3" x14ac:dyDescent="0.3">
      <c r="A295" t="s">
        <v>57</v>
      </c>
      <c r="B295">
        <v>4450</v>
      </c>
      <c r="C295">
        <v>143</v>
      </c>
    </row>
    <row r="296" spans="1:3" x14ac:dyDescent="0.3">
      <c r="A296" t="s">
        <v>33</v>
      </c>
      <c r="B296">
        <v>804</v>
      </c>
      <c r="C296">
        <v>43</v>
      </c>
    </row>
    <row r="297" spans="1:3" x14ac:dyDescent="0.3">
      <c r="A297" t="s">
        <v>26</v>
      </c>
      <c r="B297">
        <v>3711</v>
      </c>
      <c r="C297">
        <v>290</v>
      </c>
    </row>
    <row r="298" spans="1:3" x14ac:dyDescent="0.3">
      <c r="A298" t="s">
        <v>33</v>
      </c>
      <c r="B298">
        <v>2291</v>
      </c>
      <c r="C298">
        <v>485</v>
      </c>
    </row>
    <row r="299" spans="1:3" x14ac:dyDescent="0.3">
      <c r="A299" t="s">
        <v>33</v>
      </c>
      <c r="B299">
        <v>4419</v>
      </c>
      <c r="C299">
        <v>369</v>
      </c>
    </row>
    <row r="300" spans="1:3" x14ac:dyDescent="0.3">
      <c r="A300" t="s">
        <v>26</v>
      </c>
      <c r="B300">
        <v>4182</v>
      </c>
      <c r="C300">
        <v>240</v>
      </c>
    </row>
    <row r="301" spans="1:3" x14ac:dyDescent="0.3">
      <c r="A301" t="s">
        <v>26</v>
      </c>
      <c r="B301">
        <v>4332</v>
      </c>
      <c r="C301">
        <v>219</v>
      </c>
    </row>
    <row r="302" spans="1:3" x14ac:dyDescent="0.3">
      <c r="A302" t="s">
        <v>601</v>
      </c>
      <c r="B302">
        <v>880</v>
      </c>
      <c r="C302">
        <v>345</v>
      </c>
    </row>
    <row r="303" spans="1:3" x14ac:dyDescent="0.3">
      <c r="A303" t="s">
        <v>26</v>
      </c>
      <c r="B303">
        <v>1952</v>
      </c>
      <c r="C303">
        <v>287</v>
      </c>
    </row>
    <row r="304" spans="1:3" x14ac:dyDescent="0.3">
      <c r="A304" t="s">
        <v>601</v>
      </c>
      <c r="B304">
        <v>1606</v>
      </c>
      <c r="C304">
        <v>316</v>
      </c>
    </row>
    <row r="305" spans="1:3" x14ac:dyDescent="0.3">
      <c r="A305" t="s">
        <v>26</v>
      </c>
      <c r="B305">
        <v>3557</v>
      </c>
      <c r="C305">
        <v>424</v>
      </c>
    </row>
    <row r="306" spans="1:3" x14ac:dyDescent="0.3">
      <c r="A306" t="s">
        <v>587</v>
      </c>
      <c r="B306">
        <v>3440</v>
      </c>
      <c r="C306">
        <v>20</v>
      </c>
    </row>
    <row r="307" spans="1:3" x14ac:dyDescent="0.3">
      <c r="A307" t="s">
        <v>33</v>
      </c>
      <c r="B307">
        <v>3960</v>
      </c>
      <c r="C307">
        <v>8</v>
      </c>
    </row>
    <row r="308" spans="1:3" x14ac:dyDescent="0.3">
      <c r="A308" t="s">
        <v>601</v>
      </c>
      <c r="B308">
        <v>3065</v>
      </c>
      <c r="C308">
        <v>142</v>
      </c>
    </row>
    <row r="309" spans="1:3" x14ac:dyDescent="0.3">
      <c r="A309" t="s">
        <v>26</v>
      </c>
      <c r="B309">
        <v>725</v>
      </c>
      <c r="C309">
        <v>428</v>
      </c>
    </row>
    <row r="310" spans="1:3" x14ac:dyDescent="0.3">
      <c r="A310" t="s">
        <v>601</v>
      </c>
      <c r="B310">
        <v>1257</v>
      </c>
      <c r="C310">
        <v>351</v>
      </c>
    </row>
    <row r="311" spans="1:3" x14ac:dyDescent="0.3">
      <c r="A311" t="s">
        <v>33</v>
      </c>
      <c r="B311">
        <v>4494</v>
      </c>
      <c r="C311">
        <v>45</v>
      </c>
    </row>
    <row r="312" spans="1:3" x14ac:dyDescent="0.3">
      <c r="A312" t="s">
        <v>587</v>
      </c>
      <c r="B312">
        <v>3820</v>
      </c>
      <c r="C312">
        <v>268</v>
      </c>
    </row>
    <row r="313" spans="1:3" x14ac:dyDescent="0.3">
      <c r="A313" t="s">
        <v>601</v>
      </c>
      <c r="B313">
        <v>4934</v>
      </c>
      <c r="C313">
        <v>156</v>
      </c>
    </row>
    <row r="314" spans="1:3" x14ac:dyDescent="0.3">
      <c r="A314" t="s">
        <v>26</v>
      </c>
      <c r="B314">
        <v>929</v>
      </c>
      <c r="C314">
        <v>322</v>
      </c>
    </row>
    <row r="315" spans="1:3" x14ac:dyDescent="0.3">
      <c r="A315" t="s">
        <v>587</v>
      </c>
      <c r="B315">
        <v>4274</v>
      </c>
      <c r="C315">
        <v>281</v>
      </c>
    </row>
    <row r="316" spans="1:3" x14ac:dyDescent="0.3">
      <c r="A316" t="s">
        <v>602</v>
      </c>
      <c r="B316">
        <v>4054</v>
      </c>
      <c r="C316">
        <v>493</v>
      </c>
    </row>
    <row r="317" spans="1:3" x14ac:dyDescent="0.3">
      <c r="A317" t="s">
        <v>26</v>
      </c>
      <c r="B317">
        <v>4275</v>
      </c>
      <c r="C317">
        <v>385</v>
      </c>
    </row>
    <row r="318" spans="1:3" x14ac:dyDescent="0.3">
      <c r="A318" t="s">
        <v>26</v>
      </c>
      <c r="B318">
        <v>904</v>
      </c>
      <c r="C318">
        <v>63</v>
      </c>
    </row>
    <row r="319" spans="1:3" x14ac:dyDescent="0.3">
      <c r="A319" t="s">
        <v>601</v>
      </c>
      <c r="B319">
        <v>3160</v>
      </c>
      <c r="C319">
        <v>297</v>
      </c>
    </row>
    <row r="320" spans="1:3" x14ac:dyDescent="0.3">
      <c r="A320" t="s">
        <v>587</v>
      </c>
      <c r="B320">
        <v>1814</v>
      </c>
      <c r="C320">
        <v>363</v>
      </c>
    </row>
    <row r="321" spans="1:3" x14ac:dyDescent="0.3">
      <c r="A321" t="s">
        <v>601</v>
      </c>
      <c r="B321">
        <v>4739</v>
      </c>
      <c r="C321">
        <v>135</v>
      </c>
    </row>
    <row r="322" spans="1:3" x14ac:dyDescent="0.3">
      <c r="A322" t="s">
        <v>33</v>
      </c>
      <c r="B322">
        <v>3090</v>
      </c>
      <c r="C322">
        <v>164</v>
      </c>
    </row>
    <row r="323" spans="1:3" x14ac:dyDescent="0.3">
      <c r="A323" t="s">
        <v>601</v>
      </c>
      <c r="B323">
        <v>1461</v>
      </c>
      <c r="C323">
        <v>344</v>
      </c>
    </row>
    <row r="324" spans="1:3" x14ac:dyDescent="0.3">
      <c r="A324" t="s">
        <v>602</v>
      </c>
      <c r="B324">
        <v>804</v>
      </c>
      <c r="C324">
        <v>43</v>
      </c>
    </row>
    <row r="325" spans="1:3" x14ac:dyDescent="0.3">
      <c r="A325" t="s">
        <v>587</v>
      </c>
      <c r="B325">
        <v>2291</v>
      </c>
      <c r="C325">
        <v>485</v>
      </c>
    </row>
    <row r="326" spans="1:3" x14ac:dyDescent="0.3">
      <c r="A326" t="s">
        <v>33</v>
      </c>
      <c r="B326">
        <v>4332</v>
      </c>
      <c r="C326">
        <v>219</v>
      </c>
    </row>
    <row r="327" spans="1:3" x14ac:dyDescent="0.3">
      <c r="A327" t="s">
        <v>601</v>
      </c>
      <c r="B327">
        <v>914</v>
      </c>
      <c r="C327">
        <v>246</v>
      </c>
    </row>
    <row r="328" spans="1:3" x14ac:dyDescent="0.3">
      <c r="A328" t="s">
        <v>601</v>
      </c>
      <c r="B328">
        <v>1952</v>
      </c>
      <c r="C328">
        <v>287</v>
      </c>
    </row>
    <row r="329" spans="1:3" x14ac:dyDescent="0.3">
      <c r="A329" t="s">
        <v>602</v>
      </c>
      <c r="B329">
        <v>3960</v>
      </c>
      <c r="C329">
        <v>8</v>
      </c>
    </row>
    <row r="330" spans="1:3" x14ac:dyDescent="0.3">
      <c r="A330" t="s">
        <v>601</v>
      </c>
      <c r="B330">
        <v>725</v>
      </c>
      <c r="C330">
        <v>428</v>
      </c>
    </row>
    <row r="331" spans="1:3" x14ac:dyDescent="0.3">
      <c r="A331" t="s">
        <v>33</v>
      </c>
      <c r="B331">
        <v>1257</v>
      </c>
      <c r="C331">
        <v>351</v>
      </c>
    </row>
    <row r="332" spans="1:3" x14ac:dyDescent="0.3">
      <c r="A332" t="s">
        <v>602</v>
      </c>
      <c r="B332">
        <v>4494</v>
      </c>
      <c r="C332">
        <v>45</v>
      </c>
    </row>
    <row r="333" spans="1:3" x14ac:dyDescent="0.3">
      <c r="A333" t="s">
        <v>601</v>
      </c>
      <c r="B333">
        <v>929</v>
      </c>
      <c r="C333">
        <v>322</v>
      </c>
    </row>
    <row r="334" spans="1:3" x14ac:dyDescent="0.3">
      <c r="A334" t="s">
        <v>601</v>
      </c>
      <c r="B334">
        <v>4275</v>
      </c>
      <c r="C334">
        <v>385</v>
      </c>
    </row>
    <row r="335" spans="1:3" x14ac:dyDescent="0.3">
      <c r="A335" t="s">
        <v>601</v>
      </c>
      <c r="B335">
        <v>904</v>
      </c>
      <c r="C335">
        <v>63</v>
      </c>
    </row>
    <row r="336" spans="1:3" x14ac:dyDescent="0.3">
      <c r="A336" t="s">
        <v>602</v>
      </c>
      <c r="B336">
        <v>3090</v>
      </c>
      <c r="C336">
        <v>164</v>
      </c>
    </row>
    <row r="337" spans="1:3" x14ac:dyDescent="0.3">
      <c r="A337" t="s">
        <v>602</v>
      </c>
      <c r="B337">
        <v>4332</v>
      </c>
      <c r="C337">
        <v>219</v>
      </c>
    </row>
  </sheetData>
  <pageMargins left="0.7" right="0.7" top="0.75" bottom="0.75" header="0.3" footer="0.3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B0393-8162-4CEC-9EB4-22DDB7C68E2A}">
  <sheetPr>
    <tabColor theme="9" tint="0.59999389629810485"/>
  </sheetPr>
  <dimension ref="B2:AI43"/>
  <sheetViews>
    <sheetView zoomScale="62" zoomScaleNormal="62" workbookViewId="0">
      <selection activeCell="D4" sqref="D4"/>
    </sheetView>
  </sheetViews>
  <sheetFormatPr defaultRowHeight="14.4" x14ac:dyDescent="0.3"/>
  <cols>
    <col min="1" max="1" width="11.88671875" customWidth="1"/>
    <col min="2" max="2" width="11.109375" customWidth="1"/>
    <col min="3" max="3" width="9.44140625" bestFit="1" customWidth="1"/>
    <col min="4" max="4" width="30" customWidth="1"/>
    <col min="5" max="5" width="19.77734375" customWidth="1"/>
    <col min="6" max="6" width="22.88671875" customWidth="1"/>
    <col min="7" max="7" width="17.44140625" customWidth="1"/>
    <col min="8" max="8" width="19.33203125" customWidth="1"/>
    <col min="20" max="20" width="8.33203125" customWidth="1"/>
  </cols>
  <sheetData>
    <row r="2" spans="2:6" x14ac:dyDescent="0.3">
      <c r="B2" s="17" t="s">
        <v>615</v>
      </c>
      <c r="C2" s="17" t="s">
        <v>652</v>
      </c>
      <c r="D2" s="16"/>
      <c r="E2" s="16"/>
      <c r="F2" s="16"/>
    </row>
    <row r="3" spans="2:6" x14ac:dyDescent="0.3">
      <c r="B3" s="17" t="s">
        <v>1</v>
      </c>
      <c r="C3" s="103" t="s">
        <v>39</v>
      </c>
      <c r="D3" s="103" t="s">
        <v>29</v>
      </c>
      <c r="E3" s="103" t="s">
        <v>592</v>
      </c>
      <c r="F3" s="103" t="s">
        <v>23</v>
      </c>
    </row>
    <row r="4" spans="2:6" x14ac:dyDescent="0.3">
      <c r="B4" s="104" t="s">
        <v>41</v>
      </c>
      <c r="C4" s="105">
        <v>0.11820589815604367</v>
      </c>
      <c r="D4" s="105">
        <v>0.14439860032256024</v>
      </c>
      <c r="E4" s="105">
        <v>0.15972488239914528</v>
      </c>
      <c r="F4" s="105">
        <v>0.17416554369953544</v>
      </c>
    </row>
    <row r="5" spans="2:6" x14ac:dyDescent="0.3">
      <c r="B5" s="104" t="s">
        <v>47</v>
      </c>
      <c r="C5" s="105">
        <v>0.11892682975133068</v>
      </c>
      <c r="D5" s="105">
        <v>0.14929862484025289</v>
      </c>
      <c r="E5" s="105">
        <v>0.14756648191377314</v>
      </c>
      <c r="F5" s="105">
        <v>0.15035567844671383</v>
      </c>
    </row>
    <row r="6" spans="2:6" x14ac:dyDescent="0.3">
      <c r="B6" s="104" t="s">
        <v>16</v>
      </c>
      <c r="C6" s="105">
        <v>0.10810248159985612</v>
      </c>
      <c r="D6" s="105">
        <v>0.26004033206333965</v>
      </c>
      <c r="E6" s="105">
        <v>0.12428081569427865</v>
      </c>
      <c r="F6" s="105">
        <v>0.11688583584797579</v>
      </c>
    </row>
    <row r="7" spans="2:6" x14ac:dyDescent="0.3">
      <c r="B7" s="104" t="s">
        <v>31</v>
      </c>
      <c r="C7" s="105">
        <v>0.15898977777988452</v>
      </c>
      <c r="D7" s="105">
        <v>0.24558274253543633</v>
      </c>
      <c r="E7" s="105">
        <v>0.18859716943319416</v>
      </c>
      <c r="F7" s="105">
        <v>9.4965330348360799E-2</v>
      </c>
    </row>
    <row r="8" spans="2:6" x14ac:dyDescent="0.3">
      <c r="B8" s="104" t="s">
        <v>20</v>
      </c>
      <c r="C8" s="105">
        <v>0.1074395128551284</v>
      </c>
      <c r="D8" s="105">
        <v>0.12920449104190176</v>
      </c>
      <c r="E8" s="105">
        <v>0.12088972902726507</v>
      </c>
      <c r="F8" s="105">
        <v>0.11459217612964397</v>
      </c>
    </row>
    <row r="9" spans="2:6" x14ac:dyDescent="0.3">
      <c r="B9" s="104" t="s">
        <v>69</v>
      </c>
      <c r="C9" s="105">
        <v>0.12899653614759149</v>
      </c>
      <c r="D9" s="105">
        <v>0.2062396061640541</v>
      </c>
      <c r="E9" s="105">
        <v>0.11980876658677887</v>
      </c>
      <c r="F9" s="105">
        <v>0.12968338256813225</v>
      </c>
    </row>
    <row r="19" spans="2:35" ht="28.8" x14ac:dyDescent="0.55000000000000004">
      <c r="B19" s="110" t="s">
        <v>732</v>
      </c>
      <c r="C19" s="106"/>
      <c r="D19" s="106"/>
      <c r="E19" s="106"/>
      <c r="F19" s="106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X19" s="121" t="s">
        <v>665</v>
      </c>
      <c r="Y19" s="122"/>
      <c r="Z19" s="122"/>
      <c r="AA19" s="122"/>
      <c r="AB19" s="122"/>
      <c r="AC19" s="122"/>
    </row>
    <row r="20" spans="2:35" ht="25.8" x14ac:dyDescent="0.5">
      <c r="B20" s="110" t="s">
        <v>653</v>
      </c>
      <c r="C20" s="106"/>
      <c r="D20" s="106"/>
      <c r="E20" s="106"/>
      <c r="F20" s="106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X20" s="117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</row>
    <row r="21" spans="2:35" ht="25.8" x14ac:dyDescent="0.5">
      <c r="B21" s="110" t="s">
        <v>654</v>
      </c>
      <c r="C21" s="106"/>
      <c r="D21" s="106"/>
      <c r="E21" s="106"/>
      <c r="F21" s="106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X21" s="120" t="s">
        <v>729</v>
      </c>
      <c r="Y21" s="120"/>
      <c r="Z21" s="120"/>
      <c r="AA21" s="120"/>
      <c r="AB21" s="120"/>
      <c r="AC21" s="120"/>
      <c r="AD21" s="120"/>
      <c r="AE21" s="118"/>
      <c r="AF21" s="118"/>
      <c r="AG21" s="118"/>
      <c r="AH21" s="118"/>
      <c r="AI21" s="118"/>
    </row>
    <row r="22" spans="2:35" ht="25.8" x14ac:dyDescent="0.5">
      <c r="B22" s="110" t="s">
        <v>733</v>
      </c>
      <c r="C22" s="106"/>
      <c r="D22" s="106"/>
      <c r="E22" s="106"/>
      <c r="F22" s="106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X22" s="192" t="s">
        <v>730</v>
      </c>
      <c r="Y22" s="120"/>
      <c r="Z22" s="120"/>
      <c r="AA22" s="120"/>
      <c r="AB22" s="120"/>
      <c r="AC22" s="120"/>
      <c r="AD22" s="120"/>
      <c r="AE22" s="118"/>
      <c r="AF22" s="118"/>
      <c r="AG22" s="118"/>
      <c r="AH22" s="118"/>
      <c r="AI22" s="118"/>
    </row>
    <row r="23" spans="2:35" ht="25.8" x14ac:dyDescent="0.5">
      <c r="B23" s="110" t="s">
        <v>655</v>
      </c>
      <c r="C23" s="106"/>
      <c r="D23" s="106"/>
      <c r="E23" s="106"/>
      <c r="F23" s="106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X23" s="192" t="s">
        <v>731</v>
      </c>
      <c r="Y23" s="120"/>
      <c r="Z23" s="120"/>
      <c r="AA23" s="120"/>
      <c r="AB23" s="120"/>
      <c r="AC23" s="120"/>
      <c r="AD23" s="120"/>
      <c r="AE23" s="118"/>
      <c r="AF23" s="118"/>
      <c r="AG23" s="118"/>
      <c r="AH23" s="118"/>
      <c r="AI23" s="118"/>
    </row>
    <row r="24" spans="2:35" ht="25.8" x14ac:dyDescent="0.5">
      <c r="B24" s="110" t="s">
        <v>657</v>
      </c>
      <c r="C24" s="106"/>
      <c r="D24" s="106"/>
      <c r="E24" s="106"/>
      <c r="F24" s="106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X24" s="192"/>
      <c r="Y24" s="120"/>
      <c r="Z24" s="120"/>
      <c r="AA24" s="120"/>
      <c r="AB24" s="120"/>
      <c r="AC24" s="120"/>
      <c r="AD24" s="120"/>
      <c r="AE24" s="118"/>
      <c r="AF24" s="118"/>
      <c r="AG24" s="118"/>
      <c r="AH24" s="118"/>
      <c r="AI24" s="118"/>
    </row>
    <row r="25" spans="2:35" ht="23.4" x14ac:dyDescent="0.45">
      <c r="X25" s="119"/>
      <c r="Y25" s="120"/>
      <c r="Z25" s="120"/>
      <c r="AA25" s="120"/>
      <c r="AB25" s="120"/>
      <c r="AC25" s="120"/>
      <c r="AD25" s="120"/>
      <c r="AE25" s="118"/>
      <c r="AF25" s="118"/>
      <c r="AG25" s="118"/>
      <c r="AH25" s="118"/>
      <c r="AI25" s="118"/>
    </row>
    <row r="26" spans="2:35" ht="23.4" x14ac:dyDescent="0.45">
      <c r="X26" s="119"/>
      <c r="Y26" s="120"/>
      <c r="Z26" s="120"/>
      <c r="AA26" s="120"/>
      <c r="AB26" s="120"/>
      <c r="AC26" s="120"/>
      <c r="AD26" s="120"/>
      <c r="AE26" s="118"/>
      <c r="AF26" s="118"/>
      <c r="AG26" s="118"/>
      <c r="AH26" s="118"/>
      <c r="AI26" s="118"/>
    </row>
    <row r="27" spans="2:35" ht="23.4" x14ac:dyDescent="0.45">
      <c r="B27" s="109" t="s">
        <v>656</v>
      </c>
      <c r="C27" s="107"/>
      <c r="D27" s="102"/>
      <c r="X27" s="119"/>
      <c r="Y27" s="120"/>
      <c r="Z27" s="120"/>
      <c r="AA27" s="120"/>
      <c r="AB27" s="120"/>
      <c r="AC27" s="120"/>
      <c r="AD27" s="120"/>
      <c r="AE27" s="118"/>
      <c r="AF27" s="118"/>
      <c r="AG27" s="118"/>
      <c r="AH27" s="118"/>
      <c r="AI27" s="118"/>
    </row>
    <row r="28" spans="2:35" ht="23.4" x14ac:dyDescent="0.45">
      <c r="X28" s="119"/>
      <c r="Y28" s="120"/>
      <c r="Z28" s="120"/>
      <c r="AA28" s="120"/>
      <c r="AB28" s="120"/>
      <c r="AC28" s="120"/>
      <c r="AD28" s="120"/>
      <c r="AE28" s="118"/>
      <c r="AF28" s="118"/>
      <c r="AG28" s="118"/>
      <c r="AH28" s="118"/>
      <c r="AI28" s="118"/>
    </row>
    <row r="29" spans="2:35" ht="23.4" x14ac:dyDescent="0.45">
      <c r="B29" s="111" t="s">
        <v>659</v>
      </c>
      <c r="C29" s="102"/>
      <c r="X29" s="119"/>
      <c r="Y29" s="120"/>
      <c r="Z29" s="120"/>
      <c r="AA29" s="120"/>
      <c r="AB29" s="120"/>
      <c r="AC29" s="120"/>
      <c r="AD29" s="120"/>
      <c r="AE29" s="118"/>
      <c r="AF29" s="118"/>
      <c r="AG29" s="118"/>
      <c r="AH29" s="118"/>
      <c r="AI29" s="118"/>
    </row>
    <row r="30" spans="2:35" x14ac:dyDescent="0.3">
      <c r="B30" s="108"/>
    </row>
    <row r="31" spans="2:35" ht="21" x14ac:dyDescent="0.4">
      <c r="B31" s="112" t="s">
        <v>658</v>
      </c>
      <c r="C31" s="112"/>
      <c r="D31" s="113"/>
      <c r="E31" s="113"/>
    </row>
    <row r="33" spans="2:5" ht="21" x14ac:dyDescent="0.4">
      <c r="B33" s="115" t="s">
        <v>660</v>
      </c>
      <c r="C33" s="102"/>
    </row>
    <row r="35" spans="2:5" ht="21" x14ac:dyDescent="0.4">
      <c r="B35" s="112" t="s">
        <v>664</v>
      </c>
      <c r="C35" s="114"/>
      <c r="D35" s="114"/>
      <c r="E35" s="114"/>
    </row>
    <row r="37" spans="2:5" ht="21" x14ac:dyDescent="0.4">
      <c r="B37" s="116" t="s">
        <v>661</v>
      </c>
    </row>
    <row r="39" spans="2:5" ht="21" x14ac:dyDescent="0.4">
      <c r="B39" s="112" t="s">
        <v>736</v>
      </c>
      <c r="C39" s="113"/>
      <c r="D39" s="113"/>
      <c r="E39" s="113"/>
    </row>
    <row r="41" spans="2:5" ht="21" x14ac:dyDescent="0.4">
      <c r="B41" s="115" t="s">
        <v>663</v>
      </c>
      <c r="C41" s="102"/>
    </row>
    <row r="43" spans="2:5" ht="21" x14ac:dyDescent="0.4">
      <c r="B43" s="112" t="s">
        <v>662</v>
      </c>
      <c r="C43" s="113"/>
      <c r="D43" s="113"/>
      <c r="E43" s="113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F1D1-CE86-435C-A4E1-57DE52BE9665}">
  <sheetPr>
    <tabColor theme="5" tint="0.39997558519241921"/>
  </sheetPr>
  <dimension ref="E3:N38"/>
  <sheetViews>
    <sheetView topLeftCell="F13" zoomScale="98" zoomScaleNormal="70" workbookViewId="0">
      <selection activeCell="J28" sqref="J28"/>
    </sheetView>
  </sheetViews>
  <sheetFormatPr defaultRowHeight="14.4" x14ac:dyDescent="0.3"/>
  <cols>
    <col min="1" max="1" width="14.77734375" bestFit="1" customWidth="1"/>
    <col min="2" max="2" width="17.6640625" bestFit="1" customWidth="1"/>
    <col min="3" max="3" width="11.5546875" bestFit="1" customWidth="1"/>
    <col min="4" max="4" width="8" customWidth="1"/>
    <col min="5" max="5" width="20.44140625" customWidth="1"/>
    <col min="6" max="6" width="20.33203125" customWidth="1"/>
    <col min="7" max="7" width="20.77734375" bestFit="1" customWidth="1"/>
    <col min="8" max="8" width="19.109375" customWidth="1"/>
    <col min="9" max="9" width="14.77734375" bestFit="1" customWidth="1"/>
    <col min="11" max="11" width="15.5546875" customWidth="1"/>
    <col min="12" max="12" width="21" customWidth="1"/>
    <col min="13" max="13" width="19.109375" customWidth="1"/>
    <col min="14" max="14" width="22.5546875" customWidth="1"/>
  </cols>
  <sheetData>
    <row r="3" spans="5:14" x14ac:dyDescent="0.3">
      <c r="E3" s="45" t="s">
        <v>666</v>
      </c>
      <c r="F3" s="43" t="s">
        <v>668</v>
      </c>
      <c r="G3" s="43" t="s">
        <v>670</v>
      </c>
      <c r="H3" s="43" t="s">
        <v>669</v>
      </c>
      <c r="K3" s="45" t="s">
        <v>666</v>
      </c>
      <c r="L3" s="43" t="s">
        <v>671</v>
      </c>
      <c r="M3" s="43" t="s">
        <v>611</v>
      </c>
      <c r="N3" s="43" t="s">
        <v>649</v>
      </c>
    </row>
    <row r="4" spans="5:14" x14ac:dyDescent="0.3">
      <c r="E4" s="46" t="s">
        <v>34</v>
      </c>
      <c r="F4" s="62">
        <v>2464864</v>
      </c>
      <c r="G4" s="62">
        <v>187909</v>
      </c>
      <c r="H4" s="62">
        <v>10689</v>
      </c>
      <c r="K4" s="46" t="s">
        <v>34</v>
      </c>
      <c r="L4" s="62">
        <v>34716.394366197186</v>
      </c>
      <c r="M4" s="62">
        <v>150.54929577464787</v>
      </c>
      <c r="N4" s="62">
        <v>2646.605633802817</v>
      </c>
    </row>
    <row r="5" spans="5:14" x14ac:dyDescent="0.3">
      <c r="E5" s="46" t="s">
        <v>21</v>
      </c>
      <c r="F5" s="62">
        <v>1986356</v>
      </c>
      <c r="G5" s="62">
        <v>159783</v>
      </c>
      <c r="H5" s="62">
        <v>9872</v>
      </c>
      <c r="K5" s="46" t="s">
        <v>21</v>
      </c>
      <c r="L5" s="62">
        <v>34247.517241379312</v>
      </c>
      <c r="M5" s="62">
        <v>170.20689655172413</v>
      </c>
      <c r="N5" s="62">
        <v>2754.8793103448274</v>
      </c>
    </row>
    <row r="6" spans="5:14" x14ac:dyDescent="0.3">
      <c r="E6" s="46" t="s">
        <v>27</v>
      </c>
      <c r="F6" s="62">
        <v>2266053</v>
      </c>
      <c r="G6" s="62">
        <v>183346</v>
      </c>
      <c r="H6" s="62">
        <v>10032</v>
      </c>
      <c r="K6" s="46" t="s">
        <v>27</v>
      </c>
      <c r="L6" s="62">
        <v>33821.686567164179</v>
      </c>
      <c r="M6" s="62">
        <v>149.73134328358208</v>
      </c>
      <c r="N6" s="62">
        <v>2736.5074626865671</v>
      </c>
    </row>
    <row r="7" spans="5:14" x14ac:dyDescent="0.3">
      <c r="E7" s="46" t="s">
        <v>17</v>
      </c>
      <c r="F7" s="62">
        <v>1846272</v>
      </c>
      <c r="G7" s="62">
        <v>138793</v>
      </c>
      <c r="H7" s="62">
        <v>6434</v>
      </c>
      <c r="K7" s="46" t="s">
        <v>17</v>
      </c>
      <c r="L7" s="62">
        <v>38464</v>
      </c>
      <c r="M7" s="62">
        <v>134.04166666666666</v>
      </c>
      <c r="N7" s="62">
        <v>2891.5208333333335</v>
      </c>
    </row>
    <row r="8" spans="5:14" x14ac:dyDescent="0.3">
      <c r="E8" s="46" t="s">
        <v>667</v>
      </c>
      <c r="F8" s="54">
        <v>8563545</v>
      </c>
      <c r="G8" s="54">
        <v>669831</v>
      </c>
      <c r="H8" s="54">
        <v>37027</v>
      </c>
      <c r="K8" s="46" t="s">
        <v>667</v>
      </c>
      <c r="L8" s="54">
        <v>35096.495901639348</v>
      </c>
      <c r="M8" s="54">
        <v>151.75</v>
      </c>
      <c r="N8" s="54">
        <v>2745.2090163934427</v>
      </c>
    </row>
    <row r="30" spans="5:14" ht="15.6" x14ac:dyDescent="0.3">
      <c r="E30" s="132" t="s">
        <v>675</v>
      </c>
      <c r="F30" s="133"/>
      <c r="G30" s="133"/>
      <c r="H30" s="133"/>
      <c r="K30" s="132" t="s">
        <v>676</v>
      </c>
      <c r="L30" s="133"/>
      <c r="M30" s="133"/>
      <c r="N30" s="133"/>
    </row>
    <row r="31" spans="5:14" ht="15.6" x14ac:dyDescent="0.3">
      <c r="E31" s="133" t="s">
        <v>674</v>
      </c>
      <c r="F31" s="133"/>
      <c r="G31" s="133"/>
      <c r="H31" s="133"/>
      <c r="K31" s="133" t="s">
        <v>672</v>
      </c>
      <c r="L31" s="133"/>
      <c r="M31" s="133"/>
      <c r="N31" s="133"/>
    </row>
    <row r="32" spans="5:14" ht="15.6" x14ac:dyDescent="0.3">
      <c r="E32" s="133"/>
      <c r="F32" s="133"/>
      <c r="G32" s="133"/>
      <c r="H32" s="133"/>
      <c r="K32" s="133" t="s">
        <v>673</v>
      </c>
      <c r="L32" s="133"/>
      <c r="M32" s="133"/>
      <c r="N32" s="133"/>
    </row>
    <row r="36" spans="8:12" ht="23.4" x14ac:dyDescent="0.3">
      <c r="I36" s="135" t="s">
        <v>677</v>
      </c>
      <c r="J36" s="136"/>
      <c r="K36" s="136"/>
    </row>
    <row r="37" spans="8:12" x14ac:dyDescent="0.3">
      <c r="I37" s="108"/>
    </row>
    <row r="38" spans="8:12" x14ac:dyDescent="0.3">
      <c r="H38" s="134" t="s">
        <v>678</v>
      </c>
      <c r="I38" s="131"/>
      <c r="J38" s="131"/>
      <c r="K38" s="131"/>
      <c r="L38" s="131"/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60670-B4A6-41AE-83C1-D9D655242062}">
  <sheetPr>
    <tabColor theme="5" tint="-0.249977111117893"/>
  </sheetPr>
  <dimension ref="A1:S305"/>
  <sheetViews>
    <sheetView topLeftCell="D4" zoomScale="92" zoomScaleNormal="66" workbookViewId="0">
      <selection activeCell="K6" sqref="K6"/>
    </sheetView>
  </sheetViews>
  <sheetFormatPr defaultRowHeight="14.4" x14ac:dyDescent="0.3"/>
  <cols>
    <col min="1" max="1" width="11.6640625" customWidth="1"/>
    <col min="4" max="4" width="12.33203125" customWidth="1"/>
    <col min="5" max="5" width="13.33203125" customWidth="1"/>
    <col min="6" max="6" width="17.88671875" customWidth="1"/>
    <col min="7" max="7" width="19.109375" customWidth="1"/>
    <col min="9" max="9" width="13.21875" customWidth="1"/>
    <col min="10" max="10" width="13.33203125" customWidth="1"/>
    <col min="11" max="11" width="18.6640625" customWidth="1"/>
    <col min="13" max="13" width="15.44140625" bestFit="1" customWidth="1"/>
    <col min="14" max="14" width="28.44140625" bestFit="1" customWidth="1"/>
    <col min="15" max="15" width="15.44140625" bestFit="1" customWidth="1"/>
    <col min="16" max="16" width="13.21875" bestFit="1" customWidth="1"/>
    <col min="17" max="17" width="15.77734375" bestFit="1" customWidth="1"/>
    <col min="18" max="18" width="14.33203125" bestFit="1" customWidth="1"/>
    <col min="19" max="19" width="13.21875" bestFit="1" customWidth="1"/>
    <col min="20" max="20" width="19" customWidth="1"/>
  </cols>
  <sheetData>
    <row r="1" spans="1:19" ht="28.8" x14ac:dyDescent="0.55000000000000004">
      <c r="K1" s="173" t="s">
        <v>709</v>
      </c>
      <c r="L1" s="173"/>
      <c r="M1" s="173"/>
      <c r="N1" s="136"/>
      <c r="O1" s="136"/>
      <c r="P1" s="136"/>
      <c r="Q1" s="136"/>
    </row>
    <row r="4" spans="1:19" ht="19.2" customHeight="1" x14ac:dyDescent="0.3">
      <c r="A4" s="14" t="s">
        <v>2</v>
      </c>
      <c r="B4" s="14" t="s">
        <v>5</v>
      </c>
      <c r="C4" s="14" t="s">
        <v>6</v>
      </c>
      <c r="D4" s="14" t="s">
        <v>7</v>
      </c>
      <c r="E4" s="14" t="s">
        <v>8</v>
      </c>
      <c r="F4" s="14" t="s">
        <v>12</v>
      </c>
      <c r="G4" s="14" t="s">
        <v>551</v>
      </c>
      <c r="H4" s="14" t="s">
        <v>680</v>
      </c>
      <c r="I4" s="14" t="s">
        <v>681</v>
      </c>
      <c r="J4" s="14" t="s">
        <v>682</v>
      </c>
      <c r="K4" s="142" t="s">
        <v>683</v>
      </c>
      <c r="M4" s="145" t="s">
        <v>12</v>
      </c>
      <c r="N4" s="146" t="s">
        <v>571</v>
      </c>
      <c r="O4" s="147" t="s">
        <v>572</v>
      </c>
      <c r="P4" s="147" t="s">
        <v>573</v>
      </c>
      <c r="Q4" s="146" t="s">
        <v>574</v>
      </c>
      <c r="R4" s="147" t="s">
        <v>575</v>
      </c>
      <c r="S4" s="148" t="s">
        <v>576</v>
      </c>
    </row>
    <row r="5" spans="1:19" ht="19.8" customHeight="1" x14ac:dyDescent="0.3">
      <c r="A5" t="s">
        <v>378</v>
      </c>
      <c r="B5">
        <v>3371</v>
      </c>
      <c r="C5">
        <v>106</v>
      </c>
      <c r="D5">
        <v>327</v>
      </c>
      <c r="E5">
        <v>50565</v>
      </c>
      <c r="F5" t="s">
        <v>17</v>
      </c>
      <c r="G5" s="47">
        <f>((B5+C5+D5)/E5)</f>
        <v>7.5229902106199939E-2</v>
      </c>
      <c r="H5" t="str">
        <f>IF(AND(A5&gt;=$N$5,A5&lt;=$O$5),"During","Before")</f>
        <v>Before</v>
      </c>
      <c r="I5" s="15">
        <f ca="1">AVERAGEIF(Table5[Period],"Before",Table5[[#This Row],[Engagement_Rate]])</f>
        <v>0.14482489478673272</v>
      </c>
      <c r="J5" s="15">
        <f ca="1">AVERAGEIF(Table5[Period],"During",Table5[[#This Row],[Engagement_Rate]])</f>
        <v>0.11864167799537036</v>
      </c>
      <c r="K5" s="47">
        <f ca="1">((Table5[[#This Row],[Avg_During]]-Table5[[#This Row],[Avg_Before]])/I5)</f>
        <v>-0.18079223761853533</v>
      </c>
      <c r="M5" s="143" t="s">
        <v>17</v>
      </c>
      <c r="N5" s="7" t="s">
        <v>577</v>
      </c>
      <c r="O5" s="6" t="s">
        <v>303</v>
      </c>
      <c r="P5" s="6" t="s">
        <v>578</v>
      </c>
      <c r="Q5" s="7">
        <v>150000</v>
      </c>
      <c r="R5" s="6" t="s">
        <v>579</v>
      </c>
      <c r="S5" s="144" t="s">
        <v>37</v>
      </c>
    </row>
    <row r="6" spans="1:19" ht="19.2" customHeight="1" x14ac:dyDescent="0.3">
      <c r="A6" t="s">
        <v>125</v>
      </c>
      <c r="B6">
        <v>1686</v>
      </c>
      <c r="C6">
        <v>904</v>
      </c>
      <c r="D6">
        <v>472</v>
      </c>
      <c r="E6">
        <v>18546</v>
      </c>
      <c r="F6" t="s">
        <v>21</v>
      </c>
      <c r="G6" s="47">
        <f t="shared" ref="G6:G68" si="0">((B6+C6+D6)/E6)</f>
        <v>0.16510298716704411</v>
      </c>
      <c r="H6" t="str">
        <f>IF(AND(A6&gt;=$N$6,A6&lt;=$O$6),"During","Before")</f>
        <v>Before</v>
      </c>
      <c r="I6" s="15">
        <f ca="1">AVERAGEIF(Table5[Period],"Before",Table5[[#This Row],[Engagement_Rate]])</f>
        <v>0.14504239428247725</v>
      </c>
      <c r="J6" s="15">
        <f ca="1">AVERAGEIF(Table5[Period],"During",Table5[[#This Row],[Engagement_Rate]])</f>
        <v>0.17886135261126598</v>
      </c>
      <c r="K6" s="47">
        <f ca="1">((Table5[[#This Row],[Avg_During]]-Table5[[#This Row],[Avg_Before]])/I6)</f>
        <v>0.23316602360358607</v>
      </c>
      <c r="M6" s="143" t="s">
        <v>21</v>
      </c>
      <c r="N6" s="7" t="s">
        <v>580</v>
      </c>
      <c r="O6" s="6" t="s">
        <v>40</v>
      </c>
      <c r="P6" s="6" t="s">
        <v>581</v>
      </c>
      <c r="Q6" s="7">
        <v>200000</v>
      </c>
      <c r="R6" s="6" t="s">
        <v>582</v>
      </c>
      <c r="S6" s="144" t="s">
        <v>583</v>
      </c>
    </row>
    <row r="7" spans="1:19" ht="17.399999999999999" customHeight="1" x14ac:dyDescent="0.3">
      <c r="A7" t="s">
        <v>248</v>
      </c>
      <c r="B7">
        <v>4551</v>
      </c>
      <c r="C7">
        <v>714</v>
      </c>
      <c r="D7">
        <v>207</v>
      </c>
      <c r="E7">
        <v>68265</v>
      </c>
      <c r="F7" t="s">
        <v>27</v>
      </c>
      <c r="G7" s="47">
        <f t="shared" si="0"/>
        <v>8.0158206987475278E-2</v>
      </c>
      <c r="H7" t="str">
        <f>IF(AND(A7&gt;=$N$7,A7&lt;=$O$7),"During","Before")</f>
        <v>Before</v>
      </c>
      <c r="I7" s="15">
        <f ca="1">AVERAGEIF(Table5[Period],"Before",Table5[[#This Row],[Engagement_Rate]])</f>
        <v>0.15256367270288304</v>
      </c>
      <c r="J7" s="15">
        <f ca="1">AVERAGEIF(Table5[Period],"During",Table5[[#This Row],[Engagement_Rate]])</f>
        <v>0.16960555423327781</v>
      </c>
      <c r="K7" s="47">
        <f ca="1">((Table5[[#This Row],[Avg_During]]-Table5[[#This Row],[Avg_Before]])/I7)</f>
        <v>0.11170340375577967</v>
      </c>
      <c r="M7" s="143" t="s">
        <v>27</v>
      </c>
      <c r="N7" s="7" t="s">
        <v>584</v>
      </c>
      <c r="O7" s="6" t="s">
        <v>218</v>
      </c>
      <c r="P7" s="6" t="s">
        <v>585</v>
      </c>
      <c r="Q7" s="7">
        <v>250000</v>
      </c>
      <c r="R7" s="6" t="s">
        <v>586</v>
      </c>
      <c r="S7" s="144" t="s">
        <v>587</v>
      </c>
    </row>
    <row r="8" spans="1:19" ht="18" customHeight="1" x14ac:dyDescent="0.3">
      <c r="A8" t="s">
        <v>260</v>
      </c>
      <c r="B8">
        <v>3775</v>
      </c>
      <c r="C8">
        <v>16</v>
      </c>
      <c r="D8">
        <v>239</v>
      </c>
      <c r="E8">
        <v>33975</v>
      </c>
      <c r="F8" t="s">
        <v>21</v>
      </c>
      <c r="G8" s="47">
        <f t="shared" si="0"/>
        <v>0.11861662987490802</v>
      </c>
      <c r="H8" t="str">
        <f>IF(AND(A8&gt;=$N$6,A8&lt;=$O$6),"During","Before")</f>
        <v>During</v>
      </c>
      <c r="I8" s="15">
        <f ca="1">AVERAGEIF(Table5[Period],"Before",Table5[[#This Row],[Engagement_Rate]])</f>
        <v>0.13795597140853444</v>
      </c>
      <c r="J8" s="15">
        <f ca="1">AVERAGEIF(Table5[Period],"During",Table5[[#This Row],[Engagement_Rate]])</f>
        <v>0.17032294774867299</v>
      </c>
      <c r="K8" s="47">
        <f ca="1">((Table5[[#This Row],[Avg_During]]-Table5[[#This Row],[Avg_Before]])/I8)</f>
        <v>0.23461816121238382</v>
      </c>
      <c r="M8" s="149" t="s">
        <v>34</v>
      </c>
      <c r="N8" s="150" t="s">
        <v>588</v>
      </c>
      <c r="O8" s="151" t="s">
        <v>568</v>
      </c>
      <c r="P8" s="151" t="s">
        <v>589</v>
      </c>
      <c r="Q8" s="150">
        <v>180000</v>
      </c>
      <c r="R8" s="151" t="s">
        <v>590</v>
      </c>
      <c r="S8" s="152" t="s">
        <v>591</v>
      </c>
    </row>
    <row r="9" spans="1:19" x14ac:dyDescent="0.3">
      <c r="A9" t="s">
        <v>220</v>
      </c>
      <c r="B9">
        <v>3008</v>
      </c>
      <c r="C9">
        <v>94</v>
      </c>
      <c r="D9">
        <v>37</v>
      </c>
      <c r="E9">
        <v>15040</v>
      </c>
      <c r="F9" t="s">
        <v>603</v>
      </c>
      <c r="G9" s="47">
        <f t="shared" si="0"/>
        <v>0.20871010638297871</v>
      </c>
      <c r="H9" t="s">
        <v>603</v>
      </c>
      <c r="I9" s="15">
        <f ca="1">AVERAGEIF(Table5[Period],"Before",Table5[[#This Row],[Engagement_Rate]])</f>
        <v>0.13941209015200734</v>
      </c>
      <c r="J9" s="15">
        <f ca="1">AVERAGEIF(Table5[Period],"During",Table5[[#This Row],[Engagement_Rate]])</f>
        <v>0.17219692015109977</v>
      </c>
      <c r="K9" s="47">
        <f ca="1">((Table5[[#This Row],[Avg_During]]-Table5[[#This Row],[Avg_Before]])/I9)</f>
        <v>0.23516489827636644</v>
      </c>
    </row>
    <row r="10" spans="1:19" x14ac:dyDescent="0.3">
      <c r="A10" t="s">
        <v>506</v>
      </c>
      <c r="B10">
        <v>3655</v>
      </c>
      <c r="C10">
        <v>568</v>
      </c>
      <c r="D10">
        <v>286</v>
      </c>
      <c r="E10">
        <v>32895</v>
      </c>
      <c r="F10" t="s">
        <v>27</v>
      </c>
      <c r="G10" s="47">
        <f t="shared" si="0"/>
        <v>0.13707250341997265</v>
      </c>
      <c r="H10" t="str">
        <f>IF(AND(A10&gt;=$N$7,A10&lt;=$O$7),"During","Before")</f>
        <v>Before</v>
      </c>
      <c r="I10" s="15">
        <f ca="1">AVERAGEIF(Table5[Period],"Before",Table5[[#This Row],[Engagement_Rate]])</f>
        <v>0.14966898308870688</v>
      </c>
      <c r="J10" s="15">
        <f ca="1">AVERAGEIF(Table5[Period],"During",Table5[[#This Row],[Engagement_Rate]])</f>
        <v>0.12317183140433527</v>
      </c>
      <c r="K10" s="47">
        <f ca="1">((Table5[[#This Row],[Avg_During]]-Table5[[#This Row],[Avg_Before]])/I10)</f>
        <v>-0.17703836250873095</v>
      </c>
    </row>
    <row r="11" spans="1:19" x14ac:dyDescent="0.3">
      <c r="A11" t="s">
        <v>492</v>
      </c>
      <c r="B11">
        <v>2704</v>
      </c>
      <c r="C11">
        <v>752</v>
      </c>
      <c r="D11">
        <v>153</v>
      </c>
      <c r="E11">
        <v>21632</v>
      </c>
      <c r="F11" t="s">
        <v>603</v>
      </c>
      <c r="G11" s="47">
        <f t="shared" si="0"/>
        <v>0.16683616863905326</v>
      </c>
      <c r="H11" t="s">
        <v>603</v>
      </c>
      <c r="I11" s="15">
        <f ca="1">AVERAGEIF(Table5[Period],"Before",Table5[[#This Row],[Engagement_Rate]])</f>
        <v>0.13988446812473146</v>
      </c>
      <c r="J11" s="15">
        <f ca="1">AVERAGEIF(Table5[Period],"During",Table5[[#This Row],[Engagement_Rate]])</f>
        <v>0.16650560594743666</v>
      </c>
      <c r="K11" s="47">
        <f ca="1">((Table5[[#This Row],[Avg_During]]-Table5[[#This Row],[Avg_Before]])/I11)</f>
        <v>0.19030803190364065</v>
      </c>
    </row>
    <row r="12" spans="1:19" x14ac:dyDescent="0.3">
      <c r="A12" t="s">
        <v>303</v>
      </c>
      <c r="B12">
        <v>80</v>
      </c>
      <c r="C12">
        <v>362</v>
      </c>
      <c r="D12">
        <v>80</v>
      </c>
      <c r="E12">
        <v>1040</v>
      </c>
      <c r="F12" t="s">
        <v>27</v>
      </c>
      <c r="G12" s="47">
        <f t="shared" si="0"/>
        <v>0.50192307692307692</v>
      </c>
      <c r="H12" t="str">
        <f>IF(AND(A12&gt;=$N$7,A12&lt;=$O$7),"During","Before")</f>
        <v>Before</v>
      </c>
      <c r="I12" s="15">
        <f ca="1">AVERAGEIF(Table5[Period],"Before",Table5[[#This Row],[Engagement_Rate]])</f>
        <v>0.14736625095843911</v>
      </c>
      <c r="J12" s="15">
        <f ca="1">AVERAGEIF(Table5[Period],"During",Table5[[#This Row],[Engagement_Rate]])</f>
        <v>0.12777634153456341</v>
      </c>
      <c r="K12" s="47">
        <f ca="1">((Table5[[#This Row],[Avg_During]]-Table5[[#This Row],[Avg_Before]])/I12)</f>
        <v>-0.13293348576398631</v>
      </c>
    </row>
    <row r="13" spans="1:19" x14ac:dyDescent="0.3">
      <c r="A13" t="s">
        <v>317</v>
      </c>
      <c r="B13">
        <v>3128</v>
      </c>
      <c r="C13">
        <v>211</v>
      </c>
      <c r="D13">
        <v>197</v>
      </c>
      <c r="E13">
        <v>59432</v>
      </c>
      <c r="F13" t="s">
        <v>603</v>
      </c>
      <c r="G13" s="47">
        <f t="shared" si="0"/>
        <v>5.9496567505720827E-2</v>
      </c>
      <c r="H13" t="s">
        <v>603</v>
      </c>
      <c r="I13" s="15">
        <f ca="1">AVERAGEIF(Table5[Period],"Before",Table5[[#This Row],[Engagement_Rate]])</f>
        <v>0.14586689717818696</v>
      </c>
      <c r="J13" s="15">
        <f ca="1">AVERAGEIF(Table5[Period],"During",Table5[[#This Row],[Engagement_Rate]])</f>
        <v>0.14947630915548216</v>
      </c>
      <c r="K13" s="47">
        <f ca="1">((Table5[[#This Row],[Avg_During]]-Table5[[#This Row],[Avg_Before]])/I13)</f>
        <v>2.4744558547002193E-2</v>
      </c>
    </row>
    <row r="14" spans="1:19" x14ac:dyDescent="0.3">
      <c r="A14" t="s">
        <v>173</v>
      </c>
      <c r="B14">
        <v>1970</v>
      </c>
      <c r="C14">
        <v>675</v>
      </c>
      <c r="D14">
        <v>478</v>
      </c>
      <c r="E14">
        <v>9850</v>
      </c>
      <c r="F14" t="s">
        <v>603</v>
      </c>
      <c r="G14" s="47">
        <f t="shared" si="0"/>
        <v>0.31705583756345179</v>
      </c>
      <c r="H14" t="s">
        <v>603</v>
      </c>
      <c r="I14" s="15">
        <f ca="1">AVERAGEIF(Table5[Period],"Before",Table5[[#This Row],[Engagement_Rate]])</f>
        <v>0.13586786699724432</v>
      </c>
      <c r="J14" s="15">
        <f ca="1">AVERAGEIF(Table5[Period],"During",Table5[[#This Row],[Engagement_Rate]])</f>
        <v>0.29818054264738869</v>
      </c>
      <c r="K14" s="47">
        <f ca="1">((Table5[[#This Row],[Avg_During]]-Table5[[#This Row],[Avg_Before]])/I14)</f>
        <v>1.1946362244241047</v>
      </c>
      <c r="M14" s="45" t="s">
        <v>666</v>
      </c>
      <c r="N14" t="s">
        <v>737</v>
      </c>
    </row>
    <row r="15" spans="1:19" x14ac:dyDescent="0.3">
      <c r="A15" t="s">
        <v>402</v>
      </c>
      <c r="B15">
        <v>3601</v>
      </c>
      <c r="C15">
        <v>695</v>
      </c>
      <c r="D15">
        <v>75</v>
      </c>
      <c r="E15">
        <v>21606</v>
      </c>
      <c r="F15" t="s">
        <v>21</v>
      </c>
      <c r="G15" s="47">
        <f t="shared" si="0"/>
        <v>0.2023049153013052</v>
      </c>
      <c r="H15" t="str">
        <f>IF(AND(A15&gt;=$N$6,A15&lt;=$O$6),"During","Before")</f>
        <v>Before</v>
      </c>
      <c r="I15" s="15">
        <f ca="1">AVERAGEIF(Table5[Period],"Before",Table5[[#This Row],[Engagement_Rate]])</f>
        <v>0.15275291169078251</v>
      </c>
      <c r="J15" s="15">
        <f ca="1">AVERAGEIF(Table5[Period],"During",Table5[[#This Row],[Engagement_Rate]])</f>
        <v>0.12405900953579238</v>
      </c>
      <c r="K15" s="47">
        <f ca="1">((Table5[[#This Row],[Avg_During]]-Table5[[#This Row],[Avg_Before]])/I15)</f>
        <v>-0.18784520594327622</v>
      </c>
      <c r="M15" s="46" t="s">
        <v>34</v>
      </c>
      <c r="N15" s="153">
        <v>-2.8684243124505416E-3</v>
      </c>
    </row>
    <row r="16" spans="1:19" x14ac:dyDescent="0.3">
      <c r="A16" t="s">
        <v>336</v>
      </c>
      <c r="B16">
        <v>1461</v>
      </c>
      <c r="C16">
        <v>184</v>
      </c>
      <c r="D16">
        <v>344</v>
      </c>
      <c r="E16">
        <v>21915</v>
      </c>
      <c r="F16" t="s">
        <v>17</v>
      </c>
      <c r="G16" s="47">
        <f t="shared" si="0"/>
        <v>9.0759753593429152E-2</v>
      </c>
      <c r="H16" t="str">
        <f>IF(AND(A16&gt;=$N$5,A16&lt;=$O$5),"During","Before")</f>
        <v>Before</v>
      </c>
      <c r="I16" s="15">
        <f ca="1">AVERAGEIF(Table5[Period],"Before",Table5[[#This Row],[Engagement_Rate]])</f>
        <v>0.14571023439468936</v>
      </c>
      <c r="J16" s="15">
        <f ca="1">AVERAGEIF(Table5[Period],"During",Table5[[#This Row],[Engagement_Rate]])</f>
        <v>0.13069247131672229</v>
      </c>
      <c r="K16" s="47">
        <f ca="1">((Table5[[#This Row],[Avg_During]]-Table5[[#This Row],[Avg_Before]])/I16)</f>
        <v>-0.10306594550721836</v>
      </c>
      <c r="M16" s="46" t="s">
        <v>21</v>
      </c>
      <c r="N16" s="153">
        <v>5.8624684006477044E-2</v>
      </c>
    </row>
    <row r="17" spans="1:14" x14ac:dyDescent="0.3">
      <c r="A17" t="s">
        <v>404</v>
      </c>
      <c r="B17">
        <v>84</v>
      </c>
      <c r="C17">
        <v>897</v>
      </c>
      <c r="D17">
        <v>85</v>
      </c>
      <c r="E17">
        <v>588</v>
      </c>
      <c r="F17" t="s">
        <v>603</v>
      </c>
      <c r="G17" s="47">
        <f t="shared" si="0"/>
        <v>1.8129251700680271</v>
      </c>
      <c r="H17" t="s">
        <v>603</v>
      </c>
      <c r="I17" s="15">
        <f ca="1">AVERAGEIF(Table5[Period],"Before",Table5[[#This Row],[Engagement_Rate]])</f>
        <v>0.14993967076556</v>
      </c>
      <c r="J17" s="15">
        <f ca="1">AVERAGEIF(Table5[Period],"During",Table5[[#This Row],[Engagement_Rate]])</f>
        <v>0.11735833110288131</v>
      </c>
      <c r="K17" s="47">
        <f ca="1">((Table5[[#This Row],[Avg_During]]-Table5[[#This Row],[Avg_Before]])/I17)</f>
        <v>-0.21729632655804373</v>
      </c>
      <c r="M17" s="46" t="s">
        <v>27</v>
      </c>
      <c r="N17" s="153">
        <v>-5.2480014801983957E-2</v>
      </c>
    </row>
    <row r="18" spans="1:14" x14ac:dyDescent="0.3">
      <c r="A18" t="s">
        <v>201</v>
      </c>
      <c r="B18">
        <v>3961</v>
      </c>
      <c r="C18">
        <v>761</v>
      </c>
      <c r="D18">
        <v>131</v>
      </c>
      <c r="E18">
        <v>67337</v>
      </c>
      <c r="F18" t="s">
        <v>27</v>
      </c>
      <c r="G18" s="47">
        <f t="shared" si="0"/>
        <v>7.2070332803659209E-2</v>
      </c>
      <c r="H18" t="str">
        <f>IF(AND(A18&gt;=$N$7,A18&lt;=$O$7),"During","Before")</f>
        <v>Before</v>
      </c>
      <c r="I18" s="15">
        <f ca="1">AVERAGEIF(Table5[Period],"Before",Table5[[#This Row],[Engagement_Rate]])</f>
        <v>0.14149489439597032</v>
      </c>
      <c r="J18" s="15">
        <f ca="1">AVERAGEIF(Table5[Period],"During",Table5[[#This Row],[Engagement_Rate]])</f>
        <v>0.16515724956545885</v>
      </c>
      <c r="K18" s="47">
        <f ca="1">((Table5[[#This Row],[Avg_During]]-Table5[[#This Row],[Avg_Before]])/I18)</f>
        <v>0.16723115890860313</v>
      </c>
      <c r="M18" s="46" t="s">
        <v>17</v>
      </c>
      <c r="N18" s="153">
        <v>3.050336679312805E-2</v>
      </c>
    </row>
    <row r="19" spans="1:14" x14ac:dyDescent="0.3">
      <c r="A19" t="s">
        <v>15</v>
      </c>
      <c r="B19">
        <v>1762</v>
      </c>
      <c r="C19">
        <v>405</v>
      </c>
      <c r="D19">
        <v>423</v>
      </c>
      <c r="E19">
        <v>22906</v>
      </c>
      <c r="F19" t="s">
        <v>17</v>
      </c>
      <c r="G19" s="47">
        <f t="shared" si="0"/>
        <v>0.11307081114118571</v>
      </c>
      <c r="H19" t="str">
        <f>IF(AND(A19&gt;=$N$5,A19&lt;=$O$5),"During","Before")</f>
        <v>Before</v>
      </c>
      <c r="I19" s="15">
        <f ca="1">AVERAGEIF(Table5[Period],"Before",Table5[[#This Row],[Engagement_Rate]])</f>
        <v>0.14510319515346404</v>
      </c>
      <c r="J19" s="15">
        <f ca="1">AVERAGEIF(Table5[Period],"During",Table5[[#This Row],[Engagement_Rate]])</f>
        <v>0.12685871855228623</v>
      </c>
      <c r="K19" s="47">
        <f ca="1">((Table5[[#This Row],[Avg_During]]-Table5[[#This Row],[Avg_Before]])/I19)</f>
        <v>-0.12573449248917012</v>
      </c>
      <c r="M19" s="46" t="s">
        <v>667</v>
      </c>
      <c r="N19">
        <v>4.6908777070856569E-3</v>
      </c>
    </row>
    <row r="20" spans="1:14" x14ac:dyDescent="0.3">
      <c r="A20" t="s">
        <v>106</v>
      </c>
      <c r="B20">
        <v>904</v>
      </c>
      <c r="C20">
        <v>973</v>
      </c>
      <c r="D20">
        <v>63</v>
      </c>
      <c r="E20">
        <v>11752</v>
      </c>
      <c r="F20" t="s">
        <v>27</v>
      </c>
      <c r="G20" s="47">
        <f t="shared" si="0"/>
        <v>0.1650782845473111</v>
      </c>
      <c r="H20" t="str">
        <f>IF(AND(A20&gt;=$N$7,A20&lt;=$O$7),"During","Before")</f>
        <v>Before</v>
      </c>
      <c r="I20" s="15">
        <f ca="1">AVERAGEIF(Table5[Period],"Before",Table5[[#This Row],[Engagement_Rate]])</f>
        <v>0.14257264911505727</v>
      </c>
      <c r="J20" s="15">
        <f ca="1">AVERAGEIF(Table5[Period],"During",Table5[[#This Row],[Engagement_Rate]])</f>
        <v>0.11658627942753458</v>
      </c>
      <c r="K20" s="47">
        <f ca="1">((Table5[[#This Row],[Avg_During]]-Table5[[#This Row],[Avg_Before]])/I20)</f>
        <v>-0.18226756568541755</v>
      </c>
    </row>
    <row r="21" spans="1:14" x14ac:dyDescent="0.3">
      <c r="A21" t="s">
        <v>390</v>
      </c>
      <c r="B21">
        <v>3095</v>
      </c>
      <c r="C21">
        <v>39</v>
      </c>
      <c r="D21">
        <v>78</v>
      </c>
      <c r="E21">
        <v>55710</v>
      </c>
      <c r="F21" t="s">
        <v>603</v>
      </c>
      <c r="G21" s="47">
        <f t="shared" si="0"/>
        <v>5.7655717106444085E-2</v>
      </c>
      <c r="H21" t="s">
        <v>603</v>
      </c>
      <c r="I21" s="15">
        <f ca="1">AVERAGEIF(Table5[Period],"Before",Table5[[#This Row],[Engagement_Rate]])</f>
        <v>0.14021616885005311</v>
      </c>
      <c r="J21" s="15">
        <f ca="1">AVERAGEIF(Table5[Period],"During",Table5[[#This Row],[Engagement_Rate]])</f>
        <v>0.15816434580350344</v>
      </c>
      <c r="K21" s="47">
        <f ca="1">((Table5[[#This Row],[Avg_During]]-Table5[[#This Row],[Avg_Before]])/I21)</f>
        <v>0.12800361827489434</v>
      </c>
    </row>
    <row r="22" spans="1:14" x14ac:dyDescent="0.3">
      <c r="A22" t="s">
        <v>513</v>
      </c>
      <c r="B22">
        <v>1674</v>
      </c>
      <c r="C22">
        <v>929</v>
      </c>
      <c r="D22">
        <v>37</v>
      </c>
      <c r="E22">
        <v>21762</v>
      </c>
      <c r="F22" t="s">
        <v>34</v>
      </c>
      <c r="G22" s="47">
        <f t="shared" si="0"/>
        <v>0.12131237937689551</v>
      </c>
      <c r="H22" t="str">
        <f>IF(AND(A22&gt;=$N$8,A22&lt;=$O$8),"During","Before")</f>
        <v>Before</v>
      </c>
      <c r="I22" s="15">
        <f ca="1">AVERAGEIF(Table5[Period],"Before",Table5[[#This Row],[Engagement_Rate]])</f>
        <v>0.13993958279146226</v>
      </c>
      <c r="J22" s="15">
        <f ca="1">AVERAGEIF(Table5[Period],"During",Table5[[#This Row],[Engagement_Rate]])</f>
        <v>0.1231760447752452</v>
      </c>
      <c r="K22" s="47">
        <f ca="1">((Table5[[#This Row],[Avg_During]]-Table5[[#This Row],[Avg_Before]])/I22)</f>
        <v>-0.11979125335251328</v>
      </c>
    </row>
    <row r="23" spans="1:14" x14ac:dyDescent="0.3">
      <c r="A23" t="s">
        <v>184</v>
      </c>
      <c r="B23">
        <v>4661</v>
      </c>
      <c r="C23">
        <v>935</v>
      </c>
      <c r="D23">
        <v>433</v>
      </c>
      <c r="E23">
        <v>23305</v>
      </c>
      <c r="F23" t="s">
        <v>27</v>
      </c>
      <c r="G23" s="47">
        <f t="shared" si="0"/>
        <v>0.25869984981763572</v>
      </c>
      <c r="H23" t="str">
        <f>IF(AND(A23&gt;=$N$7,A23&lt;=$O$7),"During","Before")</f>
        <v>Before</v>
      </c>
      <c r="I23" s="15">
        <f ca="1">AVERAGEIF(Table5[Period],"Before",Table5[[#This Row],[Engagement_Rate]])</f>
        <v>0.14148951262607071</v>
      </c>
      <c r="J23" s="15">
        <f ca="1">AVERAGEIF(Table5[Period],"During",Table5[[#This Row],[Engagement_Rate]])</f>
        <v>0.12597564002222314</v>
      </c>
      <c r="K23" s="47">
        <f ca="1">((Table5[[#This Row],[Avg_During]]-Table5[[#This Row],[Avg_Before]])/I23)</f>
        <v>-0.10964680219690712</v>
      </c>
    </row>
    <row r="24" spans="1:14" x14ac:dyDescent="0.3">
      <c r="A24" t="s">
        <v>109</v>
      </c>
      <c r="B24">
        <v>4731</v>
      </c>
      <c r="C24">
        <v>173</v>
      </c>
      <c r="D24">
        <v>276</v>
      </c>
      <c r="E24">
        <v>28386</v>
      </c>
      <c r="F24" t="s">
        <v>27</v>
      </c>
      <c r="G24" s="47">
        <f t="shared" si="0"/>
        <v>0.18248432325794406</v>
      </c>
      <c r="H24" t="str">
        <f>IF(AND(A24&gt;=$N$7,A24&lt;=$O$7),"During","Before")</f>
        <v>Before</v>
      </c>
      <c r="I24" s="15">
        <f ca="1">AVERAGEIF(Table5[Period],"Before",Table5[[#This Row],[Engagement_Rate]])</f>
        <v>0.14210365843338721</v>
      </c>
      <c r="J24" s="15">
        <f ca="1">AVERAGEIF(Table5[Period],"During",Table5[[#This Row],[Engagement_Rate]])</f>
        <v>0.14027523016213284</v>
      </c>
      <c r="K24" s="47">
        <f ca="1">((Table5[[#This Row],[Avg_During]]-Table5[[#This Row],[Avg_Before]])/I24)</f>
        <v>-1.2866862763504929E-2</v>
      </c>
    </row>
    <row r="25" spans="1:14" x14ac:dyDescent="0.3">
      <c r="A25" t="s">
        <v>536</v>
      </c>
      <c r="B25">
        <v>4934</v>
      </c>
      <c r="C25">
        <v>971</v>
      </c>
      <c r="D25">
        <v>156</v>
      </c>
      <c r="E25">
        <v>39472</v>
      </c>
      <c r="F25" t="s">
        <v>34</v>
      </c>
      <c r="G25" s="47">
        <f t="shared" si="0"/>
        <v>0.15355188488042157</v>
      </c>
      <c r="H25" t="str">
        <f>IF(AND(A25&gt;=$N$8,A25&lt;=$O$8),"During","Before")</f>
        <v>Before</v>
      </c>
      <c r="I25" s="15">
        <f ca="1">AVERAGEIF(Table5[Period],"Before",Table5[[#This Row],[Engagement_Rate]])</f>
        <v>0.13609895913325223</v>
      </c>
      <c r="J25" s="15">
        <f ca="1">AVERAGEIF(Table5[Period],"During",Table5[[#This Row],[Engagement_Rate]])</f>
        <v>0.127374851667064</v>
      </c>
      <c r="K25" s="47">
        <f ca="1">((Table5[[#This Row],[Avg_During]]-Table5[[#This Row],[Avg_Before]])/I25)</f>
        <v>-6.4101206370333855E-2</v>
      </c>
    </row>
    <row r="26" spans="1:14" x14ac:dyDescent="0.3">
      <c r="A26" t="s">
        <v>115</v>
      </c>
      <c r="B26">
        <v>2358</v>
      </c>
      <c r="C26">
        <v>784</v>
      </c>
      <c r="D26">
        <v>344</v>
      </c>
      <c r="E26">
        <v>35370</v>
      </c>
      <c r="F26" t="s">
        <v>603</v>
      </c>
      <c r="G26" s="47">
        <f t="shared" si="0"/>
        <v>9.8558100084817649E-2</v>
      </c>
      <c r="H26" t="s">
        <v>603</v>
      </c>
      <c r="I26" s="15">
        <f ca="1">AVERAGEIF(Table5[Period],"Before",Table5[[#This Row],[Engagement_Rate]])</f>
        <v>0.14435580420557206</v>
      </c>
      <c r="J26" s="15">
        <f ca="1">AVERAGEIF(Table5[Period],"During",Table5[[#This Row],[Engagement_Rate]])</f>
        <v>0.14094164844074297</v>
      </c>
      <c r="K26" s="47">
        <f ca="1">((Table5[[#This Row],[Avg_During]]-Table5[[#This Row],[Avg_Before]])/I26)</f>
        <v>-2.3650976721151518E-2</v>
      </c>
    </row>
    <row r="27" spans="1:14" x14ac:dyDescent="0.3">
      <c r="A27" t="s">
        <v>109</v>
      </c>
      <c r="B27">
        <v>4285</v>
      </c>
      <c r="C27">
        <v>886</v>
      </c>
      <c r="D27">
        <v>376</v>
      </c>
      <c r="E27">
        <v>55705</v>
      </c>
      <c r="F27" t="s">
        <v>27</v>
      </c>
      <c r="G27" s="47">
        <f t="shared" si="0"/>
        <v>9.9578134817341346E-2</v>
      </c>
      <c r="H27" t="str">
        <f>IF(AND(A27&gt;=$N$7,A27&lt;=$O$7),"During","Before")</f>
        <v>Before</v>
      </c>
      <c r="I27" s="15">
        <f ca="1">AVERAGEIF(Table5[Period],"Before",Table5[[#This Row],[Engagement_Rate]])</f>
        <v>0.14004854211141993</v>
      </c>
      <c r="J27" s="15">
        <f ca="1">AVERAGEIF(Table5[Period],"During",Table5[[#This Row],[Engagement_Rate]])</f>
        <v>0.1338829900112444</v>
      </c>
      <c r="K27" s="47">
        <f ca="1">((Table5[[#This Row],[Avg_During]]-Table5[[#This Row],[Avg_Before]])/I27)</f>
        <v>-4.4024393308359687E-2</v>
      </c>
    </row>
    <row r="28" spans="1:14" x14ac:dyDescent="0.3">
      <c r="A28" t="s">
        <v>242</v>
      </c>
      <c r="B28">
        <v>4516</v>
      </c>
      <c r="C28">
        <v>836</v>
      </c>
      <c r="D28">
        <v>169</v>
      </c>
      <c r="E28">
        <v>49676</v>
      </c>
      <c r="F28" t="s">
        <v>34</v>
      </c>
      <c r="G28" s="47">
        <f t="shared" si="0"/>
        <v>0.11114018842096787</v>
      </c>
      <c r="H28" t="str">
        <f>IF(AND(A28&gt;=$N$8,A28&lt;=$O$8),"During","Before")</f>
        <v>Before</v>
      </c>
      <c r="I28" s="15">
        <f ca="1">AVERAGEIF(Table5[Period],"Before",Table5[[#This Row],[Engagement_Rate]])</f>
        <v>0.14055147466128018</v>
      </c>
      <c r="J28" s="15">
        <f ca="1">AVERAGEIF(Table5[Period],"During",Table5[[#This Row],[Engagement_Rate]])</f>
        <v>0.16507616777631764</v>
      </c>
      <c r="K28" s="47">
        <f ca="1">((Table5[[#This Row],[Avg_During]]-Table5[[#This Row],[Avg_Before]])/I28)</f>
        <v>0.17448904875697935</v>
      </c>
    </row>
    <row r="29" spans="1:14" x14ac:dyDescent="0.3">
      <c r="A29" t="s">
        <v>385</v>
      </c>
      <c r="B29">
        <v>4767</v>
      </c>
      <c r="C29">
        <v>190</v>
      </c>
      <c r="D29">
        <v>340</v>
      </c>
      <c r="E29">
        <v>28602</v>
      </c>
      <c r="F29" t="s">
        <v>27</v>
      </c>
      <c r="G29" s="47">
        <f t="shared" si="0"/>
        <v>0.18519683938186141</v>
      </c>
      <c r="H29" t="str">
        <f>IF(AND(A29&gt;=$N$7,A29&lt;=$O$7),"During","Before")</f>
        <v>Before</v>
      </c>
      <c r="I29" s="15">
        <f ca="1">AVERAGEIF(Table5[Period],"Before",Table5[[#This Row],[Engagement_Rate]])</f>
        <v>0.142835922378516</v>
      </c>
      <c r="J29" s="15">
        <f ca="1">AVERAGEIF(Table5[Period],"During",Table5[[#This Row],[Engagement_Rate]])</f>
        <v>0.18004672920404197</v>
      </c>
      <c r="K29" s="47">
        <f ca="1">((Table5[[#This Row],[Avg_During]]-Table5[[#This Row],[Avg_Before]])/I29)</f>
        <v>0.26051434545237939</v>
      </c>
    </row>
    <row r="30" spans="1:14" x14ac:dyDescent="0.3">
      <c r="A30" t="s">
        <v>295</v>
      </c>
      <c r="B30">
        <v>4840</v>
      </c>
      <c r="C30">
        <v>658</v>
      </c>
      <c r="D30">
        <v>211</v>
      </c>
      <c r="E30">
        <v>43560</v>
      </c>
      <c r="F30" t="s">
        <v>27</v>
      </c>
      <c r="G30" s="47">
        <f t="shared" si="0"/>
        <v>0.13106060606060607</v>
      </c>
      <c r="H30" t="str">
        <f>IF(AND(A30&gt;=$N$7,A30&lt;=$O$7),"During","Before")</f>
        <v>Before</v>
      </c>
      <c r="I30" s="15">
        <f ca="1">AVERAGEIF(Table5[Period],"Before",Table5[[#This Row],[Engagement_Rate]])</f>
        <v>0.14659524082194045</v>
      </c>
      <c r="J30" s="15">
        <f ca="1">AVERAGEIF(Table5[Period],"During",Table5[[#This Row],[Engagement_Rate]])</f>
        <v>0.13311888061261737</v>
      </c>
      <c r="K30" s="47">
        <f ca="1">((Table5[[#This Row],[Avg_During]]-Table5[[#This Row],[Avg_Before]])/I30)</f>
        <v>-9.1929043083273917E-2</v>
      </c>
    </row>
    <row r="31" spans="1:14" x14ac:dyDescent="0.3">
      <c r="A31" t="s">
        <v>115</v>
      </c>
      <c r="B31">
        <v>249</v>
      </c>
      <c r="C31">
        <v>592</v>
      </c>
      <c r="D31">
        <v>230</v>
      </c>
      <c r="E31">
        <v>1494</v>
      </c>
      <c r="F31" t="s">
        <v>34</v>
      </c>
      <c r="G31" s="47">
        <f t="shared" si="0"/>
        <v>0.7168674698795181</v>
      </c>
      <c r="H31" t="str">
        <f>IF(AND(A31&gt;=$N$8,A31&lt;=$O$8),"During","Before")</f>
        <v>Before</v>
      </c>
      <c r="I31" s="15">
        <f ca="1">AVERAGEIF(Table5[Period],"Before",Table5[[#This Row],[Engagement_Rate]])</f>
        <v>0.1412090196504773</v>
      </c>
      <c r="J31" s="15">
        <f ca="1">AVERAGEIF(Table5[Period],"During",Table5[[#This Row],[Engagement_Rate]])</f>
        <v>0.15772452173718804</v>
      </c>
      <c r="K31" s="47">
        <f ca="1">((Table5[[#This Row],[Avg_During]]-Table5[[#This Row],[Avg_Before]])/I31)</f>
        <v>0.11695784113217525</v>
      </c>
    </row>
    <row r="32" spans="1:14" x14ac:dyDescent="0.3">
      <c r="A32" t="s">
        <v>164</v>
      </c>
      <c r="B32">
        <v>59</v>
      </c>
      <c r="C32">
        <v>163</v>
      </c>
      <c r="D32">
        <v>93</v>
      </c>
      <c r="E32">
        <v>590</v>
      </c>
      <c r="F32" t="s">
        <v>21</v>
      </c>
      <c r="G32" s="47">
        <f t="shared" si="0"/>
        <v>0.53389830508474578</v>
      </c>
      <c r="H32" t="str">
        <f>IF(AND(A32&gt;=$N$6,A32&lt;=$O$6),"During","Before")</f>
        <v>Before</v>
      </c>
      <c r="I32" s="15">
        <f ca="1">AVERAGEIF(Table5[Period],"Before",Table5[[#This Row],[Engagement_Rate]])</f>
        <v>0.13833968166585517</v>
      </c>
      <c r="J32" s="15">
        <f ca="1">AVERAGEIF(Table5[Period],"During",Table5[[#This Row],[Engagement_Rate]])</f>
        <v>0.1323947690385899</v>
      </c>
      <c r="K32" s="47">
        <f ca="1">((Table5[[#This Row],[Avg_During]]-Table5[[#This Row],[Avg_Before]])/I32)</f>
        <v>-4.2973299892539653E-2</v>
      </c>
    </row>
    <row r="33" spans="1:11" x14ac:dyDescent="0.3">
      <c r="A33" t="s">
        <v>256</v>
      </c>
      <c r="B33">
        <v>2878</v>
      </c>
      <c r="C33">
        <v>248</v>
      </c>
      <c r="D33">
        <v>416</v>
      </c>
      <c r="E33">
        <v>43170</v>
      </c>
      <c r="F33" t="s">
        <v>27</v>
      </c>
      <c r="G33" s="47">
        <f t="shared" si="0"/>
        <v>8.2047718322909427E-2</v>
      </c>
      <c r="H33" t="str">
        <f>IF(AND(A33&gt;=$N$7,A33&lt;=$O$7),"During","Before")</f>
        <v>Before</v>
      </c>
      <c r="I33" s="15">
        <f ca="1">AVERAGEIF(Table5[Period],"Before",Table5[[#This Row],[Engagement_Rate]])</f>
        <v>0.13899519533026208</v>
      </c>
      <c r="J33" s="15">
        <f ca="1">AVERAGEIF(Table5[Period],"During",Table5[[#This Row],[Engagement_Rate]])</f>
        <v>0.14236727582160197</v>
      </c>
      <c r="K33" s="47">
        <f ca="1">((Table5[[#This Row],[Avg_During]]-Table5[[#This Row],[Avg_Before]])/I33)</f>
        <v>2.4260410464747299E-2</v>
      </c>
    </row>
    <row r="34" spans="1:11" x14ac:dyDescent="0.3">
      <c r="A34" t="s">
        <v>498</v>
      </c>
      <c r="B34">
        <v>3559</v>
      </c>
      <c r="C34">
        <v>59</v>
      </c>
      <c r="D34">
        <v>289</v>
      </c>
      <c r="E34">
        <v>35590</v>
      </c>
      <c r="F34" t="s">
        <v>17</v>
      </c>
      <c r="G34" s="47">
        <f t="shared" si="0"/>
        <v>0.10977802753582468</v>
      </c>
      <c r="H34" t="str">
        <f>IF(AND(A34&gt;=$N$5,A34&lt;=$O$5),"During","Before")</f>
        <v>Before</v>
      </c>
      <c r="I34" s="15">
        <f ca="1">AVERAGEIF(Table5[Period],"Before",Table5[[#This Row],[Engagement_Rate]])</f>
        <v>0.13647004489924253</v>
      </c>
      <c r="J34" s="15">
        <f ca="1">AVERAGEIF(Table5[Period],"During",Table5[[#This Row],[Engagement_Rate]])</f>
        <v>0.18871031522254803</v>
      </c>
      <c r="K34" s="47">
        <f ca="1">((Table5[[#This Row],[Avg_During]]-Table5[[#This Row],[Avg_Before]])/I34)</f>
        <v>0.3827966083097219</v>
      </c>
    </row>
    <row r="35" spans="1:11" x14ac:dyDescent="0.3">
      <c r="A35" t="s">
        <v>198</v>
      </c>
      <c r="B35">
        <v>1263</v>
      </c>
      <c r="C35">
        <v>397</v>
      </c>
      <c r="D35">
        <v>357</v>
      </c>
      <c r="E35">
        <v>25260</v>
      </c>
      <c r="F35" t="s">
        <v>34</v>
      </c>
      <c r="G35" s="47">
        <f t="shared" si="0"/>
        <v>7.984956452889945E-2</v>
      </c>
      <c r="H35" t="str">
        <f>IF(AND(A35&gt;=$N$8,A35&lt;=$O$8),"During","Before")</f>
        <v>Before</v>
      </c>
      <c r="I35" s="15">
        <f ca="1">AVERAGEIF(Table5[Period],"Before",Table5[[#This Row],[Engagement_Rate]])</f>
        <v>0.13755889384117556</v>
      </c>
      <c r="J35" s="15">
        <f ca="1">AVERAGEIF(Table5[Period],"During",Table5[[#This Row],[Engagement_Rate]])</f>
        <v>8.7313958203482409E-2</v>
      </c>
      <c r="K35" s="47">
        <f ca="1">((Table5[[#This Row],[Avg_During]]-Table5[[#This Row],[Avg_Before]])/I35)</f>
        <v>-0.36526126544537041</v>
      </c>
    </row>
    <row r="36" spans="1:11" x14ac:dyDescent="0.3">
      <c r="A36" t="s">
        <v>361</v>
      </c>
      <c r="B36">
        <v>1188</v>
      </c>
      <c r="C36">
        <v>470</v>
      </c>
      <c r="D36">
        <v>174</v>
      </c>
      <c r="E36">
        <v>7128</v>
      </c>
      <c r="F36" t="s">
        <v>34</v>
      </c>
      <c r="G36" s="47">
        <f t="shared" si="0"/>
        <v>0.25701459034792368</v>
      </c>
      <c r="H36" t="str">
        <f>IF(AND(A36&gt;=$N$8,A36&lt;=$O$8),"During","Before")</f>
        <v>Before</v>
      </c>
      <c r="I36" s="15">
        <f ca="1">AVERAGEIF(Table5[Period],"Before",Table5[[#This Row],[Engagement_Rate]])</f>
        <v>0.13537157369781452</v>
      </c>
      <c r="J36" s="15">
        <f ca="1">AVERAGEIF(Table5[Period],"During",Table5[[#This Row],[Engagement_Rate]])</f>
        <v>0.11781690458562549</v>
      </c>
      <c r="K36" s="47">
        <f ca="1">((Table5[[#This Row],[Avg_During]]-Table5[[#This Row],[Avg_Before]])/I36)</f>
        <v>-0.1296776615109442</v>
      </c>
    </row>
    <row r="37" spans="1:11" x14ac:dyDescent="0.3">
      <c r="A37" t="s">
        <v>65</v>
      </c>
      <c r="B37">
        <v>2946</v>
      </c>
      <c r="C37">
        <v>498</v>
      </c>
      <c r="D37">
        <v>367</v>
      </c>
      <c r="E37">
        <v>29460</v>
      </c>
      <c r="F37" t="s">
        <v>27</v>
      </c>
      <c r="G37" s="47">
        <f t="shared" si="0"/>
        <v>0.12936184657162253</v>
      </c>
      <c r="H37" t="str">
        <f>IF(AND(A37&gt;=$N$7,A37&lt;=$O$7),"During","Before")</f>
        <v>Before</v>
      </c>
      <c r="I37" s="15">
        <f ca="1">AVERAGEIF(Table5[Period],"Before",Table5[[#This Row],[Engagement_Rate]])</f>
        <v>0.13908023271334788</v>
      </c>
      <c r="J37" s="15">
        <f ca="1">AVERAGEIF(Table5[Period],"During",Table5[[#This Row],[Engagement_Rate]])</f>
        <v>0.13096754839520161</v>
      </c>
      <c r="K37" s="47">
        <f ca="1">((Table5[[#This Row],[Avg_During]]-Table5[[#This Row],[Avg_Before]])/I37)</f>
        <v>-5.8330965945872143E-2</v>
      </c>
    </row>
    <row r="38" spans="1:11" x14ac:dyDescent="0.3">
      <c r="A38" t="s">
        <v>334</v>
      </c>
      <c r="B38">
        <v>2551</v>
      </c>
      <c r="C38">
        <v>915</v>
      </c>
      <c r="D38">
        <v>205</v>
      </c>
      <c r="E38">
        <v>30612</v>
      </c>
      <c r="F38" t="s">
        <v>21</v>
      </c>
      <c r="G38" s="47">
        <f t="shared" si="0"/>
        <v>0.1199202926956749</v>
      </c>
      <c r="H38" t="str">
        <f>IF(AND(A38&gt;=$N$6,A38&lt;=$O$6),"During","Before")</f>
        <v>Before</v>
      </c>
      <c r="I38" s="15">
        <f ca="1">AVERAGEIF(Table5[Period],"Before",Table5[[#This Row],[Engagement_Rate]])</f>
        <v>0.14475574925216136</v>
      </c>
      <c r="J38" s="15">
        <f ca="1">AVERAGEIF(Table5[Period],"During",Table5[[#This Row],[Engagement_Rate]])</f>
        <v>8.9136009520626183E-2</v>
      </c>
      <c r="K38" s="47">
        <f ca="1">((Table5[[#This Row],[Avg_During]]-Table5[[#This Row],[Avg_Before]])/I38)</f>
        <v>-0.38423164550547007</v>
      </c>
    </row>
    <row r="39" spans="1:11" x14ac:dyDescent="0.3">
      <c r="A39" t="s">
        <v>262</v>
      </c>
      <c r="B39">
        <v>2754</v>
      </c>
      <c r="C39">
        <v>130</v>
      </c>
      <c r="D39">
        <v>90</v>
      </c>
      <c r="E39">
        <v>22032</v>
      </c>
      <c r="F39" t="s">
        <v>27</v>
      </c>
      <c r="G39" s="47">
        <f t="shared" si="0"/>
        <v>0.13498547567175018</v>
      </c>
      <c r="H39" t="str">
        <f>IF(AND(A39&gt;=$N$7,A39&lt;=$O$7),"During","Before")</f>
        <v>Before</v>
      </c>
      <c r="I39" s="15">
        <f ca="1">AVERAGEIF(Table5[Period],"Before",Table5[[#This Row],[Engagement_Rate]])</f>
        <v>0.13308646071899635</v>
      </c>
      <c r="J39" s="15">
        <f ca="1">AVERAGEIF(Table5[Period],"During",Table5[[#This Row],[Engagement_Rate]])</f>
        <v>0.16885471751867312</v>
      </c>
      <c r="K39" s="47">
        <f ca="1">((Table5[[#This Row],[Avg_During]]-Table5[[#This Row],[Avg_Before]])/I39)</f>
        <v>0.26875954628622351</v>
      </c>
    </row>
    <row r="40" spans="1:11" x14ac:dyDescent="0.3">
      <c r="A40" t="s">
        <v>160</v>
      </c>
      <c r="B40">
        <v>3160</v>
      </c>
      <c r="C40">
        <v>204</v>
      </c>
      <c r="D40">
        <v>297</v>
      </c>
      <c r="E40">
        <v>44240</v>
      </c>
      <c r="F40" t="s">
        <v>34</v>
      </c>
      <c r="G40" s="47">
        <f t="shared" si="0"/>
        <v>8.2753164556962022E-2</v>
      </c>
      <c r="H40" t="str">
        <f>IF(AND(A40&gt;=$N$8,A40&lt;=$O$8),"During","Before")</f>
        <v>Before</v>
      </c>
      <c r="I40" s="15">
        <f ca="1">AVERAGEIF(Table5[Period],"Before",Table5[[#This Row],[Engagement_Rate]])</f>
        <v>0.14237744495533716</v>
      </c>
      <c r="J40" s="15">
        <f ca="1">AVERAGEIF(Table5[Period],"During",Table5[[#This Row],[Engagement_Rate]])</f>
        <v>0.1234105433021129</v>
      </c>
      <c r="K40" s="47">
        <f ca="1">((Table5[[#This Row],[Avg_During]]-Table5[[#This Row],[Avg_Before]])/I40)</f>
        <v>-0.13321563439471784</v>
      </c>
    </row>
    <row r="41" spans="1:11" x14ac:dyDescent="0.3">
      <c r="A41" t="s">
        <v>528</v>
      </c>
      <c r="B41">
        <v>2418</v>
      </c>
      <c r="C41">
        <v>754</v>
      </c>
      <c r="D41">
        <v>54</v>
      </c>
      <c r="E41">
        <v>43524</v>
      </c>
      <c r="F41" t="s">
        <v>17</v>
      </c>
      <c r="G41" s="47">
        <f t="shared" si="0"/>
        <v>7.412002573292896E-2</v>
      </c>
      <c r="H41" t="str">
        <f>IF(AND(A41&gt;=$N$5,A41&lt;=$O$5),"During","Before")</f>
        <v>Before</v>
      </c>
      <c r="I41" s="15">
        <f ca="1">AVERAGEIF(Table5[Period],"Before",Table5[[#This Row],[Engagement_Rate]])</f>
        <v>0.14240159228201818</v>
      </c>
      <c r="J41" s="15">
        <f ca="1">AVERAGEIF(Table5[Period],"During",Table5[[#This Row],[Engagement_Rate]])</f>
        <v>0.11165978590260062</v>
      </c>
      <c r="K41" s="47">
        <f ca="1">((Table5[[#This Row],[Avg_During]]-Table5[[#This Row],[Avg_Before]])/I41)</f>
        <v>-0.21588105783631395</v>
      </c>
    </row>
    <row r="42" spans="1:11" x14ac:dyDescent="0.3">
      <c r="A42" t="s">
        <v>40</v>
      </c>
      <c r="B42">
        <v>606</v>
      </c>
      <c r="C42">
        <v>789</v>
      </c>
      <c r="D42">
        <v>470</v>
      </c>
      <c r="E42">
        <v>7878</v>
      </c>
      <c r="F42" t="s">
        <v>27</v>
      </c>
      <c r="G42" s="47">
        <f t="shared" si="0"/>
        <v>0.23673521198273673</v>
      </c>
      <c r="H42" t="str">
        <f>IF(AND(A42&gt;=$N$7,A42&lt;=$O$7),"During","Before")</f>
        <v>Before</v>
      </c>
      <c r="I42" s="15">
        <f ca="1">AVERAGEIF(Table5[Period],"Before",Table5[[#This Row],[Engagement_Rate]])</f>
        <v>0.13776742946023768</v>
      </c>
      <c r="J42" s="15">
        <f ca="1">AVERAGEIF(Table5[Period],"During",Table5[[#This Row],[Engagement_Rate]])</f>
        <v>0.15065663081412381</v>
      </c>
      <c r="K42" s="47">
        <f ca="1">((Table5[[#This Row],[Avg_During]]-Table5[[#This Row],[Avg_Before]])/I42)</f>
        <v>9.3557681989023408E-2</v>
      </c>
    </row>
    <row r="43" spans="1:11" x14ac:dyDescent="0.3">
      <c r="A43" t="s">
        <v>192</v>
      </c>
      <c r="B43">
        <v>4561</v>
      </c>
      <c r="C43">
        <v>51</v>
      </c>
      <c r="D43">
        <v>441</v>
      </c>
      <c r="E43">
        <v>22805</v>
      </c>
      <c r="F43" t="s">
        <v>21</v>
      </c>
      <c r="G43" s="47">
        <f t="shared" si="0"/>
        <v>0.22157421618066214</v>
      </c>
      <c r="H43" t="str">
        <f>IF(AND(A43&gt;=$N$6,A43&lt;=$O$6),"During","Before")</f>
        <v>Before</v>
      </c>
      <c r="I43" s="15">
        <f ca="1">AVERAGEIF(Table5[Period],"Before",Table5[[#This Row],[Engagement_Rate]])</f>
        <v>0.14096599313669897</v>
      </c>
      <c r="J43" s="15">
        <f ca="1">AVERAGEIF(Table5[Period],"During",Table5[[#This Row],[Engagement_Rate]])</f>
        <v>0.14611352353030621</v>
      </c>
      <c r="K43" s="47">
        <f ca="1">((Table5[[#This Row],[Avg_During]]-Table5[[#This Row],[Avg_Before]])/I43)</f>
        <v>3.6516114837821391E-2</v>
      </c>
    </row>
    <row r="44" spans="1:11" x14ac:dyDescent="0.3">
      <c r="A44" t="s">
        <v>209</v>
      </c>
      <c r="B44">
        <v>2692</v>
      </c>
      <c r="C44">
        <v>115</v>
      </c>
      <c r="D44">
        <v>64</v>
      </c>
      <c r="E44">
        <v>21536</v>
      </c>
      <c r="F44" t="s">
        <v>21</v>
      </c>
      <c r="G44" s="47">
        <f t="shared" si="0"/>
        <v>0.13331166419019316</v>
      </c>
      <c r="H44" t="str">
        <f>IF(AND(A44&gt;=$N$6,A44&lt;=$O$6),"During","Before")</f>
        <v>Before</v>
      </c>
      <c r="I44" s="15">
        <f ca="1">AVERAGEIF(Table5[Period],"Before",Table5[[#This Row],[Engagement_Rate]])</f>
        <v>0.13353818987541413</v>
      </c>
      <c r="J44" s="15">
        <f ca="1">AVERAGEIF(Table5[Period],"During",Table5[[#This Row],[Engagement_Rate]])</f>
        <v>0.21675017874832081</v>
      </c>
      <c r="K44" s="47">
        <f ca="1">((Table5[[#This Row],[Avg_During]]-Table5[[#This Row],[Avg_Before]])/I44)</f>
        <v>0.62313252074586445</v>
      </c>
    </row>
    <row r="45" spans="1:11" x14ac:dyDescent="0.3">
      <c r="A45" t="s">
        <v>415</v>
      </c>
      <c r="B45">
        <v>736</v>
      </c>
      <c r="C45">
        <v>771</v>
      </c>
      <c r="D45">
        <v>225</v>
      </c>
      <c r="E45">
        <v>5152</v>
      </c>
      <c r="F45" t="s">
        <v>17</v>
      </c>
      <c r="G45" s="47">
        <f t="shared" si="0"/>
        <v>0.33618012422360249</v>
      </c>
      <c r="H45" t="str">
        <f>IF(AND(A45&gt;=$N$5,A45&lt;=$O$5),"During","Before")</f>
        <v>Before</v>
      </c>
      <c r="I45" s="15">
        <f ca="1">AVERAGEIF(Table5[Period],"Before",Table5[[#This Row],[Engagement_Rate]])</f>
        <v>0.14218515802794374</v>
      </c>
      <c r="J45" s="15">
        <f ca="1">AVERAGEIF(Table5[Period],"During",Table5[[#This Row],[Engagement_Rate]])</f>
        <v>0.11454622067989734</v>
      </c>
      <c r="K45" s="47">
        <f ca="1">((Table5[[#This Row],[Avg_During]]-Table5[[#This Row],[Avg_Before]])/I45)</f>
        <v>-0.19438693694467393</v>
      </c>
    </row>
    <row r="46" spans="1:11" x14ac:dyDescent="0.3">
      <c r="A46" t="s">
        <v>346</v>
      </c>
      <c r="B46">
        <v>2120</v>
      </c>
      <c r="C46">
        <v>158</v>
      </c>
      <c r="D46">
        <v>488</v>
      </c>
      <c r="E46">
        <v>12720</v>
      </c>
      <c r="F46" t="s">
        <v>21</v>
      </c>
      <c r="G46" s="47">
        <f t="shared" si="0"/>
        <v>0.21745283018867925</v>
      </c>
      <c r="H46" t="str">
        <f>IF(AND(A46&gt;=$N$6,A46&lt;=$O$6),"During","Before")</f>
        <v>Before</v>
      </c>
      <c r="I46" s="15">
        <f ca="1">AVERAGEIF(Table5[Period],"Before",Table5[[#This Row],[Engagement_Rate]])</f>
        <v>0.139311486871216</v>
      </c>
      <c r="J46" s="15">
        <f ca="1">AVERAGEIF(Table5[Period],"During",Table5[[#This Row],[Engagement_Rate]])</f>
        <v>0.11035204615556551</v>
      </c>
      <c r="K46" s="47">
        <f ca="1">((Table5[[#This Row],[Avg_During]]-Table5[[#This Row],[Avg_Before]])/I46)</f>
        <v>-0.20787546932451823</v>
      </c>
    </row>
    <row r="47" spans="1:11" x14ac:dyDescent="0.3">
      <c r="A47" t="s">
        <v>373</v>
      </c>
      <c r="B47">
        <v>1556</v>
      </c>
      <c r="C47">
        <v>195</v>
      </c>
      <c r="D47">
        <v>131</v>
      </c>
      <c r="E47">
        <v>9336</v>
      </c>
      <c r="F47" t="s">
        <v>21</v>
      </c>
      <c r="G47" s="47">
        <f t="shared" si="0"/>
        <v>0.2015852613538989</v>
      </c>
      <c r="H47" t="str">
        <f>IF(AND(A47&gt;=$N$6,A47&lt;=$O$6),"During","Before")</f>
        <v>Before</v>
      </c>
      <c r="I47" s="15">
        <f ca="1">AVERAGEIF(Table5[Period],"Before",Table5[[#This Row],[Engagement_Rate]])</f>
        <v>0.1317285113556117</v>
      </c>
      <c r="J47" s="15">
        <f ca="1">AVERAGEIF(Table5[Period],"During",Table5[[#This Row],[Engagement_Rate]])</f>
        <v>0.11970033271888747</v>
      </c>
      <c r="K47" s="47">
        <f ca="1">((Table5[[#This Row],[Avg_During]]-Table5[[#This Row],[Avg_Before]])/I47)</f>
        <v>-9.1310366396331583E-2</v>
      </c>
    </row>
    <row r="48" spans="1:11" x14ac:dyDescent="0.3">
      <c r="A48" t="s">
        <v>418</v>
      </c>
      <c r="B48">
        <v>3196</v>
      </c>
      <c r="C48">
        <v>941</v>
      </c>
      <c r="D48">
        <v>376</v>
      </c>
      <c r="E48">
        <v>35156</v>
      </c>
      <c r="F48" t="s">
        <v>27</v>
      </c>
      <c r="G48" s="47">
        <f t="shared" si="0"/>
        <v>0.1283706906360223</v>
      </c>
      <c r="H48" t="str">
        <f>IF(AND(A48&gt;=$N$7,A48&lt;=$O$7),"During","Before")</f>
        <v>Before</v>
      </c>
      <c r="I48" s="15">
        <f ca="1">AVERAGEIF(Table5[Period],"Before",Table5[[#This Row],[Engagement_Rate]])</f>
        <v>0.1334812669054129</v>
      </c>
      <c r="J48" s="15">
        <f ca="1">AVERAGEIF(Table5[Period],"During",Table5[[#This Row],[Engagement_Rate]])</f>
        <v>0.12461769329692948</v>
      </c>
      <c r="K48" s="47">
        <f ca="1">((Table5[[#This Row],[Avg_During]]-Table5[[#This Row],[Avg_Before]])/I48)</f>
        <v>-6.6403127674569462E-2</v>
      </c>
    </row>
    <row r="49" spans="1:11" x14ac:dyDescent="0.3">
      <c r="A49" t="s">
        <v>162</v>
      </c>
      <c r="B49">
        <v>4725</v>
      </c>
      <c r="C49">
        <v>400</v>
      </c>
      <c r="D49">
        <v>362</v>
      </c>
      <c r="E49">
        <v>75600</v>
      </c>
      <c r="F49" t="s">
        <v>34</v>
      </c>
      <c r="G49" s="47">
        <f t="shared" si="0"/>
        <v>7.2579365079365077E-2</v>
      </c>
      <c r="H49" t="str">
        <f>IF(AND(A49&gt;=$N$8,A49&lt;=$O$8),"During","Before")</f>
        <v>Before</v>
      </c>
      <c r="I49" s="15">
        <f ca="1">AVERAGEIF(Table5[Period],"Before",Table5[[#This Row],[Engagement_Rate]])</f>
        <v>0.13776548465266131</v>
      </c>
      <c r="J49" s="15">
        <f ca="1">AVERAGEIF(Table5[Period],"During",Table5[[#This Row],[Engagement_Rate]])</f>
        <v>0.11908185638233797</v>
      </c>
      <c r="K49" s="47">
        <f ca="1">((Table5[[#This Row],[Avg_During]]-Table5[[#This Row],[Avg_Before]])/I49)</f>
        <v>-0.13561907989819871</v>
      </c>
    </row>
    <row r="50" spans="1:11" x14ac:dyDescent="0.3">
      <c r="A50" t="s">
        <v>127</v>
      </c>
      <c r="B50">
        <v>1257</v>
      </c>
      <c r="C50">
        <v>19</v>
      </c>
      <c r="D50">
        <v>351</v>
      </c>
      <c r="E50">
        <v>12570</v>
      </c>
      <c r="F50" t="s">
        <v>21</v>
      </c>
      <c r="G50" s="47">
        <f t="shared" si="0"/>
        <v>0.12943516308671441</v>
      </c>
      <c r="H50" t="str">
        <f>IF(AND(A50&gt;=$N$6,A50&lt;=$O$6),"During","Before")</f>
        <v>Before</v>
      </c>
      <c r="I50" s="15">
        <f ca="1">AVERAGEIF(Table5[Period],"Before",Table5[[#This Row],[Engagement_Rate]])</f>
        <v>0.14013722746784535</v>
      </c>
      <c r="J50" s="15">
        <f ca="1">AVERAGEIF(Table5[Period],"During",Table5[[#This Row],[Engagement_Rate]])</f>
        <v>0.14906007454183248</v>
      </c>
      <c r="K50" s="47">
        <f ca="1">((Table5[[#This Row],[Avg_During]]-Table5[[#This Row],[Avg_Before]])/I50)</f>
        <v>6.3672210698149365E-2</v>
      </c>
    </row>
    <row r="51" spans="1:11" x14ac:dyDescent="0.3">
      <c r="A51" t="s">
        <v>418</v>
      </c>
      <c r="B51">
        <v>1238</v>
      </c>
      <c r="C51">
        <v>366</v>
      </c>
      <c r="D51">
        <v>444</v>
      </c>
      <c r="E51">
        <v>19808</v>
      </c>
      <c r="F51" t="s">
        <v>603</v>
      </c>
      <c r="G51" s="47">
        <f t="shared" si="0"/>
        <v>0.10339256865912763</v>
      </c>
      <c r="H51" t="s">
        <v>603</v>
      </c>
      <c r="I51" s="15">
        <f ca="1">AVERAGEIF(Table5[Period],"Before",Table5[[#This Row],[Engagement_Rate]])</f>
        <v>0.13776657467747097</v>
      </c>
      <c r="J51" s="15">
        <f ca="1">AVERAGEIF(Table5[Period],"During",Table5[[#This Row],[Engagement_Rate]])</f>
        <v>0.11323673117254116</v>
      </c>
      <c r="K51" s="47">
        <f ca="1">((Table5[[#This Row],[Avg_During]]-Table5[[#This Row],[Avg_Before]])/I51)</f>
        <v>-0.17805366477577955</v>
      </c>
    </row>
    <row r="52" spans="1:11" x14ac:dyDescent="0.3">
      <c r="A52" t="s">
        <v>240</v>
      </c>
      <c r="B52">
        <v>4712</v>
      </c>
      <c r="C52">
        <v>568</v>
      </c>
      <c r="D52">
        <v>127</v>
      </c>
      <c r="E52">
        <v>84816</v>
      </c>
      <c r="F52" t="s">
        <v>27</v>
      </c>
      <c r="G52" s="47">
        <f t="shared" si="0"/>
        <v>6.3749764195434822E-2</v>
      </c>
      <c r="H52" t="str">
        <f>IF(AND(A52&gt;=$N$7,A52&lt;=$O$7),"During","Before")</f>
        <v>Before</v>
      </c>
      <c r="I52" s="15">
        <f ca="1">AVERAGEIF(Table5[Period],"Before",Table5[[#This Row],[Engagement_Rate]])</f>
        <v>0.13454762926343961</v>
      </c>
      <c r="J52" s="15">
        <f ca="1">AVERAGEIF(Table5[Period],"During",Table5[[#This Row],[Engagement_Rate]])</f>
        <v>0.13832832373743259</v>
      </c>
      <c r="K52" s="47">
        <f ca="1">((Table5[[#This Row],[Avg_During]]-Table5[[#This Row],[Avg_Before]])/I52)</f>
        <v>2.809930204411492E-2</v>
      </c>
    </row>
    <row r="53" spans="1:11" x14ac:dyDescent="0.3">
      <c r="A53" t="s">
        <v>354</v>
      </c>
      <c r="B53">
        <v>4494</v>
      </c>
      <c r="C53">
        <v>717</v>
      </c>
      <c r="D53">
        <v>45</v>
      </c>
      <c r="E53">
        <v>62916</v>
      </c>
      <c r="F53" t="s">
        <v>17</v>
      </c>
      <c r="G53" s="47">
        <f t="shared" si="0"/>
        <v>8.3539958039290485E-2</v>
      </c>
      <c r="H53" t="str">
        <f>IF(AND(A53&gt;=$N$5,A53&lt;=$O$5),"During","Before")</f>
        <v>Before</v>
      </c>
      <c r="I53" s="15">
        <f ca="1">AVERAGEIF(Table5[Period],"Before",Table5[[#This Row],[Engagement_Rate]])</f>
        <v>0.14327687682520662</v>
      </c>
      <c r="J53" s="15">
        <f ca="1">AVERAGEIF(Table5[Period],"During",Table5[[#This Row],[Engagement_Rate]])</f>
        <v>0.11528715546941851</v>
      </c>
      <c r="K53" s="47">
        <f ca="1">((Table5[[#This Row],[Avg_During]]-Table5[[#This Row],[Avg_Before]])/I53)</f>
        <v>-0.19535407231087759</v>
      </c>
    </row>
    <row r="54" spans="1:11" x14ac:dyDescent="0.3">
      <c r="A54" t="s">
        <v>336</v>
      </c>
      <c r="B54">
        <v>4054</v>
      </c>
      <c r="C54">
        <v>488</v>
      </c>
      <c r="D54">
        <v>373</v>
      </c>
      <c r="E54">
        <v>77026</v>
      </c>
      <c r="F54" t="s">
        <v>17</v>
      </c>
      <c r="G54" s="47">
        <f t="shared" si="0"/>
        <v>6.3809622724794221E-2</v>
      </c>
      <c r="H54" t="str">
        <f>IF(AND(A54&gt;=$N$5,A54&lt;=$O$5),"During","Before")</f>
        <v>Before</v>
      </c>
      <c r="I54" s="15">
        <f ca="1">AVERAGEIF(Table5[Period],"Before",Table5[[#This Row],[Engagement_Rate]])</f>
        <v>0.1342568389082183</v>
      </c>
      <c r="J54" s="15">
        <f ca="1">AVERAGEIF(Table5[Period],"During",Table5[[#This Row],[Engagement_Rate]])</f>
        <v>0.13372429944618547</v>
      </c>
      <c r="K54" s="47">
        <f ca="1">((Table5[[#This Row],[Avg_During]]-Table5[[#This Row],[Avg_Before]])/I54)</f>
        <v>-3.966572327811814E-3</v>
      </c>
    </row>
    <row r="55" spans="1:11" x14ac:dyDescent="0.3">
      <c r="A55" t="s">
        <v>212</v>
      </c>
      <c r="B55">
        <v>432</v>
      </c>
      <c r="C55">
        <v>624</v>
      </c>
      <c r="D55">
        <v>123</v>
      </c>
      <c r="E55">
        <v>6912</v>
      </c>
      <c r="F55" t="s">
        <v>34</v>
      </c>
      <c r="G55" s="47">
        <f t="shared" si="0"/>
        <v>0.17057291666666666</v>
      </c>
      <c r="H55" t="str">
        <f>IF(AND(A55&gt;=$N$8,A55&lt;=$O$8),"During","Before")</f>
        <v>Before</v>
      </c>
      <c r="I55" s="15">
        <f ca="1">AVERAGEIF(Table5[Period],"Before",Table5[[#This Row],[Engagement_Rate]])</f>
        <v>0.13308461183847178</v>
      </c>
      <c r="J55" s="15">
        <f ca="1">AVERAGEIF(Table5[Period],"During",Table5[[#This Row],[Engagement_Rate]])</f>
        <v>0.1480701909451321</v>
      </c>
      <c r="K55" s="47">
        <f ca="1">((Table5[[#This Row],[Avg_During]]-Table5[[#This Row],[Avg_Before]])/I55)</f>
        <v>0.11260189213196715</v>
      </c>
    </row>
    <row r="56" spans="1:11" x14ac:dyDescent="0.3">
      <c r="A56" t="s">
        <v>266</v>
      </c>
      <c r="B56">
        <v>2382</v>
      </c>
      <c r="C56">
        <v>265</v>
      </c>
      <c r="D56">
        <v>134</v>
      </c>
      <c r="E56">
        <v>38112</v>
      </c>
      <c r="F56" t="s">
        <v>34</v>
      </c>
      <c r="G56" s="47">
        <f t="shared" si="0"/>
        <v>7.2969143576826198E-2</v>
      </c>
      <c r="H56" t="str">
        <f>IF(AND(A56&gt;=$N$8,A56&lt;=$O$8),"During","Before")</f>
        <v>Before</v>
      </c>
      <c r="I56" s="15">
        <f ca="1">AVERAGEIF(Table5[Period],"Before",Table5[[#This Row],[Engagement_Rate]])</f>
        <v>0.14047240251877849</v>
      </c>
      <c r="J56" s="15">
        <f ca="1">AVERAGEIF(Table5[Period],"During",Table5[[#This Row],[Engagement_Rate]])</f>
        <v>0.11973802321378879</v>
      </c>
      <c r="K56" s="47">
        <f ca="1">((Table5[[#This Row],[Avg_During]]-Table5[[#This Row],[Avg_Before]])/I56)</f>
        <v>-0.14760464641599552</v>
      </c>
    </row>
    <row r="57" spans="1:11" x14ac:dyDescent="0.3">
      <c r="A57" t="s">
        <v>129</v>
      </c>
      <c r="B57">
        <v>4182</v>
      </c>
      <c r="C57">
        <v>640</v>
      </c>
      <c r="D57">
        <v>240</v>
      </c>
      <c r="E57">
        <v>50184</v>
      </c>
      <c r="F57" t="s">
        <v>27</v>
      </c>
      <c r="G57" s="47">
        <f t="shared" si="0"/>
        <v>0.10086880280567512</v>
      </c>
      <c r="H57" t="str">
        <f>IF(AND(A57&gt;=$N$7,A57&lt;=$O$7),"During","Before")</f>
        <v>Before</v>
      </c>
      <c r="I57" s="15">
        <f ca="1">AVERAGEIF(Table5[Period],"Before",Table5[[#This Row],[Engagement_Rate]])</f>
        <v>0.13435894833087461</v>
      </c>
      <c r="J57" s="15">
        <f ca="1">AVERAGEIF(Table5[Period],"During",Table5[[#This Row],[Engagement_Rate]])</f>
        <v>0.14794700229155383</v>
      </c>
      <c r="K57" s="47">
        <f ca="1">((Table5[[#This Row],[Avg_During]]-Table5[[#This Row],[Avg_Before]])/I57)</f>
        <v>0.10113248227588868</v>
      </c>
    </row>
    <row r="58" spans="1:11" x14ac:dyDescent="0.3">
      <c r="A58" t="s">
        <v>378</v>
      </c>
      <c r="B58">
        <v>1950</v>
      </c>
      <c r="C58">
        <v>295</v>
      </c>
      <c r="D58">
        <v>478</v>
      </c>
      <c r="E58">
        <v>37050</v>
      </c>
      <c r="F58" t="s">
        <v>603</v>
      </c>
      <c r="G58" s="47">
        <f t="shared" si="0"/>
        <v>7.349527665317139E-2</v>
      </c>
      <c r="H58" t="s">
        <v>603</v>
      </c>
      <c r="I58" s="15">
        <f ca="1">AVERAGEIF(Table5[Period],"Before",Table5[[#This Row],[Engagement_Rate]])</f>
        <v>0.14041262202190685</v>
      </c>
      <c r="J58" s="15">
        <f ca="1">AVERAGEIF(Table5[Period],"During",Table5[[#This Row],[Engagement_Rate]])</f>
        <v>0.10228952773266833</v>
      </c>
      <c r="K58" s="47">
        <f ca="1">((Table5[[#This Row],[Avg_During]]-Table5[[#This Row],[Avg_Before]])/I58)</f>
        <v>-0.27150760195397988</v>
      </c>
    </row>
    <row r="59" spans="1:11" x14ac:dyDescent="0.3">
      <c r="A59" t="s">
        <v>400</v>
      </c>
      <c r="B59">
        <v>2164</v>
      </c>
      <c r="C59">
        <v>549</v>
      </c>
      <c r="D59">
        <v>274</v>
      </c>
      <c r="E59">
        <v>28132</v>
      </c>
      <c r="F59" t="s">
        <v>34</v>
      </c>
      <c r="G59" s="47">
        <f t="shared" si="0"/>
        <v>0.10617801791554102</v>
      </c>
      <c r="H59" t="str">
        <f>IF(AND(A59&gt;=$N$8,A59&lt;=$O$8),"During","Before")</f>
        <v>Before</v>
      </c>
      <c r="I59" s="15">
        <f ca="1">AVERAGEIF(Table5[Period],"Before",Table5[[#This Row],[Engagement_Rate]])</f>
        <v>0.14093448632215344</v>
      </c>
      <c r="J59" s="15">
        <f ca="1">AVERAGEIF(Table5[Period],"During",Table5[[#This Row],[Engagement_Rate]])</f>
        <v>0.12849381844243779</v>
      </c>
      <c r="K59" s="47">
        <f ca="1">((Table5[[#This Row],[Avg_During]]-Table5[[#This Row],[Avg_Before]])/I59)</f>
        <v>-8.8272701766395886E-2</v>
      </c>
    </row>
    <row r="60" spans="1:11" x14ac:dyDescent="0.3">
      <c r="A60" t="s">
        <v>305</v>
      </c>
      <c r="B60">
        <v>914</v>
      </c>
      <c r="C60">
        <v>464</v>
      </c>
      <c r="D60">
        <v>246</v>
      </c>
      <c r="E60">
        <v>11882</v>
      </c>
      <c r="F60" t="s">
        <v>34</v>
      </c>
      <c r="G60" s="47">
        <f t="shared" si="0"/>
        <v>0.13667732704931829</v>
      </c>
      <c r="H60" t="str">
        <f>IF(AND(A60&gt;=$N$8,A60&lt;=$O$8),"During","Before")</f>
        <v>Before</v>
      </c>
      <c r="I60" s="15">
        <f ca="1">AVERAGEIF(Table5[Period],"Before",Table5[[#This Row],[Engagement_Rate]])</f>
        <v>0.13866026901491552</v>
      </c>
      <c r="J60" s="15">
        <f ca="1">AVERAGEIF(Table5[Period],"During",Table5[[#This Row],[Engagement_Rate]])</f>
        <v>0.1344446947478046</v>
      </c>
      <c r="K60" s="47">
        <f ca="1">((Table5[[#This Row],[Avg_During]]-Table5[[#This Row],[Avg_Before]])/I60)</f>
        <v>-3.0402178627372E-2</v>
      </c>
    </row>
    <row r="61" spans="1:11" x14ac:dyDescent="0.3">
      <c r="A61" t="s">
        <v>327</v>
      </c>
      <c r="B61">
        <v>4799</v>
      </c>
      <c r="C61">
        <v>694</v>
      </c>
      <c r="D61">
        <v>289</v>
      </c>
      <c r="E61">
        <v>43191</v>
      </c>
      <c r="F61" t="s">
        <v>603</v>
      </c>
      <c r="G61" s="47">
        <f t="shared" si="0"/>
        <v>0.13387048227640017</v>
      </c>
      <c r="H61" t="s">
        <v>603</v>
      </c>
      <c r="I61" s="15">
        <f ca="1">AVERAGEIF(Table5[Period],"Before",Table5[[#This Row],[Engagement_Rate]])</f>
        <v>0.13567506206925189</v>
      </c>
      <c r="J61" s="15">
        <f ca="1">AVERAGEIF(Table5[Period],"During",Table5[[#This Row],[Engagement_Rate]])</f>
        <v>0.125624400212795</v>
      </c>
      <c r="K61" s="47">
        <f ca="1">((Table5[[#This Row],[Avg_During]]-Table5[[#This Row],[Avg_Before]])/I61)</f>
        <v>-7.4078918433269539E-2</v>
      </c>
    </row>
    <row r="62" spans="1:11" x14ac:dyDescent="0.3">
      <c r="A62" t="s">
        <v>368</v>
      </c>
      <c r="B62">
        <v>3452</v>
      </c>
      <c r="C62">
        <v>652</v>
      </c>
      <c r="D62">
        <v>442</v>
      </c>
      <c r="E62">
        <v>65588</v>
      </c>
      <c r="F62" t="s">
        <v>27</v>
      </c>
      <c r="G62" s="47">
        <f t="shared" si="0"/>
        <v>6.9311459413307311E-2</v>
      </c>
      <c r="H62" t="str">
        <f>IF(AND(A62&gt;=$N$7,A62&lt;=$O$7),"During","Before")</f>
        <v>Before</v>
      </c>
      <c r="I62" s="15">
        <f ca="1">AVERAGEIF(Table5[Period],"Before",Table5[[#This Row],[Engagement_Rate]])</f>
        <v>0.14218846199577481</v>
      </c>
      <c r="J62" s="15">
        <f ca="1">AVERAGEIF(Table5[Period],"During",Table5[[#This Row],[Engagement_Rate]])</f>
        <v>0.14527223136672801</v>
      </c>
      <c r="K62" s="47">
        <f ca="1">((Table5[[#This Row],[Avg_During]]-Table5[[#This Row],[Avg_Before]])/I62)</f>
        <v>2.1687901589686188E-2</v>
      </c>
    </row>
    <row r="63" spans="1:11" x14ac:dyDescent="0.3">
      <c r="A63" t="s">
        <v>194</v>
      </c>
      <c r="B63">
        <v>2603</v>
      </c>
      <c r="C63">
        <v>690</v>
      </c>
      <c r="D63">
        <v>205</v>
      </c>
      <c r="E63">
        <v>13015</v>
      </c>
      <c r="F63" t="s">
        <v>21</v>
      </c>
      <c r="G63" s="47">
        <f t="shared" si="0"/>
        <v>0.26876680752977333</v>
      </c>
      <c r="H63" t="str">
        <f>IF(AND(A63&gt;=$N$6,A63&lt;=$O$6),"During","Before")</f>
        <v>Before</v>
      </c>
      <c r="I63" s="15">
        <f ca="1">AVERAGEIF(Table5[Period],"Before",Table5[[#This Row],[Engagement_Rate]])</f>
        <v>0.14060730306038749</v>
      </c>
      <c r="J63" s="15">
        <f ca="1">AVERAGEIF(Table5[Period],"During",Table5[[#This Row],[Engagement_Rate]])</f>
        <v>0.16374216931958532</v>
      </c>
      <c r="K63" s="47">
        <f ca="1">((Table5[[#This Row],[Avg_During]]-Table5[[#This Row],[Avg_Before]])/I63)</f>
        <v>0.1645353104401836</v>
      </c>
    </row>
    <row r="64" spans="1:11" x14ac:dyDescent="0.3">
      <c r="A64" t="s">
        <v>279</v>
      </c>
      <c r="B64">
        <v>3704</v>
      </c>
      <c r="C64">
        <v>186</v>
      </c>
      <c r="D64">
        <v>458</v>
      </c>
      <c r="E64">
        <v>25928</v>
      </c>
      <c r="F64" t="s">
        <v>603</v>
      </c>
      <c r="G64" s="47">
        <f t="shared" si="0"/>
        <v>0.16769515581610614</v>
      </c>
      <c r="H64" t="s">
        <v>603</v>
      </c>
      <c r="I64" s="15">
        <f ca="1">AVERAGEIF(Table5[Period],"Before",Table5[[#This Row],[Engagement_Rate]])</f>
        <v>0.1416426731192727</v>
      </c>
      <c r="J64" s="15">
        <f ca="1">AVERAGEIF(Table5[Period],"During",Table5[[#This Row],[Engagement_Rate]])</f>
        <v>0.13733598864082616</v>
      </c>
      <c r="K64" s="47">
        <f ca="1">((Table5[[#This Row],[Avg_During]]-Table5[[#This Row],[Avg_Before]])/I64)</f>
        <v>-3.0405275356671771E-2</v>
      </c>
    </row>
    <row r="65" spans="1:11" x14ac:dyDescent="0.3">
      <c r="A65" t="s">
        <v>534</v>
      </c>
      <c r="B65">
        <v>3784</v>
      </c>
      <c r="C65">
        <v>808</v>
      </c>
      <c r="D65">
        <v>404</v>
      </c>
      <c r="E65">
        <v>56760</v>
      </c>
      <c r="F65" t="s">
        <v>21</v>
      </c>
      <c r="G65" s="47">
        <f t="shared" si="0"/>
        <v>8.8019732205778717E-2</v>
      </c>
      <c r="H65" t="str">
        <f>IF(AND(A65&gt;=$N$6,A65&lt;=$O$6),"During","Before")</f>
        <v>Before</v>
      </c>
      <c r="I65" s="15">
        <f ca="1">AVERAGEIF(Table5[Period],"Before",Table5[[#This Row],[Engagement_Rate]])</f>
        <v>0.14423992407172864</v>
      </c>
      <c r="J65" s="15">
        <f ca="1">AVERAGEIF(Table5[Period],"During",Table5[[#This Row],[Engagement_Rate]])</f>
        <v>0.12215267228159442</v>
      </c>
      <c r="K65" s="47">
        <f ca="1">((Table5[[#This Row],[Avg_During]]-Table5[[#This Row],[Avg_Before]])/I65)</f>
        <v>-0.15312855946284692</v>
      </c>
    </row>
    <row r="66" spans="1:11" x14ac:dyDescent="0.3">
      <c r="A66" t="s">
        <v>93</v>
      </c>
      <c r="B66">
        <v>302</v>
      </c>
      <c r="C66">
        <v>47</v>
      </c>
      <c r="D66">
        <v>430</v>
      </c>
      <c r="E66">
        <v>5738</v>
      </c>
      <c r="F66" t="s">
        <v>34</v>
      </c>
      <c r="G66" s="47">
        <f t="shared" si="0"/>
        <v>0.13576158940397351</v>
      </c>
      <c r="H66" t="str">
        <f>IF(AND(A66&gt;=$N$8,A66&lt;=$O$8),"During","Before")</f>
        <v>Before</v>
      </c>
      <c r="I66" s="15">
        <f ca="1">AVERAGEIF(Table5[Period],"Before",Table5[[#This Row],[Engagement_Rate]])</f>
        <v>0.1466485699313986</v>
      </c>
      <c r="J66" s="15">
        <f ca="1">AVERAGEIF(Table5[Period],"During",Table5[[#This Row],[Engagement_Rate]])</f>
        <v>0.11540794599056914</v>
      </c>
      <c r="K66" s="47">
        <f ca="1">((Table5[[#This Row],[Avg_During]]-Table5[[#This Row],[Avg_Before]])/I66)</f>
        <v>-0.21303053930524968</v>
      </c>
    </row>
    <row r="67" spans="1:11" x14ac:dyDescent="0.3">
      <c r="A67" t="s">
        <v>456</v>
      </c>
      <c r="B67">
        <v>3770</v>
      </c>
      <c r="C67">
        <v>917</v>
      </c>
      <c r="D67">
        <v>129</v>
      </c>
      <c r="E67">
        <v>71630</v>
      </c>
      <c r="F67" t="s">
        <v>17</v>
      </c>
      <c r="G67" s="47">
        <f t="shared" si="0"/>
        <v>6.7234398994834563E-2</v>
      </c>
      <c r="H67" t="str">
        <f>IF(AND(A67&gt;=$N$5,A67&lt;=$O$5),"During","Before")</f>
        <v>Before</v>
      </c>
      <c r="I67" s="15">
        <f ca="1">AVERAGEIF(Table5[Period],"Before",Table5[[#This Row],[Engagement_Rate]])</f>
        <v>0.13619036127930487</v>
      </c>
      <c r="J67" s="15">
        <f ca="1">AVERAGEIF(Table5[Period],"During",Table5[[#This Row],[Engagement_Rate]])</f>
        <v>0.11984835572218791</v>
      </c>
      <c r="K67" s="47">
        <f ca="1">((Table5[[#This Row],[Avg_During]]-Table5[[#This Row],[Avg_Before]])/I67)</f>
        <v>-0.11999384834292415</v>
      </c>
    </row>
    <row r="68" spans="1:11" x14ac:dyDescent="0.3">
      <c r="A68" t="s">
        <v>158</v>
      </c>
      <c r="B68">
        <v>4929</v>
      </c>
      <c r="C68">
        <v>749</v>
      </c>
      <c r="D68">
        <v>452</v>
      </c>
      <c r="E68">
        <v>93651</v>
      </c>
      <c r="F68" t="s">
        <v>34</v>
      </c>
      <c r="G68" s="47">
        <f t="shared" si="0"/>
        <v>6.5455787978772245E-2</v>
      </c>
      <c r="H68" t="str">
        <f>IF(AND(A68&gt;=$N$8,A68&lt;=$O$8),"During","Before")</f>
        <v>Before</v>
      </c>
      <c r="I68" s="15">
        <f ca="1">AVERAGEIF(Table5[Period],"Before",Table5[[#This Row],[Engagement_Rate]])</f>
        <v>0.14183793879409518</v>
      </c>
      <c r="J68" s="15">
        <f ca="1">AVERAGEIF(Table5[Period],"During",Table5[[#This Row],[Engagement_Rate]])</f>
        <v>0.11054551264679638</v>
      </c>
      <c r="K68" s="47">
        <f ca="1">((Table5[[#This Row],[Avg_During]]-Table5[[#This Row],[Avg_Before]])/I68)</f>
        <v>-0.22062098768035343</v>
      </c>
    </row>
    <row r="69" spans="1:11" x14ac:dyDescent="0.3">
      <c r="A69" t="s">
        <v>421</v>
      </c>
      <c r="B69">
        <v>4905</v>
      </c>
      <c r="C69">
        <v>845</v>
      </c>
      <c r="D69">
        <v>129</v>
      </c>
      <c r="E69">
        <v>98100</v>
      </c>
      <c r="F69" t="s">
        <v>21</v>
      </c>
      <c r="G69" s="47">
        <f t="shared" ref="G69:G132" si="1">((B69+C69+D69)/E69)</f>
        <v>5.9928644240570844E-2</v>
      </c>
      <c r="H69" t="str">
        <f>IF(AND(A69&gt;=$N$6,A69&lt;=$O$6),"During","Before")</f>
        <v>Before</v>
      </c>
      <c r="I69" s="15">
        <f ca="1">AVERAGEIF(Table5[Period],"Before",Table5[[#This Row],[Engagement_Rate]])</f>
        <v>0.1355150565025536</v>
      </c>
      <c r="J69" s="15">
        <f ca="1">AVERAGEIF(Table5[Period],"During",Table5[[#This Row],[Engagement_Rate]])</f>
        <v>0.16246651004926496</v>
      </c>
      <c r="K69" s="47">
        <f ca="1">((Table5[[#This Row],[Avg_During]]-Table5[[#This Row],[Avg_Before]])/I69)</f>
        <v>0.19888161686449574</v>
      </c>
    </row>
    <row r="70" spans="1:11" x14ac:dyDescent="0.3">
      <c r="A70" t="s">
        <v>162</v>
      </c>
      <c r="B70">
        <v>4606</v>
      </c>
      <c r="C70">
        <v>931</v>
      </c>
      <c r="D70">
        <v>230</v>
      </c>
      <c r="E70">
        <v>92120</v>
      </c>
      <c r="F70" t="s">
        <v>603</v>
      </c>
      <c r="G70" s="47">
        <f t="shared" si="1"/>
        <v>6.2603126356925748E-2</v>
      </c>
      <c r="H70" t="s">
        <v>603</v>
      </c>
      <c r="I70" s="15">
        <f ca="1">AVERAGEIF(Table5[Period],"Before",Table5[[#This Row],[Engagement_Rate]])</f>
        <v>0.14448672718423328</v>
      </c>
      <c r="J70" s="15">
        <f ca="1">AVERAGEIF(Table5[Period],"During",Table5[[#This Row],[Engagement_Rate]])</f>
        <v>0.139560983583283</v>
      </c>
      <c r="K70" s="47">
        <f ca="1">((Table5[[#This Row],[Avg_During]]-Table5[[#This Row],[Avg_Before]])/I70)</f>
        <v>-3.4091322413784875E-2</v>
      </c>
    </row>
    <row r="71" spans="1:11" x14ac:dyDescent="0.3">
      <c r="A71" t="s">
        <v>44</v>
      </c>
      <c r="B71">
        <v>3874</v>
      </c>
      <c r="C71">
        <v>884</v>
      </c>
      <c r="D71">
        <v>19</v>
      </c>
      <c r="E71">
        <v>38740</v>
      </c>
      <c r="F71" t="s">
        <v>21</v>
      </c>
      <c r="G71" s="47">
        <f t="shared" si="1"/>
        <v>0.123309241094476</v>
      </c>
      <c r="H71" t="str">
        <f>IF(AND(A71&gt;=$N$6,A71&lt;=$O$6),"During","Before")</f>
        <v>Before</v>
      </c>
      <c r="I71" s="15">
        <f ca="1">AVERAGEIF(Table5[Period],"Before",Table5[[#This Row],[Engagement_Rate]])</f>
        <v>0.14200604840809658</v>
      </c>
      <c r="J71" s="15">
        <f ca="1">AVERAGEIF(Table5[Period],"During",Table5[[#This Row],[Engagement_Rate]])</f>
        <v>0.10887765439648289</v>
      </c>
      <c r="K71" s="47">
        <f ca="1">((Table5[[#This Row],[Avg_During]]-Table5[[#This Row],[Avg_Before]])/I71)</f>
        <v>-0.23328861258366548</v>
      </c>
    </row>
    <row r="72" spans="1:11" x14ac:dyDescent="0.3">
      <c r="A72" t="s">
        <v>177</v>
      </c>
      <c r="B72">
        <v>1575</v>
      </c>
      <c r="C72">
        <v>771</v>
      </c>
      <c r="D72">
        <v>486</v>
      </c>
      <c r="E72">
        <v>25200</v>
      </c>
      <c r="F72" t="s">
        <v>34</v>
      </c>
      <c r="G72" s="47">
        <f t="shared" si="1"/>
        <v>0.11238095238095239</v>
      </c>
      <c r="H72" t="str">
        <f>IF(AND(A72&gt;=$N$8,A72&lt;=$O$8),"During","Before")</f>
        <v>During</v>
      </c>
      <c r="I72" s="15">
        <f ca="1">AVERAGEIF(Table5[Period],"Before",Table5[[#This Row],[Engagement_Rate]])</f>
        <v>0.13936950292852368</v>
      </c>
      <c r="J72" s="15">
        <f ca="1">AVERAGEIF(Table5[Period],"During",Table5[[#This Row],[Engagement_Rate]])</f>
        <v>0.13926971121602091</v>
      </c>
      <c r="K72" s="47">
        <f ca="1">((Table5[[#This Row],[Avg_During]]-Table5[[#This Row],[Avg_Before]])/I72)</f>
        <v>-7.160225903506711E-4</v>
      </c>
    </row>
    <row r="73" spans="1:11" x14ac:dyDescent="0.3">
      <c r="A73" t="s">
        <v>281</v>
      </c>
      <c r="B73">
        <v>142</v>
      </c>
      <c r="C73">
        <v>784</v>
      </c>
      <c r="D73">
        <v>183</v>
      </c>
      <c r="E73">
        <v>1704</v>
      </c>
      <c r="F73" t="s">
        <v>34</v>
      </c>
      <c r="G73" s="47">
        <f t="shared" si="1"/>
        <v>0.6508215962441315</v>
      </c>
      <c r="H73" t="str">
        <f>IF(AND(A73&gt;=$N$8,A73&lt;=$O$8),"During","Before")</f>
        <v>Before</v>
      </c>
      <c r="I73" s="15">
        <f ca="1">AVERAGEIF(Table5[Period],"Before",Table5[[#This Row],[Engagement_Rate]])</f>
        <v>0.1385063292178077</v>
      </c>
      <c r="J73" s="15">
        <f ca="1">AVERAGEIF(Table5[Period],"During",Table5[[#This Row],[Engagement_Rate]])</f>
        <v>0.1560960934047711</v>
      </c>
      <c r="K73" s="47">
        <f ca="1">((Table5[[#This Row],[Avg_During]]-Table5[[#This Row],[Avg_Before]])/I73)</f>
        <v>0.1269961039780548</v>
      </c>
    </row>
    <row r="74" spans="1:11" x14ac:dyDescent="0.3">
      <c r="A74" t="s">
        <v>398</v>
      </c>
      <c r="B74">
        <v>3535</v>
      </c>
      <c r="C74">
        <v>494</v>
      </c>
      <c r="D74">
        <v>152</v>
      </c>
      <c r="E74">
        <v>53025</v>
      </c>
      <c r="F74" t="s">
        <v>34</v>
      </c>
      <c r="G74" s="47">
        <f t="shared" si="1"/>
        <v>7.8849599245638849E-2</v>
      </c>
      <c r="H74" t="str">
        <f>IF(AND(A74&gt;=$N$8,A74&lt;=$O$8),"During","Before")</f>
        <v>Before</v>
      </c>
      <c r="I74" s="15">
        <f ca="1">AVERAGEIF(Table5[Period],"Before",Table5[[#This Row],[Engagement_Rate]])</f>
        <v>0.13732135349581057</v>
      </c>
      <c r="J74" s="15">
        <f ca="1">AVERAGEIF(Table5[Period],"During",Table5[[#This Row],[Engagement_Rate]])</f>
        <v>0.14164632872309776</v>
      </c>
      <c r="K74" s="47">
        <f ca="1">((Table5[[#This Row],[Avg_During]]-Table5[[#This Row],[Avg_Before]])/I74)</f>
        <v>3.1495285454050996E-2</v>
      </c>
    </row>
    <row r="75" spans="1:11" x14ac:dyDescent="0.3">
      <c r="A75" t="s">
        <v>97</v>
      </c>
      <c r="B75">
        <v>4419</v>
      </c>
      <c r="C75">
        <v>236</v>
      </c>
      <c r="D75">
        <v>369</v>
      </c>
      <c r="E75">
        <v>44190</v>
      </c>
      <c r="F75" t="s">
        <v>17</v>
      </c>
      <c r="G75" s="47">
        <f t="shared" si="1"/>
        <v>0.11369088028965829</v>
      </c>
      <c r="H75" t="str">
        <f>IF(AND(A75&gt;=$N$5,A75&lt;=$O$5),"During","Before")</f>
        <v>Before</v>
      </c>
      <c r="I75" s="15">
        <f ca="1">AVERAGEIF(Table5[Period],"Before",Table5[[#This Row],[Engagement_Rate]])</f>
        <v>0.13116498843708535</v>
      </c>
      <c r="J75" s="15">
        <f ca="1">AVERAGEIF(Table5[Period],"During",Table5[[#This Row],[Engagement_Rate]])</f>
        <v>0.18953815262977747</v>
      </c>
      <c r="K75" s="47">
        <f ca="1">((Table5[[#This Row],[Avg_During]]-Table5[[#This Row],[Avg_Before]])/I75)</f>
        <v>0.44503617076664792</v>
      </c>
    </row>
    <row r="76" spans="1:11" x14ac:dyDescent="0.3">
      <c r="A76" t="s">
        <v>117</v>
      </c>
      <c r="B76">
        <v>4518</v>
      </c>
      <c r="C76">
        <v>285</v>
      </c>
      <c r="D76">
        <v>383</v>
      </c>
      <c r="E76">
        <v>67770</v>
      </c>
      <c r="F76" t="s">
        <v>21</v>
      </c>
      <c r="G76" s="47">
        <f t="shared" si="1"/>
        <v>7.6523535487678915E-2</v>
      </c>
      <c r="H76" t="str">
        <f>IF(AND(A76&gt;=$N$6,A76&lt;=$O$6),"During","Before")</f>
        <v>Before</v>
      </c>
      <c r="I76" s="15">
        <f ca="1">AVERAGEIF(Table5[Period],"Before",Table5[[#This Row],[Engagement_Rate]])</f>
        <v>0.13885329082763245</v>
      </c>
      <c r="J76" s="15">
        <f ca="1">AVERAGEIF(Table5[Period],"During",Table5[[#This Row],[Engagement_Rate]])</f>
        <v>0.16541282893767525</v>
      </c>
      <c r="K76" s="47">
        <f ca="1">((Table5[[#This Row],[Avg_During]]-Table5[[#This Row],[Avg_Before]])/I76)</f>
        <v>0.19127770002234135</v>
      </c>
    </row>
    <row r="77" spans="1:11" x14ac:dyDescent="0.3">
      <c r="A77" t="s">
        <v>225</v>
      </c>
      <c r="B77">
        <v>2647</v>
      </c>
      <c r="C77">
        <v>304</v>
      </c>
      <c r="D77">
        <v>170</v>
      </c>
      <c r="E77">
        <v>18529</v>
      </c>
      <c r="F77" t="s">
        <v>27</v>
      </c>
      <c r="G77" s="47">
        <f t="shared" si="1"/>
        <v>0.16843866371633656</v>
      </c>
      <c r="H77" t="str">
        <f>IF(AND(A77&gt;=$N$7,A77&lt;=$O$7),"During","Before")</f>
        <v>Before</v>
      </c>
      <c r="I77" s="15">
        <f ca="1">AVERAGEIF(Table5[Period],"Before",Table5[[#This Row],[Engagement_Rate]])</f>
        <v>0.14082434317232786</v>
      </c>
      <c r="J77" s="15">
        <f ca="1">AVERAGEIF(Table5[Period],"During",Table5[[#This Row],[Engagement_Rate]])</f>
        <v>0.10624083361779491</v>
      </c>
      <c r="K77" s="47">
        <f ca="1">((Table5[[#This Row],[Avg_During]]-Table5[[#This Row],[Avg_Before]])/I77)</f>
        <v>-0.24557905810512351</v>
      </c>
    </row>
    <row r="78" spans="1:11" x14ac:dyDescent="0.3">
      <c r="A78" t="s">
        <v>356</v>
      </c>
      <c r="B78">
        <v>4750</v>
      </c>
      <c r="C78">
        <v>151</v>
      </c>
      <c r="D78">
        <v>415</v>
      </c>
      <c r="E78">
        <v>38000</v>
      </c>
      <c r="F78" t="s">
        <v>34</v>
      </c>
      <c r="G78" s="47">
        <f t="shared" si="1"/>
        <v>0.13989473684210527</v>
      </c>
      <c r="H78" t="str">
        <f>IF(AND(A78&gt;=$N$8,A78&lt;=$O$8),"During","Before")</f>
        <v>Before</v>
      </c>
      <c r="I78" s="15">
        <f ca="1">AVERAGEIF(Table5[Period],"Before",Table5[[#This Row],[Engagement_Rate]])</f>
        <v>0.13498635015400751</v>
      </c>
      <c r="J78" s="15">
        <f ca="1">AVERAGEIF(Table5[Period],"During",Table5[[#This Row],[Engagement_Rate]])</f>
        <v>0.17700895342045508</v>
      </c>
      <c r="K78" s="47">
        <f ca="1">((Table5[[#This Row],[Avg_During]]-Table5[[#This Row],[Avg_Before]])/I78)</f>
        <v>0.3113100192612327</v>
      </c>
    </row>
    <row r="79" spans="1:11" x14ac:dyDescent="0.3">
      <c r="A79" t="s">
        <v>525</v>
      </c>
      <c r="B79">
        <v>1878</v>
      </c>
      <c r="C79">
        <v>62</v>
      </c>
      <c r="D79">
        <v>179</v>
      </c>
      <c r="E79">
        <v>37560</v>
      </c>
      <c r="F79" t="s">
        <v>34</v>
      </c>
      <c r="G79" s="47">
        <f t="shared" si="1"/>
        <v>5.6416400425985093E-2</v>
      </c>
      <c r="H79" t="str">
        <f>IF(AND(A79&gt;=$N$8,A79&lt;=$O$8),"During","Before")</f>
        <v>Before</v>
      </c>
      <c r="I79" s="15">
        <f ca="1">AVERAGEIF(Table5[Period],"Before",Table5[[#This Row],[Engagement_Rate]])</f>
        <v>0.143388341024456</v>
      </c>
      <c r="J79" s="15">
        <f ca="1">AVERAGEIF(Table5[Period],"During",Table5[[#This Row],[Engagement_Rate]])</f>
        <v>9.3185175600197345E-2</v>
      </c>
      <c r="K79" s="47">
        <f ca="1">((Table5[[#This Row],[Avg_During]]-Table5[[#This Row],[Avg_Before]])/I79)</f>
        <v>-0.35012027523002104</v>
      </c>
    </row>
    <row r="80" spans="1:11" x14ac:dyDescent="0.3">
      <c r="A80" t="s">
        <v>184</v>
      </c>
      <c r="B80">
        <v>2107</v>
      </c>
      <c r="C80">
        <v>550</v>
      </c>
      <c r="D80">
        <v>349</v>
      </c>
      <c r="E80">
        <v>35819</v>
      </c>
      <c r="F80" t="s">
        <v>34</v>
      </c>
      <c r="G80" s="47">
        <f t="shared" si="1"/>
        <v>8.3921940869371006E-2</v>
      </c>
      <c r="H80" t="str">
        <f>IF(AND(A80&gt;=$N$8,A80&lt;=$O$8),"During","Before")</f>
        <v>Before</v>
      </c>
      <c r="I80" s="15">
        <f ca="1">AVERAGEIF(Table5[Period],"Before",Table5[[#This Row],[Engagement_Rate]])</f>
        <v>0.13230641467628362</v>
      </c>
      <c r="J80" s="15">
        <f ca="1">AVERAGEIF(Table5[Period],"During",Table5[[#This Row],[Engagement_Rate]])</f>
        <v>0.14363239740562464</v>
      </c>
      <c r="K80" s="47">
        <f ca="1">((Table5[[#This Row],[Avg_During]]-Table5[[#This Row],[Avg_Before]])/I80)</f>
        <v>8.5604184476259088E-2</v>
      </c>
    </row>
    <row r="81" spans="1:11" x14ac:dyDescent="0.3">
      <c r="A81" t="s">
        <v>19</v>
      </c>
      <c r="B81">
        <v>1164</v>
      </c>
      <c r="C81">
        <v>616</v>
      </c>
      <c r="D81">
        <v>324</v>
      </c>
      <c r="E81">
        <v>6984</v>
      </c>
      <c r="F81" t="s">
        <v>17</v>
      </c>
      <c r="G81" s="47">
        <f t="shared" si="1"/>
        <v>0.30126002290950743</v>
      </c>
      <c r="H81" t="str">
        <f>IF(AND(A81&gt;=$N$5,A81&lt;=$O$5),"During","Before")</f>
        <v>Before</v>
      </c>
      <c r="I81" s="15">
        <f ca="1">AVERAGEIF(Table5[Period],"Before",Table5[[#This Row],[Engagement_Rate]])</f>
        <v>0.14049402941652736</v>
      </c>
      <c r="J81" s="15">
        <f ca="1">AVERAGEIF(Table5[Period],"During",Table5[[#This Row],[Engagement_Rate]])</f>
        <v>0.10846000741043552</v>
      </c>
      <c r="K81" s="47">
        <f ca="1">((Table5[[#This Row],[Avg_During]]-Table5[[#This Row],[Avg_Before]])/I81)</f>
        <v>-0.2280098459637705</v>
      </c>
    </row>
    <row r="82" spans="1:11" x14ac:dyDescent="0.3">
      <c r="A82" t="s">
        <v>147</v>
      </c>
      <c r="B82">
        <v>3099</v>
      </c>
      <c r="C82">
        <v>694</v>
      </c>
      <c r="D82">
        <v>171</v>
      </c>
      <c r="E82">
        <v>43386</v>
      </c>
      <c r="F82" t="s">
        <v>27</v>
      </c>
      <c r="G82" s="47">
        <f t="shared" si="1"/>
        <v>9.1365878393951966E-2</v>
      </c>
      <c r="H82" t="str">
        <f>IF(AND(A82&gt;=$N$7,A82&lt;=$O$7),"During","Before")</f>
        <v>Before</v>
      </c>
      <c r="I82" s="15">
        <f ca="1">AVERAGEIF(Table5[Period],"Before",Table5[[#This Row],[Engagement_Rate]])</f>
        <v>0.138646796016104</v>
      </c>
      <c r="J82" s="15">
        <f ca="1">AVERAGEIF(Table5[Period],"During",Table5[[#This Row],[Engagement_Rate]])</f>
        <v>0.11069212858691957</v>
      </c>
      <c r="K82" s="47">
        <f ca="1">((Table5[[#This Row],[Avg_During]]-Table5[[#This Row],[Avg_Before]])/I82)</f>
        <v>-0.20162505180384738</v>
      </c>
    </row>
    <row r="83" spans="1:11" x14ac:dyDescent="0.3">
      <c r="A83" t="s">
        <v>89</v>
      </c>
      <c r="B83">
        <v>1570</v>
      </c>
      <c r="C83">
        <v>187</v>
      </c>
      <c r="D83">
        <v>260</v>
      </c>
      <c r="E83">
        <v>25120</v>
      </c>
      <c r="F83" t="s">
        <v>34</v>
      </c>
      <c r="G83" s="47">
        <f t="shared" si="1"/>
        <v>8.0294585987261149E-2</v>
      </c>
      <c r="H83" t="str">
        <f>IF(AND(A83&gt;=$N$8,A83&lt;=$O$8),"During","Before")</f>
        <v>Before</v>
      </c>
      <c r="I83" s="15">
        <f ca="1">AVERAGEIF(Table5[Period],"Before",Table5[[#This Row],[Engagement_Rate]])</f>
        <v>0.14025491697129189</v>
      </c>
      <c r="J83" s="15">
        <f ca="1">AVERAGEIF(Table5[Period],"During",Table5[[#This Row],[Engagement_Rate]])</f>
        <v>0.12473929943175469</v>
      </c>
      <c r="K83" s="47">
        <f ca="1">((Table5[[#This Row],[Avg_During]]-Table5[[#This Row],[Avg_Before]])/I83)</f>
        <v>-0.1106244107129094</v>
      </c>
    </row>
    <row r="84" spans="1:11" x14ac:dyDescent="0.3">
      <c r="A84" t="s">
        <v>477</v>
      </c>
      <c r="B84">
        <v>296</v>
      </c>
      <c r="C84">
        <v>60</v>
      </c>
      <c r="D84">
        <v>141</v>
      </c>
      <c r="E84">
        <v>5624</v>
      </c>
      <c r="F84" t="s">
        <v>21</v>
      </c>
      <c r="G84" s="47">
        <f t="shared" si="1"/>
        <v>8.837126600284495E-2</v>
      </c>
      <c r="H84" t="str">
        <f>IF(AND(A84&gt;=$N$6,A84&lt;=$O$6),"During","Before")</f>
        <v>Before</v>
      </c>
      <c r="I84" s="15">
        <f ca="1">AVERAGEIF(Table5[Period],"Before",Table5[[#This Row],[Engagement_Rate]])</f>
        <v>0.14018313132622706</v>
      </c>
      <c r="J84" s="15">
        <f ca="1">AVERAGEIF(Table5[Period],"During",Table5[[#This Row],[Engagement_Rate]])</f>
        <v>0.14131659691009932</v>
      </c>
      <c r="K84" s="47">
        <f ca="1">((Table5[[#This Row],[Avg_During]]-Table5[[#This Row],[Avg_Before]])/I84)</f>
        <v>8.0856061150076097E-3</v>
      </c>
    </row>
    <row r="85" spans="1:11" x14ac:dyDescent="0.3">
      <c r="A85" t="s">
        <v>36</v>
      </c>
      <c r="B85">
        <v>4453</v>
      </c>
      <c r="C85">
        <v>111</v>
      </c>
      <c r="D85">
        <v>420</v>
      </c>
      <c r="E85">
        <v>31171</v>
      </c>
      <c r="F85" t="s">
        <v>603</v>
      </c>
      <c r="G85" s="47">
        <f t="shared" si="1"/>
        <v>0.15989220750056141</v>
      </c>
      <c r="H85" t="s">
        <v>603</v>
      </c>
      <c r="I85" s="15">
        <f ca="1">AVERAGEIF(Table5[Period],"Before",Table5[[#This Row],[Engagement_Rate]])</f>
        <v>0.13613215738639889</v>
      </c>
      <c r="J85" s="15">
        <f ca="1">AVERAGEIF(Table5[Period],"During",Table5[[#This Row],[Engagement_Rate]])</f>
        <v>0.12386886343516798</v>
      </c>
      <c r="K85" s="47">
        <f ca="1">((Table5[[#This Row],[Avg_During]]-Table5[[#This Row],[Avg_Before]])/I85)</f>
        <v>-9.0083740584692637E-2</v>
      </c>
    </row>
    <row r="86" spans="1:11" x14ac:dyDescent="0.3">
      <c r="A86" t="s">
        <v>240</v>
      </c>
      <c r="B86">
        <v>3367</v>
      </c>
      <c r="C86">
        <v>302</v>
      </c>
      <c r="D86">
        <v>57</v>
      </c>
      <c r="E86">
        <v>63973</v>
      </c>
      <c r="F86" t="s">
        <v>21</v>
      </c>
      <c r="G86" s="47">
        <f t="shared" si="1"/>
        <v>5.8243321401216137E-2</v>
      </c>
      <c r="H86" t="str">
        <f>IF(AND(A86&gt;=$N$6,A86&lt;=$O$6),"During","Before")</f>
        <v>Before</v>
      </c>
      <c r="I86" s="15">
        <f ca="1">AVERAGEIF(Table5[Period],"Before",Table5[[#This Row],[Engagement_Rate]])</f>
        <v>0.14476179235243478</v>
      </c>
      <c r="J86" s="15">
        <f ca="1">AVERAGEIF(Table5[Period],"During",Table5[[#This Row],[Engagement_Rate]])</f>
        <v>0.14748133941958672</v>
      </c>
      <c r="K86" s="47">
        <f ca="1">((Table5[[#This Row],[Avg_During]]-Table5[[#This Row],[Avg_Before]])/I86)</f>
        <v>1.878635945962159E-2</v>
      </c>
    </row>
    <row r="87" spans="1:11" x14ac:dyDescent="0.3">
      <c r="A87" t="s">
        <v>387</v>
      </c>
      <c r="B87">
        <v>4303</v>
      </c>
      <c r="C87">
        <v>451</v>
      </c>
      <c r="D87">
        <v>286</v>
      </c>
      <c r="E87">
        <v>86060</v>
      </c>
      <c r="F87" t="s">
        <v>27</v>
      </c>
      <c r="G87" s="47">
        <f t="shared" si="1"/>
        <v>5.8563792702765516E-2</v>
      </c>
      <c r="H87" t="str">
        <f>IF(AND(A87&gt;=$N$7,A87&lt;=$O$7),"During","Before")</f>
        <v>Before</v>
      </c>
      <c r="I87" s="15">
        <f ca="1">AVERAGEIF(Table5[Period],"Before",Table5[[#This Row],[Engagement_Rate]])</f>
        <v>0.1404216170809047</v>
      </c>
      <c r="J87" s="15">
        <f ca="1">AVERAGEIF(Table5[Period],"During",Table5[[#This Row],[Engagement_Rate]])</f>
        <v>0.16065370152783898</v>
      </c>
      <c r="K87" s="47">
        <f ca="1">((Table5[[#This Row],[Avg_During]]-Table5[[#This Row],[Avg_Before]])/I87)</f>
        <v>0.1440809817428427</v>
      </c>
    </row>
    <row r="88" spans="1:11" x14ac:dyDescent="0.3">
      <c r="A88" t="s">
        <v>102</v>
      </c>
      <c r="B88">
        <v>3428</v>
      </c>
      <c r="C88">
        <v>305</v>
      </c>
      <c r="D88">
        <v>85</v>
      </c>
      <c r="E88">
        <v>58276</v>
      </c>
      <c r="F88" t="s">
        <v>34</v>
      </c>
      <c r="G88" s="47">
        <f t="shared" si="1"/>
        <v>6.5515821264328367E-2</v>
      </c>
      <c r="H88" t="str">
        <f>IF(AND(A88&gt;=$N$8,A88&lt;=$O$8),"During","Before")</f>
        <v>Before</v>
      </c>
      <c r="I88" s="15">
        <f ca="1">AVERAGEIF(Table5[Period],"Before",Table5[[#This Row],[Engagement_Rate]])</f>
        <v>0.14240476667480076</v>
      </c>
      <c r="J88" s="15">
        <f ca="1">AVERAGEIF(Table5[Period],"During",Table5[[#This Row],[Engagement_Rate]])</f>
        <v>0.13482987203952709</v>
      </c>
      <c r="K88" s="47">
        <f ca="1">((Table5[[#This Row],[Avg_During]]-Table5[[#This Row],[Avg_Before]])/I88)</f>
        <v>-5.3192704234205114E-2</v>
      </c>
    </row>
    <row r="89" spans="1:11" x14ac:dyDescent="0.3">
      <c r="A89" t="s">
        <v>186</v>
      </c>
      <c r="B89">
        <v>4872</v>
      </c>
      <c r="C89">
        <v>925</v>
      </c>
      <c r="D89">
        <v>176</v>
      </c>
      <c r="E89">
        <v>82824</v>
      </c>
      <c r="F89" t="s">
        <v>21</v>
      </c>
      <c r="G89" s="47">
        <f t="shared" si="1"/>
        <v>7.2116777745580993E-2</v>
      </c>
      <c r="H89" t="str">
        <f>IF(AND(A89&gt;=$N$6,A89&lt;=$O$6),"During","Before")</f>
        <v>Before</v>
      </c>
      <c r="I89" s="15">
        <f ca="1">AVERAGEIF(Table5[Period],"Before",Table5[[#This Row],[Engagement_Rate]])</f>
        <v>0.14150779665412383</v>
      </c>
      <c r="J89" s="15">
        <f ca="1">AVERAGEIF(Table5[Period],"During",Table5[[#This Row],[Engagement_Rate]])</f>
        <v>0.16116296310349851</v>
      </c>
      <c r="K89" s="47">
        <f ca="1">((Table5[[#This Row],[Avg_During]]-Table5[[#This Row],[Avg_Before]])/I89)</f>
        <v>0.13889811666996857</v>
      </c>
    </row>
    <row r="90" spans="1:11" x14ac:dyDescent="0.3">
      <c r="A90" t="s">
        <v>270</v>
      </c>
      <c r="B90">
        <v>4671</v>
      </c>
      <c r="C90">
        <v>876</v>
      </c>
      <c r="D90">
        <v>366</v>
      </c>
      <c r="E90">
        <v>51381</v>
      </c>
      <c r="F90" t="s">
        <v>34</v>
      </c>
      <c r="G90" s="47">
        <f t="shared" si="1"/>
        <v>0.11508145034156594</v>
      </c>
      <c r="H90" t="str">
        <f>IF(AND(A90&gt;=$N$8,A90&lt;=$O$8),"During","Before")</f>
        <v>Before</v>
      </c>
      <c r="I90" s="15">
        <f ca="1">AVERAGEIF(Table5[Period],"Before",Table5[[#This Row],[Engagement_Rate]])</f>
        <v>0.13648043687588943</v>
      </c>
      <c r="J90" s="15">
        <f ca="1">AVERAGEIF(Table5[Period],"During",Table5[[#This Row],[Engagement_Rate]])</f>
        <v>0.12894071252403239</v>
      </c>
      <c r="K90" s="47">
        <f ca="1">((Table5[[#This Row],[Avg_During]]-Table5[[#This Row],[Avg_Before]])/I90)</f>
        <v>-5.5243993384292908E-2</v>
      </c>
    </row>
    <row r="91" spans="1:11" x14ac:dyDescent="0.3">
      <c r="A91" t="s">
        <v>472</v>
      </c>
      <c r="B91">
        <v>2283</v>
      </c>
      <c r="C91">
        <v>210</v>
      </c>
      <c r="D91">
        <v>130</v>
      </c>
      <c r="E91">
        <v>22830</v>
      </c>
      <c r="F91" t="s">
        <v>21</v>
      </c>
      <c r="G91" s="47">
        <f t="shared" si="1"/>
        <v>0.11489268506351293</v>
      </c>
      <c r="H91" t="str">
        <f>IF(AND(A91&gt;=$N$6,A91&lt;=$O$6),"During","Before")</f>
        <v>Before</v>
      </c>
      <c r="I91" s="15">
        <f ca="1">AVERAGEIF(Table5[Period],"Before",Table5[[#This Row],[Engagement_Rate]])</f>
        <v>0.14409877497624612</v>
      </c>
      <c r="J91" s="15">
        <f ca="1">AVERAGEIF(Table5[Period],"During",Table5[[#This Row],[Engagement_Rate]])</f>
        <v>0.14059706852391532</v>
      </c>
      <c r="K91" s="47">
        <f ca="1">((Table5[[#This Row],[Avg_During]]-Table5[[#This Row],[Avg_Before]])/I91)</f>
        <v>-2.4300737136093223E-2</v>
      </c>
    </row>
    <row r="92" spans="1:11" x14ac:dyDescent="0.3">
      <c r="A92" t="s">
        <v>437</v>
      </c>
      <c r="B92">
        <v>1869</v>
      </c>
      <c r="C92">
        <v>453</v>
      </c>
      <c r="D92">
        <v>490</v>
      </c>
      <c r="E92">
        <v>14952</v>
      </c>
      <c r="F92" t="s">
        <v>34</v>
      </c>
      <c r="G92" s="47">
        <f t="shared" si="1"/>
        <v>0.18806848582129482</v>
      </c>
      <c r="H92" t="str">
        <f>IF(AND(A92&gt;=$N$8,A92&lt;=$O$8),"During","Before")</f>
        <v>Before</v>
      </c>
      <c r="I92" s="15">
        <f ca="1">AVERAGEIF(Table5[Period],"Before",Table5[[#This Row],[Engagement_Rate]])</f>
        <v>0.14083422072363033</v>
      </c>
      <c r="J92" s="15">
        <f ca="1">AVERAGEIF(Table5[Period],"During",Table5[[#This Row],[Engagement_Rate]])</f>
        <v>8.6704344435094116E-2</v>
      </c>
      <c r="K92" s="47">
        <f ca="1">((Table5[[#This Row],[Avg_During]]-Table5[[#This Row],[Avg_Before]])/I92)</f>
        <v>-0.3843517293624209</v>
      </c>
    </row>
    <row r="93" spans="1:11" x14ac:dyDescent="0.3">
      <c r="A93" t="s">
        <v>133</v>
      </c>
      <c r="B93">
        <v>2825</v>
      </c>
      <c r="C93">
        <v>535</v>
      </c>
      <c r="D93">
        <v>295</v>
      </c>
      <c r="E93">
        <v>45200</v>
      </c>
      <c r="F93" t="s">
        <v>17</v>
      </c>
      <c r="G93" s="47">
        <f t="shared" si="1"/>
        <v>8.0862831858407078E-2</v>
      </c>
      <c r="H93" t="str">
        <f>IF(AND(A93&gt;=$N$5,A93&lt;=$O$5),"During","Before")</f>
        <v>Before</v>
      </c>
      <c r="I93" s="15">
        <f ca="1">AVERAGEIF(Table5[Period],"Before",Table5[[#This Row],[Engagement_Rate]])</f>
        <v>0.13597776002181031</v>
      </c>
      <c r="J93" s="15">
        <f ca="1">AVERAGEIF(Table5[Period],"During",Table5[[#This Row],[Engagement_Rate]])</f>
        <v>0.14639839366927113</v>
      </c>
      <c r="K93" s="47">
        <f ca="1">((Table5[[#This Row],[Avg_During]]-Table5[[#This Row],[Avg_Before]])/I93)</f>
        <v>7.6634838269062464E-2</v>
      </c>
    </row>
    <row r="94" spans="1:11" x14ac:dyDescent="0.3">
      <c r="A94" t="s">
        <v>113</v>
      </c>
      <c r="B94">
        <v>1377</v>
      </c>
      <c r="C94">
        <v>796</v>
      </c>
      <c r="D94">
        <v>387</v>
      </c>
      <c r="E94">
        <v>22032</v>
      </c>
      <c r="F94" t="s">
        <v>603</v>
      </c>
      <c r="G94" s="47">
        <f t="shared" si="1"/>
        <v>0.11619462599854757</v>
      </c>
      <c r="H94" t="s">
        <v>603</v>
      </c>
      <c r="I94" s="15">
        <f ca="1">AVERAGEIF(Table5[Period],"Before",Table5[[#This Row],[Engagement_Rate]])</f>
        <v>0.13873772167049953</v>
      </c>
      <c r="J94" s="15">
        <f ca="1">AVERAGEIF(Table5[Period],"During",Table5[[#This Row],[Engagement_Rate]])</f>
        <v>0.15255852875957554</v>
      </c>
      <c r="K94" s="47">
        <f ca="1">((Table5[[#This Row],[Avg_During]]-Table5[[#This Row],[Avg_Before]])/I94)</f>
        <v>9.9618235925051951E-2</v>
      </c>
    </row>
    <row r="95" spans="1:11" x14ac:dyDescent="0.3">
      <c r="A95" t="s">
        <v>59</v>
      </c>
      <c r="B95">
        <v>4663</v>
      </c>
      <c r="C95">
        <v>145</v>
      </c>
      <c r="D95">
        <v>225</v>
      </c>
      <c r="E95">
        <v>69945</v>
      </c>
      <c r="F95" t="s">
        <v>34</v>
      </c>
      <c r="G95" s="47">
        <f t="shared" si="1"/>
        <v>7.1956537279290869E-2</v>
      </c>
      <c r="H95" t="str">
        <f>IF(AND(A95&gt;=$N$8,A95&lt;=$O$8),"During","Before")</f>
        <v>Before</v>
      </c>
      <c r="I95" s="15">
        <f ca="1">AVERAGEIF(Table5[Period],"Before",Table5[[#This Row],[Engagement_Rate]])</f>
        <v>0.14105952363764218</v>
      </c>
      <c r="J95" s="15">
        <f ca="1">AVERAGEIF(Table5[Period],"During",Table5[[#This Row],[Engagement_Rate]])</f>
        <v>0.13908880080680197</v>
      </c>
      <c r="K95" s="47">
        <f ca="1">((Table5[[#This Row],[Avg_During]]-Table5[[#This Row],[Avg_Before]])/I95)</f>
        <v>-1.397085981874333E-2</v>
      </c>
    </row>
    <row r="96" spans="1:11" x14ac:dyDescent="0.3">
      <c r="A96" t="s">
        <v>56</v>
      </c>
      <c r="B96">
        <v>4689</v>
      </c>
      <c r="C96">
        <v>134</v>
      </c>
      <c r="D96">
        <v>403</v>
      </c>
      <c r="E96">
        <v>51579</v>
      </c>
      <c r="F96" t="s">
        <v>34</v>
      </c>
      <c r="G96" s="47">
        <f t="shared" si="1"/>
        <v>0.10132030477519921</v>
      </c>
      <c r="H96" t="str">
        <f>IF(AND(A96&gt;=$N$8,A96&lt;=$O$8),"During","Before")</f>
        <v>Before</v>
      </c>
      <c r="I96" s="15">
        <f ca="1">AVERAGEIF(Table5[Period],"Before",Table5[[#This Row],[Engagement_Rate]])</f>
        <v>0.14292679920256687</v>
      </c>
      <c r="J96" s="15">
        <f ca="1">AVERAGEIF(Table5[Period],"During",Table5[[#This Row],[Engagement_Rate]])</f>
        <v>0.11835893687139909</v>
      </c>
      <c r="K96" s="47">
        <f ca="1">((Table5[[#This Row],[Avg_During]]-Table5[[#This Row],[Avg_Before]])/I96)</f>
        <v>-0.17189122311728477</v>
      </c>
    </row>
    <row r="97" spans="1:11" x14ac:dyDescent="0.3">
      <c r="A97" t="s">
        <v>322</v>
      </c>
      <c r="B97">
        <v>3774</v>
      </c>
      <c r="C97">
        <v>239</v>
      </c>
      <c r="D97">
        <v>39</v>
      </c>
      <c r="E97">
        <v>60384</v>
      </c>
      <c r="F97" t="s">
        <v>27</v>
      </c>
      <c r="G97" s="47">
        <f t="shared" si="1"/>
        <v>6.7103868574456813E-2</v>
      </c>
      <c r="H97" t="str">
        <f>IF(AND(A97&gt;=$N$7,A97&lt;=$O$7),"During","Before")</f>
        <v>During</v>
      </c>
      <c r="I97" s="15">
        <f ca="1">AVERAGEIF(Table5[Period],"Before",Table5[[#This Row],[Engagement_Rate]])</f>
        <v>0.13781043047349587</v>
      </c>
      <c r="J97" s="15">
        <f ca="1">AVERAGEIF(Table5[Period],"During",Table5[[#This Row],[Engagement_Rate]])</f>
        <v>0.17259737912516637</v>
      </c>
      <c r="K97" s="47">
        <f ca="1">((Table5[[#This Row],[Avg_During]]-Table5[[#This Row],[Avg_Before]])/I97)</f>
        <v>0.2524260938170485</v>
      </c>
    </row>
    <row r="98" spans="1:11" x14ac:dyDescent="0.3">
      <c r="A98" t="s">
        <v>242</v>
      </c>
      <c r="B98">
        <v>4441</v>
      </c>
      <c r="C98">
        <v>511</v>
      </c>
      <c r="D98">
        <v>70</v>
      </c>
      <c r="E98">
        <v>53292</v>
      </c>
      <c r="F98" t="s">
        <v>34</v>
      </c>
      <c r="G98" s="47">
        <f t="shared" si="1"/>
        <v>9.4235532537716729E-2</v>
      </c>
      <c r="H98" t="str">
        <f>IF(AND(A98&gt;=$N$8,A98&lt;=$O$8),"During","Before")</f>
        <v>Before</v>
      </c>
      <c r="I98" s="15">
        <f ca="1">AVERAGEIF(Table5[Period],"Before",Table5[[#This Row],[Engagement_Rate]])</f>
        <v>0.13801576396401663</v>
      </c>
      <c r="J98" s="15">
        <f ca="1">AVERAGEIF(Table5[Period],"During",Table5[[#This Row],[Engagement_Rate]])</f>
        <v>0.19170438345201621</v>
      </c>
      <c r="K98" s="47">
        <f ca="1">((Table5[[#This Row],[Avg_During]]-Table5[[#This Row],[Avg_Before]])/I98)</f>
        <v>0.38900353079954864</v>
      </c>
    </row>
    <row r="99" spans="1:11" x14ac:dyDescent="0.3">
      <c r="A99" t="s">
        <v>95</v>
      </c>
      <c r="B99">
        <v>3663</v>
      </c>
      <c r="C99">
        <v>17</v>
      </c>
      <c r="D99">
        <v>295</v>
      </c>
      <c r="E99">
        <v>51282</v>
      </c>
      <c r="F99" t="s">
        <v>27</v>
      </c>
      <c r="G99" s="47">
        <f t="shared" si="1"/>
        <v>7.7512577512577507E-2</v>
      </c>
      <c r="H99" t="str">
        <f>IF(AND(A99&gt;=$N$7,A99&lt;=$O$7),"During","Before")</f>
        <v>Before</v>
      </c>
      <c r="I99" s="15">
        <f ca="1">AVERAGEIF(Table5[Period],"Before",Table5[[#This Row],[Engagement_Rate]])</f>
        <v>0.14105542935694093</v>
      </c>
      <c r="J99" s="15">
        <f ca="1">AVERAGEIF(Table5[Period],"During",Table5[[#This Row],[Engagement_Rate]])</f>
        <v>0.11007875991080103</v>
      </c>
      <c r="K99" s="47">
        <f ca="1">((Table5[[#This Row],[Avg_During]]-Table5[[#This Row],[Avg_Before]])/I99)</f>
        <v>-0.21960636033196143</v>
      </c>
    </row>
    <row r="100" spans="1:11" x14ac:dyDescent="0.3">
      <c r="A100" t="s">
        <v>216</v>
      </c>
      <c r="B100">
        <v>985</v>
      </c>
      <c r="C100">
        <v>932</v>
      </c>
      <c r="D100">
        <v>287</v>
      </c>
      <c r="E100">
        <v>6895</v>
      </c>
      <c r="F100" t="s">
        <v>34</v>
      </c>
      <c r="G100" s="47">
        <f t="shared" si="1"/>
        <v>0.31965192168237855</v>
      </c>
      <c r="H100" t="str">
        <f>IF(AND(A100&gt;=$N$8,A100&lt;=$O$8),"During","Before")</f>
        <v>Before</v>
      </c>
      <c r="I100" s="15">
        <f ca="1">AVERAGEIF(Table5[Period],"Before",Table5[[#This Row],[Engagement_Rate]])</f>
        <v>0.14830338262623941</v>
      </c>
      <c r="J100" s="15">
        <f ca="1">AVERAGEIF(Table5[Period],"During",Table5[[#This Row],[Engagement_Rate]])</f>
        <v>8.0081064236792274E-2</v>
      </c>
      <c r="K100" s="47">
        <f ca="1">((Table5[[#This Row],[Avg_During]]-Table5[[#This Row],[Avg_Before]])/I100)</f>
        <v>-0.460018626556779</v>
      </c>
    </row>
    <row r="101" spans="1:11" x14ac:dyDescent="0.3">
      <c r="A101" t="s">
        <v>541</v>
      </c>
      <c r="B101">
        <v>129</v>
      </c>
      <c r="C101">
        <v>643</v>
      </c>
      <c r="D101">
        <v>136</v>
      </c>
      <c r="E101">
        <v>1290</v>
      </c>
      <c r="F101" t="s">
        <v>34</v>
      </c>
      <c r="G101" s="47">
        <f t="shared" si="1"/>
        <v>0.70387596899224802</v>
      </c>
      <c r="H101" t="str">
        <f>IF(AND(A101&gt;=$N$8,A101&lt;=$O$8),"During","Before")</f>
        <v>Before</v>
      </c>
      <c r="I101" s="15">
        <f ca="1">AVERAGEIF(Table5[Period],"Before",Table5[[#This Row],[Engagement_Rate]])</f>
        <v>0.14408518333335502</v>
      </c>
      <c r="J101" s="15">
        <f ca="1">AVERAGEIF(Table5[Period],"During",Table5[[#This Row],[Engagement_Rate]])</f>
        <v>0.11638223343437969</v>
      </c>
      <c r="K101" s="47">
        <f ca="1">((Table5[[#This Row],[Avg_During]]-Table5[[#This Row],[Avg_Before]])/I101)</f>
        <v>-0.19226786028985279</v>
      </c>
    </row>
    <row r="102" spans="1:11" x14ac:dyDescent="0.3">
      <c r="A102" t="s">
        <v>252</v>
      </c>
      <c r="B102">
        <v>3796</v>
      </c>
      <c r="C102">
        <v>667</v>
      </c>
      <c r="D102">
        <v>395</v>
      </c>
      <c r="E102">
        <v>64532</v>
      </c>
      <c r="F102" t="s">
        <v>603</v>
      </c>
      <c r="G102" s="47">
        <f t="shared" si="1"/>
        <v>7.5280481001673588E-2</v>
      </c>
      <c r="H102" t="s">
        <v>603</v>
      </c>
      <c r="I102" s="15">
        <f ca="1">AVERAGEIF(Table5[Period],"Before",Table5[[#This Row],[Engagement_Rate]])</f>
        <v>0.14161039433354264</v>
      </c>
      <c r="J102" s="15">
        <f ca="1">AVERAGEIF(Table5[Period],"During",Table5[[#This Row],[Engagement_Rate]])</f>
        <v>0.11302600845763197</v>
      </c>
      <c r="K102" s="47">
        <f ca="1">((Table5[[#This Row],[Avg_During]]-Table5[[#This Row],[Avg_Before]])/I102)</f>
        <v>-0.20185231465837397</v>
      </c>
    </row>
    <row r="103" spans="1:11" x14ac:dyDescent="0.3">
      <c r="A103" t="s">
        <v>371</v>
      </c>
      <c r="B103">
        <v>3773</v>
      </c>
      <c r="C103">
        <v>299</v>
      </c>
      <c r="D103">
        <v>38</v>
      </c>
      <c r="E103">
        <v>71687</v>
      </c>
      <c r="F103" t="s">
        <v>17</v>
      </c>
      <c r="G103" s="47">
        <f t="shared" si="1"/>
        <v>5.7332570758993957E-2</v>
      </c>
      <c r="H103" t="str">
        <f>IF(AND(A103&gt;=$N$5,A103&lt;=$O$5),"During","Before")</f>
        <v>Before</v>
      </c>
      <c r="I103" s="15">
        <f ca="1">AVERAGEIF(Table5[Period],"Before",Table5[[#This Row],[Engagement_Rate]])</f>
        <v>0.13958264981402113</v>
      </c>
      <c r="J103" s="15">
        <f ca="1">AVERAGEIF(Table5[Period],"During",Table5[[#This Row],[Engagement_Rate]])</f>
        <v>0.14917564253459142</v>
      </c>
      <c r="K103" s="47">
        <f ca="1">((Table5[[#This Row],[Avg_During]]-Table5[[#This Row],[Avg_Before]])/I103)</f>
        <v>6.8726254540603174E-2</v>
      </c>
    </row>
    <row r="104" spans="1:11" x14ac:dyDescent="0.3">
      <c r="A104" t="s">
        <v>467</v>
      </c>
      <c r="B104">
        <v>305</v>
      </c>
      <c r="C104">
        <v>187</v>
      </c>
      <c r="D104">
        <v>243</v>
      </c>
      <c r="E104">
        <v>4575</v>
      </c>
      <c r="F104" t="s">
        <v>27</v>
      </c>
      <c r="G104" s="47">
        <f t="shared" si="1"/>
        <v>0.16065573770491803</v>
      </c>
      <c r="H104" t="str">
        <f>IF(AND(A104&gt;=$N$7,A104&lt;=$O$7),"During","Before")</f>
        <v>Before</v>
      </c>
      <c r="I104" s="15">
        <f ca="1">AVERAGEIF(Table5[Period],"Before",Table5[[#This Row],[Engagement_Rate]])</f>
        <v>0.14406235021924588</v>
      </c>
      <c r="J104" s="15">
        <f ca="1">AVERAGEIF(Table5[Period],"During",Table5[[#This Row],[Engagement_Rate]])</f>
        <v>0.12186494069718767</v>
      </c>
      <c r="K104" s="47">
        <f ca="1">((Table5[[#This Row],[Avg_During]]-Table5[[#This Row],[Avg_Before]])/I104)</f>
        <v>-0.15408196165255092</v>
      </c>
    </row>
    <row r="105" spans="1:11" x14ac:dyDescent="0.3">
      <c r="A105" t="s">
        <v>127</v>
      </c>
      <c r="B105">
        <v>1702</v>
      </c>
      <c r="C105">
        <v>750</v>
      </c>
      <c r="D105">
        <v>179</v>
      </c>
      <c r="E105">
        <v>34040</v>
      </c>
      <c r="F105" t="s">
        <v>17</v>
      </c>
      <c r="G105" s="47">
        <f t="shared" si="1"/>
        <v>7.7291421856639245E-2</v>
      </c>
      <c r="H105" t="str">
        <f>IF(AND(A105&gt;=$N$5,A105&lt;=$O$5),"During","Before")</f>
        <v>Before</v>
      </c>
      <c r="I105" s="15">
        <f ca="1">AVERAGEIF(Table5[Period],"Before",Table5[[#This Row],[Engagement_Rate]])</f>
        <v>0.13180315527214992</v>
      </c>
      <c r="J105" s="15">
        <f ca="1">AVERAGEIF(Table5[Period],"During",Table5[[#This Row],[Engagement_Rate]])</f>
        <v>0.1461265402027537</v>
      </c>
      <c r="K105" s="47">
        <f ca="1">((Table5[[#This Row],[Avg_During]]-Table5[[#This Row],[Avg_Before]])/I105)</f>
        <v>0.10867254961407075</v>
      </c>
    </row>
    <row r="106" spans="1:11" x14ac:dyDescent="0.3">
      <c r="A106" t="s">
        <v>475</v>
      </c>
      <c r="B106">
        <v>199</v>
      </c>
      <c r="C106">
        <v>772</v>
      </c>
      <c r="D106">
        <v>400</v>
      </c>
      <c r="E106">
        <v>3582</v>
      </c>
      <c r="F106" t="s">
        <v>603</v>
      </c>
      <c r="G106" s="47">
        <f t="shared" si="1"/>
        <v>0.38274706867671693</v>
      </c>
      <c r="H106" t="s">
        <v>603</v>
      </c>
      <c r="I106" s="15">
        <f ca="1">AVERAGEIF(Table5[Period],"Before",Table5[[#This Row],[Engagement_Rate]])</f>
        <v>0.13927859079239982</v>
      </c>
      <c r="J106" s="15">
        <f ca="1">AVERAGEIF(Table5[Period],"During",Table5[[#This Row],[Engagement_Rate]])</f>
        <v>0.11896568773925814</v>
      </c>
      <c r="K106" s="47">
        <f ca="1">((Table5[[#This Row],[Avg_During]]-Table5[[#This Row],[Avg_Before]])/I106)</f>
        <v>-0.14584368593604494</v>
      </c>
    </row>
    <row r="107" spans="1:11" x14ac:dyDescent="0.3">
      <c r="A107" t="s">
        <v>24</v>
      </c>
      <c r="B107">
        <v>1488</v>
      </c>
      <c r="C107">
        <v>417</v>
      </c>
      <c r="D107">
        <v>168</v>
      </c>
      <c r="E107">
        <v>19344</v>
      </c>
      <c r="F107" t="s">
        <v>27</v>
      </c>
      <c r="G107" s="47">
        <f t="shared" si="1"/>
        <v>0.1071650124069479</v>
      </c>
      <c r="H107" t="str">
        <f>IF(AND(A107&gt;=$N$7,A107&lt;=$O$7),"During","Before")</f>
        <v>Before</v>
      </c>
      <c r="I107" s="15">
        <f ca="1">AVERAGEIF(Table5[Period],"Before",Table5[[#This Row],[Engagement_Rate]])</f>
        <v>0.1401466809374296</v>
      </c>
      <c r="J107" s="15">
        <f ca="1">AVERAGEIF(Table5[Period],"During",Table5[[#This Row],[Engagement_Rate]])</f>
        <v>0.13482517018205653</v>
      </c>
      <c r="K107" s="47">
        <f ca="1">((Table5[[#This Row],[Avg_During]]-Table5[[#This Row],[Avg_Before]])/I107)</f>
        <v>-3.7971008087939892E-2</v>
      </c>
    </row>
    <row r="108" spans="1:11" x14ac:dyDescent="0.3">
      <c r="A108" t="s">
        <v>444</v>
      </c>
      <c r="B108">
        <v>754</v>
      </c>
      <c r="C108">
        <v>197</v>
      </c>
      <c r="D108">
        <v>257</v>
      </c>
      <c r="E108">
        <v>6786</v>
      </c>
      <c r="F108" t="s">
        <v>27</v>
      </c>
      <c r="G108" s="47">
        <f t="shared" si="1"/>
        <v>0.17801355732390214</v>
      </c>
      <c r="H108" t="str">
        <f>IF(AND(A108&gt;=$N$7,A108&lt;=$O$7),"During","Before")</f>
        <v>Before</v>
      </c>
      <c r="I108" s="15">
        <f ca="1">AVERAGEIF(Table5[Period],"Before",Table5[[#This Row],[Engagement_Rate]])</f>
        <v>0.13566608481472522</v>
      </c>
      <c r="J108" s="15">
        <f ca="1">AVERAGEIF(Table5[Period],"During",Table5[[#This Row],[Engagement_Rate]])</f>
        <v>0.15579821266254726</v>
      </c>
      <c r="K108" s="47">
        <f ca="1">((Table5[[#This Row],[Avg_During]]-Table5[[#This Row],[Avg_Before]])/I108)</f>
        <v>0.14839469920073117</v>
      </c>
    </row>
    <row r="109" spans="1:11" x14ac:dyDescent="0.3">
      <c r="A109" t="s">
        <v>311</v>
      </c>
      <c r="B109">
        <v>3338</v>
      </c>
      <c r="C109">
        <v>277</v>
      </c>
      <c r="D109">
        <v>118</v>
      </c>
      <c r="E109">
        <v>60084</v>
      </c>
      <c r="F109" t="s">
        <v>603</v>
      </c>
      <c r="G109" s="47">
        <f t="shared" si="1"/>
        <v>6.2129685107516146E-2</v>
      </c>
      <c r="H109" t="s">
        <v>603</v>
      </c>
      <c r="I109" s="15">
        <f ca="1">AVERAGEIF(Table5[Period],"Before",Table5[[#This Row],[Engagement_Rate]])</f>
        <v>0.1388209812505041</v>
      </c>
      <c r="J109" s="15">
        <f ca="1">AVERAGEIF(Table5[Period],"During",Table5[[#This Row],[Engagement_Rate]])</f>
        <v>0.15824880985865963</v>
      </c>
      <c r="K109" s="47">
        <f ca="1">((Table5[[#This Row],[Avg_During]]-Table5[[#This Row],[Avg_Before]])/I109)</f>
        <v>0.13994879184075057</v>
      </c>
    </row>
    <row r="110" spans="1:11" x14ac:dyDescent="0.3">
      <c r="A110" t="s">
        <v>203</v>
      </c>
      <c r="B110">
        <v>4321</v>
      </c>
      <c r="C110">
        <v>874</v>
      </c>
      <c r="D110">
        <v>172</v>
      </c>
      <c r="E110">
        <v>30247</v>
      </c>
      <c r="F110" t="s">
        <v>34</v>
      </c>
      <c r="G110" s="47">
        <f t="shared" si="1"/>
        <v>0.17743908486792079</v>
      </c>
      <c r="H110" t="str">
        <f>IF(AND(A110&gt;=$N$8,A110&lt;=$O$8),"During","Before")</f>
        <v>Before</v>
      </c>
      <c r="I110" s="15">
        <f ca="1">AVERAGEIF(Table5[Period],"Before",Table5[[#This Row],[Engagement_Rate]])</f>
        <v>0.13758243317651794</v>
      </c>
      <c r="J110" s="15">
        <f ca="1">AVERAGEIF(Table5[Period],"During",Table5[[#This Row],[Engagement_Rate]])</f>
        <v>0.19841007045968767</v>
      </c>
      <c r="K110" s="47">
        <f ca="1">((Table5[[#This Row],[Avg_During]]-Table5[[#This Row],[Avg_Before]])/I110)</f>
        <v>0.44211776081273407</v>
      </c>
    </row>
    <row r="111" spans="1:11" x14ac:dyDescent="0.3">
      <c r="A111" t="s">
        <v>244</v>
      </c>
      <c r="B111">
        <v>1436</v>
      </c>
      <c r="C111">
        <v>765</v>
      </c>
      <c r="D111">
        <v>496</v>
      </c>
      <c r="E111">
        <v>12924</v>
      </c>
      <c r="F111" t="s">
        <v>27</v>
      </c>
      <c r="G111" s="47">
        <f t="shared" si="1"/>
        <v>0.20868152274837512</v>
      </c>
      <c r="H111" t="str">
        <f>IF(AND(A111&gt;=$N$7,A111&lt;=$O$7),"During","Before")</f>
        <v>Before</v>
      </c>
      <c r="I111" s="15">
        <f ca="1">AVERAGEIF(Table5[Period],"Before",Table5[[#This Row],[Engagement_Rate]])</f>
        <v>0.13667197433507083</v>
      </c>
      <c r="J111" s="15">
        <f ca="1">AVERAGEIF(Table5[Period],"During",Table5[[#This Row],[Engagement_Rate]])</f>
        <v>0.15098350231626856</v>
      </c>
      <c r="K111" s="47">
        <f ca="1">((Table5[[#This Row],[Avg_During]]-Table5[[#This Row],[Avg_Before]])/I111)</f>
        <v>0.10471443067114092</v>
      </c>
    </row>
    <row r="112" spans="1:11" x14ac:dyDescent="0.3">
      <c r="A112" t="s">
        <v>322</v>
      </c>
      <c r="B112">
        <v>2404</v>
      </c>
      <c r="C112">
        <v>363</v>
      </c>
      <c r="D112">
        <v>138</v>
      </c>
      <c r="E112">
        <v>19232</v>
      </c>
      <c r="F112" t="s">
        <v>34</v>
      </c>
      <c r="G112" s="47">
        <f t="shared" si="1"/>
        <v>0.15105033277870217</v>
      </c>
      <c r="H112" t="str">
        <f>IF(AND(A112&gt;=$N$8,A112&lt;=$O$8),"During","Before")</f>
        <v>Before</v>
      </c>
      <c r="I112" s="15">
        <f ca="1">AVERAGEIF(Table5[Period],"Before",Table5[[#This Row],[Engagement_Rate]])</f>
        <v>0.13805937761262124</v>
      </c>
      <c r="J112" s="15">
        <f ca="1">AVERAGEIF(Table5[Period],"During",Table5[[#This Row],[Engagement_Rate]])</f>
        <v>0.14868542949409852</v>
      </c>
      <c r="K112" s="47">
        <f ca="1">((Table5[[#This Row],[Avg_During]]-Table5[[#This Row],[Avg_Before]])/I112)</f>
        <v>7.6967259053512163E-2</v>
      </c>
    </row>
    <row r="113" spans="1:11" x14ac:dyDescent="0.3">
      <c r="A113" t="s">
        <v>214</v>
      </c>
      <c r="B113">
        <v>360</v>
      </c>
      <c r="C113">
        <v>590</v>
      </c>
      <c r="D113">
        <v>393</v>
      </c>
      <c r="E113">
        <v>4680</v>
      </c>
      <c r="F113" t="s">
        <v>21</v>
      </c>
      <c r="G113" s="47">
        <f t="shared" si="1"/>
        <v>0.28696581196581195</v>
      </c>
      <c r="H113" t="str">
        <f>IF(AND(A113&gt;=$N$6,A113&lt;=$O$6),"During","Before")</f>
        <v>Before</v>
      </c>
      <c r="I113" s="15">
        <f ca="1">AVERAGEIF(Table5[Period],"Before",Table5[[#This Row],[Engagement_Rate]])</f>
        <v>0.13635438320039703</v>
      </c>
      <c r="J113" s="15">
        <f ca="1">AVERAGEIF(Table5[Period],"During",Table5[[#This Row],[Engagement_Rate]])</f>
        <v>0.10376938078879426</v>
      </c>
      <c r="K113" s="47">
        <f ca="1">((Table5[[#This Row],[Avg_During]]-Table5[[#This Row],[Avg_Before]])/I113)</f>
        <v>-0.23897290022362763</v>
      </c>
    </row>
    <row r="114" spans="1:11" x14ac:dyDescent="0.3">
      <c r="A114" t="s">
        <v>503</v>
      </c>
      <c r="B114">
        <v>2234</v>
      </c>
      <c r="C114">
        <v>653</v>
      </c>
      <c r="D114">
        <v>432</v>
      </c>
      <c r="E114">
        <v>11170</v>
      </c>
      <c r="F114" t="s">
        <v>27</v>
      </c>
      <c r="G114" s="47">
        <f t="shared" si="1"/>
        <v>0.29713518352730528</v>
      </c>
      <c r="H114" t="str">
        <f>IF(AND(A114&gt;=$N$7,A114&lt;=$O$7),"During","Before")</f>
        <v>Before</v>
      </c>
      <c r="I114" s="15">
        <f ca="1">AVERAGEIF(Table5[Period],"Before",Table5[[#This Row],[Engagement_Rate]])</f>
        <v>0.1378551258140974</v>
      </c>
      <c r="J114" s="15">
        <f ca="1">AVERAGEIF(Table5[Period],"During",Table5[[#This Row],[Engagement_Rate]])</f>
        <v>0.11536258569440105</v>
      </c>
      <c r="K114" s="47">
        <f ca="1">((Table5[[#This Row],[Avg_During]]-Table5[[#This Row],[Avg_Before]])/I114)</f>
        <v>-0.16316070938144397</v>
      </c>
    </row>
    <row r="115" spans="1:11" x14ac:dyDescent="0.3">
      <c r="A115" t="s">
        <v>262</v>
      </c>
      <c r="B115">
        <v>1652</v>
      </c>
      <c r="C115">
        <v>89</v>
      </c>
      <c r="D115">
        <v>357</v>
      </c>
      <c r="E115">
        <v>29736</v>
      </c>
      <c r="F115" t="s">
        <v>27</v>
      </c>
      <c r="G115" s="47">
        <f t="shared" si="1"/>
        <v>7.055421038471886E-2</v>
      </c>
      <c r="H115" t="str">
        <f>IF(AND(A115&gt;=$N$7,A115&lt;=$O$7),"During","Before")</f>
        <v>Before</v>
      </c>
      <c r="I115" s="15">
        <f ca="1">AVERAGEIF(Table5[Period],"Before",Table5[[#This Row],[Engagement_Rate]])</f>
        <v>0.13538457568524828</v>
      </c>
      <c r="J115" s="15">
        <f ca="1">AVERAGEIF(Table5[Period],"During",Table5[[#This Row],[Engagement_Rate]])</f>
        <v>0.11530282771592618</v>
      </c>
      <c r="K115" s="47">
        <f ca="1">((Table5[[#This Row],[Avg_During]]-Table5[[#This Row],[Avg_Before]])/I115)</f>
        <v>-0.14833113645094687</v>
      </c>
    </row>
    <row r="116" spans="1:11" x14ac:dyDescent="0.3">
      <c r="A116" t="s">
        <v>439</v>
      </c>
      <c r="B116">
        <v>2143</v>
      </c>
      <c r="C116">
        <v>12</v>
      </c>
      <c r="D116">
        <v>204</v>
      </c>
      <c r="E116">
        <v>40717</v>
      </c>
      <c r="F116" t="s">
        <v>21</v>
      </c>
      <c r="G116" s="47">
        <f t="shared" si="1"/>
        <v>5.7936488444630008E-2</v>
      </c>
      <c r="H116" t="str">
        <f>IF(AND(A116&gt;=$N$6,A116&lt;=$O$6),"During","Before")</f>
        <v>Before</v>
      </c>
      <c r="I116" s="15">
        <f ca="1">AVERAGEIF(Table5[Period],"Before",Table5[[#This Row],[Engagement_Rate]])</f>
        <v>0.13840746648214033</v>
      </c>
      <c r="J116" s="15">
        <f ca="1">AVERAGEIF(Table5[Period],"During",Table5[[#This Row],[Engagement_Rate]])</f>
        <v>0.1526250895406244</v>
      </c>
      <c r="K116" s="47">
        <f ca="1">((Table5[[#This Row],[Avg_During]]-Table5[[#This Row],[Avg_Before]])/I116)</f>
        <v>0.10272294855074644</v>
      </c>
    </row>
    <row r="117" spans="1:11" x14ac:dyDescent="0.3">
      <c r="A117" t="s">
        <v>76</v>
      </c>
      <c r="B117">
        <v>3689</v>
      </c>
      <c r="C117">
        <v>48</v>
      </c>
      <c r="D117">
        <v>306</v>
      </c>
      <c r="E117">
        <v>40579</v>
      </c>
      <c r="F117" t="s">
        <v>21</v>
      </c>
      <c r="G117" s="47">
        <f t="shared" si="1"/>
        <v>9.9632815002833983E-2</v>
      </c>
      <c r="H117" t="str">
        <f>IF(AND(A117&gt;=$N$6,A117&lt;=$O$6),"During","Before")</f>
        <v>Before</v>
      </c>
      <c r="I117" s="15">
        <f ca="1">AVERAGEIF(Table5[Period],"Before",Table5[[#This Row],[Engagement_Rate]])</f>
        <v>0.13959611391161986</v>
      </c>
      <c r="J117" s="15">
        <f ca="1">AVERAGEIF(Table5[Period],"During",Table5[[#This Row],[Engagement_Rate]])</f>
        <v>0.11802035129326716</v>
      </c>
      <c r="K117" s="47">
        <f ca="1">((Table5[[#This Row],[Avg_During]]-Table5[[#This Row],[Avg_Before]])/I117)</f>
        <v>-0.15455847597600461</v>
      </c>
    </row>
    <row r="118" spans="1:11" x14ac:dyDescent="0.3">
      <c r="A118" t="s">
        <v>222</v>
      </c>
      <c r="B118">
        <v>3009</v>
      </c>
      <c r="C118">
        <v>413</v>
      </c>
      <c r="D118">
        <v>358</v>
      </c>
      <c r="E118">
        <v>42126</v>
      </c>
      <c r="F118" t="s">
        <v>21</v>
      </c>
      <c r="G118" s="47">
        <f t="shared" si="1"/>
        <v>8.9730807577268201E-2</v>
      </c>
      <c r="H118" t="str">
        <f>IF(AND(A118&gt;=$N$6,A118&lt;=$O$6),"During","Before")</f>
        <v>Before</v>
      </c>
      <c r="I118" s="15">
        <f ca="1">AVERAGEIF(Table5[Period],"Before",Table5[[#This Row],[Engagement_Rate]])</f>
        <v>0.13636684334200022</v>
      </c>
      <c r="J118" s="15">
        <f ca="1">AVERAGEIF(Table5[Period],"During",Table5[[#This Row],[Engagement_Rate]])</f>
        <v>0.1378258498526386</v>
      </c>
      <c r="K118" s="47">
        <f ca="1">((Table5[[#This Row],[Avg_During]]-Table5[[#This Row],[Avg_Before]])/I118)</f>
        <v>1.0699129457585763E-2</v>
      </c>
    </row>
    <row r="119" spans="1:11" x14ac:dyDescent="0.3">
      <c r="A119" t="s">
        <v>531</v>
      </c>
      <c r="B119">
        <v>2174</v>
      </c>
      <c r="C119">
        <v>658</v>
      </c>
      <c r="D119">
        <v>15</v>
      </c>
      <c r="E119">
        <v>13044</v>
      </c>
      <c r="F119" t="s">
        <v>27</v>
      </c>
      <c r="G119" s="47">
        <f t="shared" si="1"/>
        <v>0.21826126954921804</v>
      </c>
      <c r="H119" t="str">
        <f>IF(AND(A119&gt;=$N$7,A119&lt;=$O$7),"During","Before")</f>
        <v>Before</v>
      </c>
      <c r="I119" s="15">
        <f ca="1">AVERAGEIF(Table5[Period],"Before",Table5[[#This Row],[Engagement_Rate]])</f>
        <v>0.13710518542936248</v>
      </c>
      <c r="J119" s="15">
        <f ca="1">AVERAGEIF(Table5[Period],"During",Table5[[#This Row],[Engagement_Rate]])</f>
        <v>0.13554439711520408</v>
      </c>
      <c r="K119" s="47">
        <f ca="1">((Table5[[#This Row],[Avg_During]]-Table5[[#This Row],[Avg_Before]])/I119)</f>
        <v>-1.1383875155929313E-2</v>
      </c>
    </row>
    <row r="120" spans="1:11" x14ac:dyDescent="0.3">
      <c r="A120" t="s">
        <v>305</v>
      </c>
      <c r="B120">
        <v>3592</v>
      </c>
      <c r="C120">
        <v>911</v>
      </c>
      <c r="D120">
        <v>375</v>
      </c>
      <c r="E120">
        <v>50288</v>
      </c>
      <c r="F120" t="s">
        <v>34</v>
      </c>
      <c r="G120" s="47">
        <f t="shared" si="1"/>
        <v>9.7001272669424113E-2</v>
      </c>
      <c r="H120" t="str">
        <f>IF(AND(A120&gt;=$N$8,A120&lt;=$O$8),"During","Before")</f>
        <v>Before</v>
      </c>
      <c r="I120" s="15">
        <f ca="1">AVERAGEIF(Table5[Period],"Before",Table5[[#This Row],[Engagement_Rate]])</f>
        <v>0.12754569285752712</v>
      </c>
      <c r="J120" s="15">
        <f ca="1">AVERAGEIF(Table5[Period],"During",Table5[[#This Row],[Engagement_Rate]])</f>
        <v>9.9504787225240587E-2</v>
      </c>
      <c r="K120" s="47">
        <f ca="1">((Table5[[#This Row],[Avg_During]]-Table5[[#This Row],[Avg_Before]])/I120)</f>
        <v>-0.21984988284637083</v>
      </c>
    </row>
    <row r="121" spans="1:11" x14ac:dyDescent="0.3">
      <c r="A121" t="s">
        <v>472</v>
      </c>
      <c r="B121">
        <v>725</v>
      </c>
      <c r="C121">
        <v>88</v>
      </c>
      <c r="D121">
        <v>428</v>
      </c>
      <c r="E121">
        <v>14500</v>
      </c>
      <c r="F121" t="s">
        <v>27</v>
      </c>
      <c r="G121" s="47">
        <f t="shared" si="1"/>
        <v>8.558620689655172E-2</v>
      </c>
      <c r="H121" t="str">
        <f>IF(AND(A121&gt;=$N$7,A121&lt;=$O$7),"During","Before")</f>
        <v>Before</v>
      </c>
      <c r="I121" s="15">
        <f ca="1">AVERAGEIF(Table5[Period],"Before",Table5[[#This Row],[Engagement_Rate]])</f>
        <v>0.14009765648839834</v>
      </c>
      <c r="J121" s="15">
        <f ca="1">AVERAGEIF(Table5[Period],"During",Table5[[#This Row],[Engagement_Rate]])</f>
        <v>0.17794223130403891</v>
      </c>
      <c r="K121" s="47">
        <f ca="1">((Table5[[#This Row],[Avg_During]]-Table5[[#This Row],[Avg_Before]])/I121)</f>
        <v>0.27012996337147532</v>
      </c>
    </row>
    <row r="122" spans="1:11" x14ac:dyDescent="0.3">
      <c r="A122" t="s">
        <v>329</v>
      </c>
      <c r="B122">
        <v>3239</v>
      </c>
      <c r="C122">
        <v>43</v>
      </c>
      <c r="D122">
        <v>211</v>
      </c>
      <c r="E122">
        <v>22673</v>
      </c>
      <c r="F122" t="s">
        <v>21</v>
      </c>
      <c r="G122" s="47">
        <f t="shared" si="1"/>
        <v>0.15405989502933004</v>
      </c>
      <c r="H122" t="str">
        <f>IF(AND(A122&gt;=$N$6,A122&lt;=$O$6),"During","Before")</f>
        <v>Before</v>
      </c>
      <c r="I122" s="15">
        <f ca="1">AVERAGEIF(Table5[Period],"Before",Table5[[#This Row],[Engagement_Rate]])</f>
        <v>0.13870098933617678</v>
      </c>
      <c r="J122" s="15">
        <f ca="1">AVERAGEIF(Table5[Period],"During",Table5[[#This Row],[Engagement_Rate]])</f>
        <v>0.12744119787729122</v>
      </c>
      <c r="K122" s="47">
        <f ca="1">((Table5[[#This Row],[Avg_During]]-Table5[[#This Row],[Avg_Before]])/I122)</f>
        <v>-8.1180325481274102E-2</v>
      </c>
    </row>
    <row r="123" spans="1:11" x14ac:dyDescent="0.3">
      <c r="A123" t="s">
        <v>100</v>
      </c>
      <c r="B123">
        <v>1606</v>
      </c>
      <c r="C123">
        <v>547</v>
      </c>
      <c r="D123">
        <v>316</v>
      </c>
      <c r="E123">
        <v>32120</v>
      </c>
      <c r="F123" t="s">
        <v>21</v>
      </c>
      <c r="G123" s="47">
        <f t="shared" si="1"/>
        <v>7.6867995018679955E-2</v>
      </c>
      <c r="H123" t="str">
        <f>IF(AND(A123&gt;=$N$6,A123&lt;=$O$6),"During","Before")</f>
        <v>Before</v>
      </c>
      <c r="I123" s="15">
        <f ca="1">AVERAGEIF(Table5[Period],"Before",Table5[[#This Row],[Engagement_Rate]])</f>
        <v>0.13416851407846878</v>
      </c>
      <c r="J123" s="15">
        <f ca="1">AVERAGEIF(Table5[Period],"During",Table5[[#This Row],[Engagement_Rate]])</f>
        <v>0.15100022185392889</v>
      </c>
      <c r="K123" s="47">
        <f ca="1">((Table5[[#This Row],[Avg_During]]-Table5[[#This Row],[Avg_Before]])/I123)</f>
        <v>0.12545199513513319</v>
      </c>
    </row>
    <row r="124" spans="1:11" x14ac:dyDescent="0.3">
      <c r="A124" t="s">
        <v>256</v>
      </c>
      <c r="B124">
        <v>3929</v>
      </c>
      <c r="C124">
        <v>262</v>
      </c>
      <c r="D124">
        <v>278</v>
      </c>
      <c r="E124">
        <v>43219</v>
      </c>
      <c r="F124" t="s">
        <v>34</v>
      </c>
      <c r="G124" s="47">
        <f t="shared" si="1"/>
        <v>0.10340359564080613</v>
      </c>
      <c r="H124" t="str">
        <f>IF(AND(A124&gt;=$N$8,A124&lt;=$O$8),"During","Before")</f>
        <v>Before</v>
      </c>
      <c r="I124" s="15">
        <f ca="1">AVERAGEIF(Table5[Period],"Before",Table5[[#This Row],[Engagement_Rate]])</f>
        <v>0.13551454876651642</v>
      </c>
      <c r="J124" s="15">
        <f ca="1">AVERAGEIF(Table5[Period],"During",Table5[[#This Row],[Engagement_Rate]])</f>
        <v>0.13029192646181051</v>
      </c>
      <c r="K124" s="47">
        <f ca="1">((Table5[[#This Row],[Avg_During]]-Table5[[#This Row],[Avg_Before]])/I124)</f>
        <v>-3.8539200050794399E-2</v>
      </c>
    </row>
    <row r="125" spans="1:11" x14ac:dyDescent="0.3">
      <c r="A125" t="s">
        <v>175</v>
      </c>
      <c r="B125">
        <v>929</v>
      </c>
      <c r="C125">
        <v>192</v>
      </c>
      <c r="D125">
        <v>322</v>
      </c>
      <c r="E125">
        <v>16722</v>
      </c>
      <c r="F125" t="s">
        <v>27</v>
      </c>
      <c r="G125" s="47">
        <f t="shared" si="1"/>
        <v>8.6293505561535699E-2</v>
      </c>
      <c r="H125" t="str">
        <f>IF(AND(A125&gt;=$N$7,A125&lt;=$O$7),"During","Before")</f>
        <v>Before</v>
      </c>
      <c r="I125" s="15">
        <f ca="1">AVERAGEIF(Table5[Period],"Before",Table5[[#This Row],[Engagement_Rate]])</f>
        <v>0.13727024395872714</v>
      </c>
      <c r="J125" s="15">
        <f ca="1">AVERAGEIF(Table5[Period],"During",Table5[[#This Row],[Engagement_Rate]])</f>
        <v>0.16150687288867766</v>
      </c>
      <c r="K125" s="47">
        <f ca="1">((Table5[[#This Row],[Avg_During]]-Table5[[#This Row],[Avg_Before]])/I125)</f>
        <v>0.17656141805384792</v>
      </c>
    </row>
    <row r="126" spans="1:11" x14ac:dyDescent="0.3">
      <c r="A126" t="s">
        <v>346</v>
      </c>
      <c r="B126">
        <v>1108</v>
      </c>
      <c r="C126">
        <v>177</v>
      </c>
      <c r="D126">
        <v>212</v>
      </c>
      <c r="E126">
        <v>8864</v>
      </c>
      <c r="F126" t="s">
        <v>34</v>
      </c>
      <c r="G126" s="47">
        <f t="shared" si="1"/>
        <v>0.16888537906137185</v>
      </c>
      <c r="H126" t="str">
        <f>IF(AND(A126&gt;=$N$8,A126&lt;=$O$8),"During","Before")</f>
        <v>Before</v>
      </c>
      <c r="I126" s="15">
        <f ca="1">AVERAGEIF(Table5[Period],"Before",Table5[[#This Row],[Engagement_Rate]])</f>
        <v>0.13671769329508443</v>
      </c>
      <c r="J126" s="15">
        <f ca="1">AVERAGEIF(Table5[Period],"During",Table5[[#This Row],[Engagement_Rate]])</f>
        <v>0.13583547350293074</v>
      </c>
      <c r="K126" s="47">
        <f ca="1">((Table5[[#This Row],[Avg_During]]-Table5[[#This Row],[Avg_Before]])/I126)</f>
        <v>-6.4528574970143448E-3</v>
      </c>
    </row>
    <row r="127" spans="1:11" x14ac:dyDescent="0.3">
      <c r="A127" t="s">
        <v>250</v>
      </c>
      <c r="B127">
        <v>3888</v>
      </c>
      <c r="C127">
        <v>604</v>
      </c>
      <c r="D127">
        <v>128</v>
      </c>
      <c r="E127">
        <v>77760</v>
      </c>
      <c r="F127" t="s">
        <v>17</v>
      </c>
      <c r="G127" s="47">
        <f t="shared" si="1"/>
        <v>5.941358024691358E-2</v>
      </c>
      <c r="H127" t="str">
        <f>IF(AND(A127&gt;=$N$5,A127&lt;=$O$5),"During","Before")</f>
        <v>During</v>
      </c>
      <c r="I127" s="15">
        <f ca="1">AVERAGEIF(Table5[Period],"Before",Table5[[#This Row],[Engagement_Rate]])</f>
        <v>0.13664273090178733</v>
      </c>
      <c r="J127" s="15">
        <v>0</v>
      </c>
      <c r="K127" s="47">
        <v>0</v>
      </c>
    </row>
    <row r="128" spans="1:11" x14ac:dyDescent="0.3">
      <c r="A128" t="s">
        <v>218</v>
      </c>
      <c r="B128">
        <v>3523</v>
      </c>
      <c r="C128">
        <v>753</v>
      </c>
      <c r="D128">
        <v>482</v>
      </c>
      <c r="E128">
        <v>38753</v>
      </c>
      <c r="F128" t="s">
        <v>21</v>
      </c>
      <c r="G128" s="47">
        <f t="shared" si="1"/>
        <v>0.12277759141227776</v>
      </c>
      <c r="H128" t="str">
        <f>IF(AND(A128&gt;=$N$6,A128&lt;=$O$6),"During","Before")</f>
        <v>Before</v>
      </c>
      <c r="I128" s="15">
        <f ca="1">AVERAGEIF(Table5[Period],"Before",Table5[[#This Row],[Engagement_Rate]])</f>
        <v>0.13969973738689304</v>
      </c>
      <c r="J128" s="15">
        <v>0</v>
      </c>
      <c r="K128" s="47">
        <v>0</v>
      </c>
    </row>
    <row r="129" spans="1:11" x14ac:dyDescent="0.3">
      <c r="A129" t="s">
        <v>463</v>
      </c>
      <c r="B129">
        <v>4188</v>
      </c>
      <c r="C129">
        <v>942</v>
      </c>
      <c r="D129">
        <v>118</v>
      </c>
      <c r="E129">
        <v>20940</v>
      </c>
      <c r="F129" t="s">
        <v>603</v>
      </c>
      <c r="G129" s="47">
        <f t="shared" si="1"/>
        <v>0.25062082139446035</v>
      </c>
      <c r="H129" t="s">
        <v>603</v>
      </c>
      <c r="I129" s="15">
        <f ca="1">AVERAGEIF(Table5[Period],"Before",Table5[[#This Row],[Engagement_Rate]])</f>
        <v>0.13958924836504075</v>
      </c>
      <c r="J129" s="15">
        <v>0</v>
      </c>
      <c r="K129" s="47">
        <v>0</v>
      </c>
    </row>
    <row r="130" spans="1:11" x14ac:dyDescent="0.3">
      <c r="A130" t="s">
        <v>142</v>
      </c>
      <c r="B130">
        <v>3711</v>
      </c>
      <c r="C130">
        <v>352</v>
      </c>
      <c r="D130">
        <v>290</v>
      </c>
      <c r="E130">
        <v>48243</v>
      </c>
      <c r="F130" t="s">
        <v>17</v>
      </c>
      <c r="G130" s="47">
        <f t="shared" si="1"/>
        <v>9.023070704558174E-2</v>
      </c>
      <c r="H130" t="str">
        <f>IF(AND(A130&gt;=$N$5,A130&lt;=$O$5),"During","Before")</f>
        <v>Before</v>
      </c>
      <c r="I130" s="15">
        <f ca="1">AVERAGEIF(Table5[Period],"Before",Table5[[#This Row],[Engagement_Rate]])</f>
        <v>0.13606878418737359</v>
      </c>
      <c r="J130" s="15">
        <v>0</v>
      </c>
      <c r="K130" s="47">
        <v>0</v>
      </c>
    </row>
    <row r="131" spans="1:11" x14ac:dyDescent="0.3">
      <c r="A131" t="s">
        <v>160</v>
      </c>
      <c r="B131">
        <v>4332</v>
      </c>
      <c r="C131">
        <v>771</v>
      </c>
      <c r="D131">
        <v>219</v>
      </c>
      <c r="E131">
        <v>60648</v>
      </c>
      <c r="F131" t="s">
        <v>27</v>
      </c>
      <c r="G131" s="47">
        <f t="shared" si="1"/>
        <v>8.7752275425405618E-2</v>
      </c>
      <c r="H131" t="str">
        <f>IF(AND(A131&gt;=$N$7,A131&lt;=$O$7),"During","Before")</f>
        <v>Before</v>
      </c>
      <c r="I131" s="15">
        <v>0</v>
      </c>
      <c r="J131" s="15">
        <v>0</v>
      </c>
      <c r="K131" s="47">
        <v>0</v>
      </c>
    </row>
    <row r="132" spans="1:11" x14ac:dyDescent="0.3">
      <c r="A132" t="s">
        <v>135</v>
      </c>
      <c r="B132">
        <v>2147</v>
      </c>
      <c r="C132">
        <v>430</v>
      </c>
      <c r="D132">
        <v>393</v>
      </c>
      <c r="E132">
        <v>17176</v>
      </c>
      <c r="F132" t="s">
        <v>603</v>
      </c>
      <c r="G132" s="47">
        <f t="shared" si="1"/>
        <v>0.17291569632044715</v>
      </c>
      <c r="H132" t="s">
        <v>603</v>
      </c>
      <c r="I132" s="15">
        <f ca="1">AVERAGEIF(Table5[Period],"Before",Table5[[#This Row],[Engagement_Rate]])</f>
        <v>0.13407056765259306</v>
      </c>
      <c r="J132" s="15">
        <f ca="1">AVERAGEIF(Table5[Period],"During",Table5[[#This Row],[Engagement_Rate]])</f>
        <v>0.11289090565265376</v>
      </c>
      <c r="K132" s="47">
        <f ca="1">((Table5[[#This Row],[Avg_During]]-Table5[[#This Row],[Avg_Before]])/I132)</f>
        <v>-0.15797398616839275</v>
      </c>
    </row>
    <row r="133" spans="1:11" x14ac:dyDescent="0.3">
      <c r="A133" t="s">
        <v>415</v>
      </c>
      <c r="B133">
        <v>2214</v>
      </c>
      <c r="C133">
        <v>249</v>
      </c>
      <c r="D133">
        <v>152</v>
      </c>
      <c r="E133">
        <v>15498</v>
      </c>
      <c r="F133" t="s">
        <v>603</v>
      </c>
      <c r="G133" s="47">
        <f t="shared" ref="G133:G196" si="2">((B133+C133+D133)/E133)</f>
        <v>0.16873144921925409</v>
      </c>
      <c r="H133" t="s">
        <v>603</v>
      </c>
      <c r="I133" s="15">
        <f ca="1">AVERAGEIF(Table5[Period],"Before",Table5[[#This Row],[Engagement_Rate]])</f>
        <v>0.1328708286211035</v>
      </c>
      <c r="J133" s="15">
        <f ca="1">AVERAGEIF(Table5[Period],"During",Table5[[#This Row],[Engagement_Rate]])</f>
        <v>0.27805910358003622</v>
      </c>
      <c r="K133" s="47">
        <f ca="1">((Table5[[#This Row],[Avg_During]]-Table5[[#This Row],[Avg_Before]])/I133)</f>
        <v>1.092702412302657</v>
      </c>
    </row>
    <row r="134" spans="1:11" x14ac:dyDescent="0.3">
      <c r="A134" t="s">
        <v>162</v>
      </c>
      <c r="B134">
        <v>246</v>
      </c>
      <c r="C134">
        <v>149</v>
      </c>
      <c r="D134">
        <v>130</v>
      </c>
      <c r="E134">
        <v>4674</v>
      </c>
      <c r="F134" t="s">
        <v>27</v>
      </c>
      <c r="G134" s="47">
        <f t="shared" si="2"/>
        <v>0.11232349165596919</v>
      </c>
      <c r="H134" t="str">
        <f>IF(AND(A134&gt;=$N$7,A134&lt;=$O$7),"During","Before")</f>
        <v>Before</v>
      </c>
      <c r="I134" s="15">
        <f ca="1">AVERAGEIF(Table5[Period],"Before",Table5[[#This Row],[Engagement_Rate]])</f>
        <v>0.14257004938205781</v>
      </c>
      <c r="J134" s="15">
        <f ca="1">AVERAGEIF(Table5[Period],"During",Table5[[#This Row],[Engagement_Rate]])</f>
        <v>0.13964214882726117</v>
      </c>
      <c r="K134" s="47">
        <f ca="1">((Table5[[#This Row],[Avg_During]]-Table5[[#This Row],[Avg_Before]])/I134)</f>
        <v>-2.053657530096295E-2</v>
      </c>
    </row>
    <row r="135" spans="1:11" x14ac:dyDescent="0.3">
      <c r="A135" t="s">
        <v>109</v>
      </c>
      <c r="B135">
        <v>4832</v>
      </c>
      <c r="C135">
        <v>893</v>
      </c>
      <c r="D135">
        <v>10</v>
      </c>
      <c r="E135">
        <v>91808</v>
      </c>
      <c r="F135" t="s">
        <v>603</v>
      </c>
      <c r="G135" s="47">
        <f t="shared" si="2"/>
        <v>6.2467323109097243E-2</v>
      </c>
      <c r="H135" t="s">
        <v>603</v>
      </c>
      <c r="I135" s="15">
        <f ca="1">AVERAGEIF(Table5[Period],"Before",Table5[[#This Row],[Engagement_Rate]])</f>
        <v>0.13515299105633821</v>
      </c>
      <c r="J135" s="15">
        <f ca="1">AVERAGEIF(Table5[Period],"During",Table5[[#This Row],[Engagement_Rate]])</f>
        <v>0.25578116037917659</v>
      </c>
      <c r="K135" s="47">
        <f ca="1">((Table5[[#This Row],[Avg_During]]-Table5[[#This Row],[Avg_Before]])/I135)</f>
        <v>0.89253051952475693</v>
      </c>
    </row>
    <row r="136" spans="1:11" x14ac:dyDescent="0.3">
      <c r="A136" t="s">
        <v>235</v>
      </c>
      <c r="B136">
        <v>103</v>
      </c>
      <c r="C136">
        <v>770</v>
      </c>
      <c r="D136">
        <v>19</v>
      </c>
      <c r="E136">
        <v>1030</v>
      </c>
      <c r="F136" t="s">
        <v>34</v>
      </c>
      <c r="G136" s="47">
        <f t="shared" si="2"/>
        <v>0.86601941747572819</v>
      </c>
      <c r="H136" t="str">
        <f>IF(AND(A136&gt;=$N$8,A136&lt;=$O$8),"During","Before")</f>
        <v>Before</v>
      </c>
      <c r="I136" s="15">
        <f ca="1">AVERAGEIF(Table5[Period],"Before",Table5[[#This Row],[Engagement_Rate]])</f>
        <v>0.14314699012854412</v>
      </c>
      <c r="J136" s="15">
        <f ca="1">AVERAGEIF(Table5[Period],"During",Table5[[#This Row],[Engagement_Rate]])</f>
        <v>0.11041170164518836</v>
      </c>
      <c r="K136" s="47">
        <f ca="1">((Table5[[#This Row],[Avg_During]]-Table5[[#This Row],[Avg_Before]])/I136)</f>
        <v>-0.22868303730284442</v>
      </c>
    </row>
    <row r="137" spans="1:11" x14ac:dyDescent="0.3">
      <c r="A137" t="s">
        <v>482</v>
      </c>
      <c r="B137">
        <v>2634</v>
      </c>
      <c r="C137">
        <v>726</v>
      </c>
      <c r="D137">
        <v>241</v>
      </c>
      <c r="E137">
        <v>28974</v>
      </c>
      <c r="F137" t="s">
        <v>17</v>
      </c>
      <c r="G137" s="47">
        <f t="shared" si="2"/>
        <v>0.12428384068475185</v>
      </c>
      <c r="H137" t="str">
        <f>IF(AND(A137&gt;=$N$5,A137&lt;=$O$5),"During","Before")</f>
        <v>Before</v>
      </c>
      <c r="I137" s="15">
        <f ca="1">AVERAGEIF(Table5[Period],"Before",Table5[[#This Row],[Engagement_Rate]])</f>
        <v>0.13535214718209088</v>
      </c>
      <c r="J137" s="15">
        <f ca="1">AVERAGEIF(Table5[Period],"During",Table5[[#This Row],[Engagement_Rate]])</f>
        <v>0.15357107880499343</v>
      </c>
      <c r="K137" s="47">
        <f ca="1">((Table5[[#This Row],[Avg_During]]-Table5[[#This Row],[Avg_Before]])/I137)</f>
        <v>0.1346039350110376</v>
      </c>
    </row>
    <row r="138" spans="1:11" x14ac:dyDescent="0.3">
      <c r="A138" t="s">
        <v>293</v>
      </c>
      <c r="B138">
        <v>4808</v>
      </c>
      <c r="C138">
        <v>772</v>
      </c>
      <c r="D138">
        <v>320</v>
      </c>
      <c r="E138">
        <v>72120</v>
      </c>
      <c r="F138" t="s">
        <v>17</v>
      </c>
      <c r="G138" s="47">
        <f t="shared" si="2"/>
        <v>8.1808097615085965E-2</v>
      </c>
      <c r="H138" t="str">
        <f>IF(AND(A138&gt;=$N$5,A138&lt;=$O$5),"During","Before")</f>
        <v>Before</v>
      </c>
      <c r="I138" s="15">
        <f ca="1">AVERAGEIF(Table5[Period],"Before",Table5[[#This Row],[Engagement_Rate]])</f>
        <v>0.135773030321166</v>
      </c>
      <c r="J138" s="15">
        <f ca="1">AVERAGEIF(Table5[Period],"During",Table5[[#This Row],[Engagement_Rate]])</f>
        <v>0.16522583542427988</v>
      </c>
      <c r="K138" s="47">
        <f ca="1">((Table5[[#This Row],[Avg_During]]-Table5[[#This Row],[Avg_Before]])/I138)</f>
        <v>0.21692677134364885</v>
      </c>
    </row>
    <row r="139" spans="1:11" x14ac:dyDescent="0.3">
      <c r="A139" t="s">
        <v>59</v>
      </c>
      <c r="B139">
        <v>3564</v>
      </c>
      <c r="C139">
        <v>629</v>
      </c>
      <c r="D139">
        <v>177</v>
      </c>
      <c r="E139">
        <v>60588</v>
      </c>
      <c r="F139" t="s">
        <v>603</v>
      </c>
      <c r="G139" s="47">
        <f t="shared" si="2"/>
        <v>7.2126493695121141E-2</v>
      </c>
      <c r="H139" t="s">
        <v>603</v>
      </c>
      <c r="I139" s="15">
        <f ca="1">AVERAGEIF(Table5[Period],"Before",Table5[[#This Row],[Engagement_Rate]])</f>
        <v>0.13497271949641595</v>
      </c>
      <c r="J139" s="15">
        <f ca="1">AVERAGEIF(Table5[Period],"During",Table5[[#This Row],[Engagement_Rate]])</f>
        <v>9.6684365048972626E-2</v>
      </c>
      <c r="K139" s="47">
        <f ca="1">((Table5[[#This Row],[Avg_During]]-Table5[[#This Row],[Avg_Before]])/I139)</f>
        <v>-0.28367476472503045</v>
      </c>
    </row>
    <row r="140" spans="1:11" x14ac:dyDescent="0.3">
      <c r="A140" t="s">
        <v>487</v>
      </c>
      <c r="B140">
        <v>780</v>
      </c>
      <c r="C140">
        <v>928</v>
      </c>
      <c r="D140">
        <v>301</v>
      </c>
      <c r="E140">
        <v>8580</v>
      </c>
      <c r="F140" t="s">
        <v>27</v>
      </c>
      <c r="G140" s="47">
        <f t="shared" si="2"/>
        <v>0.23414918414918415</v>
      </c>
      <c r="H140" t="str">
        <f>IF(AND(A140&gt;=$N$7,A140&lt;=$O$7),"During","Before")</f>
        <v>Before</v>
      </c>
      <c r="I140" s="15">
        <f ca="1">AVERAGEIF(Table5[Period],"Before",Table5[[#This Row],[Engagement_Rate]])</f>
        <v>0.13622704449895273</v>
      </c>
      <c r="J140" s="15">
        <f ca="1">AVERAGEIF(Table5[Period],"During",Table5[[#This Row],[Engagement_Rate]])</f>
        <v>0.13507796437104305</v>
      </c>
      <c r="K140" s="47">
        <f ca="1">((Table5[[#This Row],[Avg_During]]-Table5[[#This Row],[Avg_Before]])/I140)</f>
        <v>-8.435036758934554E-3</v>
      </c>
    </row>
    <row r="141" spans="1:11" x14ac:dyDescent="0.3">
      <c r="A141" t="s">
        <v>87</v>
      </c>
      <c r="B141">
        <v>4886</v>
      </c>
      <c r="C141">
        <v>983</v>
      </c>
      <c r="D141">
        <v>409</v>
      </c>
      <c r="E141">
        <v>43974</v>
      </c>
      <c r="F141" t="s">
        <v>17</v>
      </c>
      <c r="G141" s="47">
        <f t="shared" si="2"/>
        <v>0.14276618001546368</v>
      </c>
      <c r="H141" t="str">
        <f>IF(AND(A141&gt;=$N$5,A141&lt;=$O$5),"During","Before")</f>
        <v>Before</v>
      </c>
      <c r="I141" s="15">
        <f ca="1">AVERAGEIF(Table5[Period],"Before",Table5[[#This Row],[Engagement_Rate]])</f>
        <v>0.1357482727858931</v>
      </c>
      <c r="J141" s="15">
        <f ca="1">AVERAGEIF(Table5[Period],"During",Table5[[#This Row],[Engagement_Rate]])</f>
        <v>0.16096230395380634</v>
      </c>
      <c r="K141" s="47">
        <f ca="1">((Table5[[#This Row],[Avg_During]]-Table5[[#This Row],[Avg_Before]])/I141)</f>
        <v>0.18574108274424739</v>
      </c>
    </row>
    <row r="142" spans="1:11" x14ac:dyDescent="0.3">
      <c r="A142" t="s">
        <v>158</v>
      </c>
      <c r="B142">
        <v>3440</v>
      </c>
      <c r="C142">
        <v>13</v>
      </c>
      <c r="D142">
        <v>20</v>
      </c>
      <c r="E142">
        <v>58480</v>
      </c>
      <c r="F142" t="s">
        <v>34</v>
      </c>
      <c r="G142" s="47">
        <f t="shared" si="2"/>
        <v>5.9387824897400819E-2</v>
      </c>
      <c r="H142" t="str">
        <f>IF(AND(A142&gt;=$N$8,A142&lt;=$O$8),"During","Before")</f>
        <v>Before</v>
      </c>
      <c r="I142" s="15">
        <f ca="1">AVERAGEIF(Table5[Period],"Before",Table5[[#This Row],[Engagement_Rate]])</f>
        <v>0.13780082779625799</v>
      </c>
      <c r="J142" s="15">
        <f ca="1">AVERAGEIF(Table5[Period],"During",Table5[[#This Row],[Engagement_Rate]])</f>
        <v>0.13220650227783487</v>
      </c>
      <c r="K142" s="47">
        <f ca="1">((Table5[[#This Row],[Avg_During]]-Table5[[#This Row],[Avg_Before]])/I142)</f>
        <v>-4.0597183688144987E-2</v>
      </c>
    </row>
    <row r="143" spans="1:11" x14ac:dyDescent="0.3">
      <c r="A143" t="s">
        <v>254</v>
      </c>
      <c r="B143">
        <v>2089</v>
      </c>
      <c r="C143">
        <v>476</v>
      </c>
      <c r="D143">
        <v>69</v>
      </c>
      <c r="E143">
        <v>16712</v>
      </c>
      <c r="F143" t="s">
        <v>27</v>
      </c>
      <c r="G143" s="47">
        <f t="shared" si="2"/>
        <v>0.15761129727142173</v>
      </c>
      <c r="H143" t="str">
        <f>IF(AND(A143&gt;=$N$7,A143&lt;=$O$7),"During","Before")</f>
        <v>Before</v>
      </c>
      <c r="I143" s="15">
        <f ca="1">AVERAGEIF(Table5[Period],"Before",Table5[[#This Row],[Engagement_Rate]])</f>
        <v>0.13188083296281547</v>
      </c>
      <c r="J143" s="15">
        <f ca="1">AVERAGEIF(Table5[Period],"During",Table5[[#This Row],[Engagement_Rate]])</f>
        <v>8.8539360183014684E-2</v>
      </c>
      <c r="K143" s="47">
        <f ca="1">((Table5[[#This Row],[Avg_During]]-Table5[[#This Row],[Avg_Before]])/I143)</f>
        <v>-0.32864118163418904</v>
      </c>
    </row>
    <row r="144" spans="1:11" x14ac:dyDescent="0.3">
      <c r="A144" t="s">
        <v>53</v>
      </c>
      <c r="B144">
        <v>4050</v>
      </c>
      <c r="C144">
        <v>871</v>
      </c>
      <c r="D144">
        <v>347</v>
      </c>
      <c r="E144">
        <v>52650</v>
      </c>
      <c r="F144" t="s">
        <v>21</v>
      </c>
      <c r="G144" s="47">
        <f t="shared" si="2"/>
        <v>0.10005698005698006</v>
      </c>
      <c r="H144" t="str">
        <f>IF(AND(A144&gt;=$N$6,A144&lt;=$O$6),"During","Before")</f>
        <v>Before</v>
      </c>
      <c r="I144" s="15">
        <f ca="1">AVERAGEIF(Table5[Period],"Before",Table5[[#This Row],[Engagement_Rate]])</f>
        <v>0.13342249097785211</v>
      </c>
      <c r="J144" s="15">
        <f ca="1">AVERAGEIF(Table5[Period],"During",Table5[[#This Row],[Engagement_Rate]])</f>
        <v>0.15121067919111167</v>
      </c>
      <c r="K144" s="47">
        <f ca="1">((Table5[[#This Row],[Avg_During]]-Table5[[#This Row],[Avg_Before]])/I144)</f>
        <v>0.13332226135856184</v>
      </c>
    </row>
    <row r="145" spans="1:11" x14ac:dyDescent="0.3">
      <c r="A145" t="s">
        <v>432</v>
      </c>
      <c r="B145">
        <v>3861</v>
      </c>
      <c r="C145">
        <v>960</v>
      </c>
      <c r="D145">
        <v>101</v>
      </c>
      <c r="E145">
        <v>69498</v>
      </c>
      <c r="F145" t="s">
        <v>34</v>
      </c>
      <c r="G145" s="47">
        <f t="shared" si="2"/>
        <v>7.0822181933293038E-2</v>
      </c>
      <c r="H145" t="str">
        <f>IF(AND(A145&gt;=$N$8,A145&lt;=$O$8),"During","Before")</f>
        <v>Before</v>
      </c>
      <c r="I145" s="15">
        <f ca="1">AVERAGEIF(Table5[Period],"Before",Table5[[#This Row],[Engagement_Rate]])</f>
        <v>0.13838989935222579</v>
      </c>
      <c r="J145" s="15">
        <f ca="1">AVERAGEIF(Table5[Period],"During",Table5[[#This Row],[Engagement_Rate]])</f>
        <v>0.1046049071595235</v>
      </c>
      <c r="K145" s="47">
        <f ca="1">((Table5[[#This Row],[Avg_During]]-Table5[[#This Row],[Avg_Before]])/I145)</f>
        <v>-0.24412903218257095</v>
      </c>
    </row>
    <row r="146" spans="1:11" x14ac:dyDescent="0.3">
      <c r="A146" t="s">
        <v>228</v>
      </c>
      <c r="B146">
        <v>2795</v>
      </c>
      <c r="C146">
        <v>105</v>
      </c>
      <c r="D146">
        <v>49</v>
      </c>
      <c r="E146">
        <v>53105</v>
      </c>
      <c r="F146" t="s">
        <v>27</v>
      </c>
      <c r="G146" s="47">
        <f t="shared" si="2"/>
        <v>5.5531494209584788E-2</v>
      </c>
      <c r="H146" t="str">
        <f>IF(AND(A146&gt;=$N$7,A146&lt;=$O$7),"During","Before")</f>
        <v>Before</v>
      </c>
      <c r="I146" s="15">
        <f ca="1">AVERAGEIF(Table5[Period],"Before",Table5[[#This Row],[Engagement_Rate]])</f>
        <v>0.13046307470745569</v>
      </c>
      <c r="J146" s="15">
        <f ca="1">AVERAGEIF(Table5[Period],"During",Table5[[#This Row],[Engagement_Rate]])</f>
        <v>0.16926087412827745</v>
      </c>
      <c r="K146" s="47">
        <f ca="1">((Table5[[#This Row],[Avg_During]]-Table5[[#This Row],[Avg_Before]])/I146)</f>
        <v>0.29738529087881865</v>
      </c>
    </row>
    <row r="147" spans="1:11" x14ac:dyDescent="0.3">
      <c r="A147" t="s">
        <v>91</v>
      </c>
      <c r="B147">
        <v>4274</v>
      </c>
      <c r="C147">
        <v>340</v>
      </c>
      <c r="D147">
        <v>281</v>
      </c>
      <c r="E147">
        <v>34192</v>
      </c>
      <c r="F147" t="s">
        <v>27</v>
      </c>
      <c r="G147" s="47">
        <f t="shared" si="2"/>
        <v>0.14316214319138981</v>
      </c>
      <c r="H147" t="str">
        <f>IF(AND(A147&gt;=$N$7,A147&lt;=$O$7),"During","Before")</f>
        <v>Before</v>
      </c>
      <c r="I147" s="15">
        <f ca="1">AVERAGEIF(Table5[Period],"Before",Table5[[#This Row],[Engagement_Rate]])</f>
        <v>0.14305369211425997</v>
      </c>
      <c r="J147" s="15">
        <f ca="1">AVERAGEIF(Table5[Period],"During",Table5[[#This Row],[Engagement_Rate]])</f>
        <v>9.4219660495602681E-2</v>
      </c>
      <c r="K147" s="47">
        <f ca="1">((Table5[[#This Row],[Avg_During]]-Table5[[#This Row],[Avg_Before]])/I147)</f>
        <v>-0.34136855118463166</v>
      </c>
    </row>
    <row r="148" spans="1:11" x14ac:dyDescent="0.3">
      <c r="A148" t="s">
        <v>465</v>
      </c>
      <c r="B148">
        <v>3134</v>
      </c>
      <c r="C148">
        <v>888</v>
      </c>
      <c r="D148">
        <v>444</v>
      </c>
      <c r="E148">
        <v>21938</v>
      </c>
      <c r="F148" t="s">
        <v>34</v>
      </c>
      <c r="G148" s="47">
        <f t="shared" si="2"/>
        <v>0.20357370772176134</v>
      </c>
      <c r="H148" t="str">
        <f>IF(AND(A148&gt;=$N$8,A148&lt;=$O$8),"During","Before")</f>
        <v>Before</v>
      </c>
      <c r="I148" s="15">
        <f ca="1">AVERAGEIF(Table5[Period],"Before",Table5[[#This Row],[Engagement_Rate]])</f>
        <v>0.13820894110956924</v>
      </c>
      <c r="J148" s="15">
        <f ca="1">AVERAGEIF(Table5[Period],"During",Table5[[#This Row],[Engagement_Rate]])</f>
        <v>0.14359011811955663</v>
      </c>
      <c r="K148" s="47">
        <f ca="1">((Table5[[#This Row],[Avg_During]]-Table5[[#This Row],[Avg_Before]])/I148)</f>
        <v>3.8935086013873001E-2</v>
      </c>
    </row>
    <row r="149" spans="1:11" x14ac:dyDescent="0.3">
      <c r="A149" t="s">
        <v>74</v>
      </c>
      <c r="B149">
        <v>4782</v>
      </c>
      <c r="C149">
        <v>721</v>
      </c>
      <c r="D149">
        <v>82</v>
      </c>
      <c r="E149">
        <v>86076</v>
      </c>
      <c r="F149" t="s">
        <v>17</v>
      </c>
      <c r="G149" s="47">
        <f t="shared" si="2"/>
        <v>6.4884520656164318E-2</v>
      </c>
      <c r="H149" t="str">
        <f>IF(AND(A149&gt;=$N$5,A149&lt;=$O$5),"During","Before")</f>
        <v>Before</v>
      </c>
      <c r="I149" s="15">
        <f ca="1">AVERAGEIF(Table5[Period],"Before",Table5[[#This Row],[Engagement_Rate]])</f>
        <v>0.13333120155509956</v>
      </c>
      <c r="J149" s="15">
        <f ca="1">AVERAGEIF(Table5[Period],"During",Table5[[#This Row],[Engagement_Rate]])</f>
        <v>0.11631568976338311</v>
      </c>
      <c r="K149" s="47">
        <f ca="1">((Table5[[#This Row],[Avg_During]]-Table5[[#This Row],[Avg_Before]])/I149)</f>
        <v>-0.12761837884349025</v>
      </c>
    </row>
    <row r="150" spans="1:11" x14ac:dyDescent="0.3">
      <c r="A150" t="s">
        <v>395</v>
      </c>
      <c r="B150">
        <v>4780</v>
      </c>
      <c r="C150">
        <v>691</v>
      </c>
      <c r="D150">
        <v>380</v>
      </c>
      <c r="E150">
        <v>86040</v>
      </c>
      <c r="F150" t="s">
        <v>27</v>
      </c>
      <c r="G150" s="47">
        <f t="shared" si="2"/>
        <v>6.800325430032543E-2</v>
      </c>
      <c r="H150" t="str">
        <f>IF(AND(A150&gt;=$N$7,A150&lt;=$O$7),"During","Before")</f>
        <v>Before</v>
      </c>
      <c r="I150" s="15">
        <f ca="1">AVERAGEIF(Table5[Period],"Before",Table5[[#This Row],[Engagement_Rate]])</f>
        <v>0.13603513503801457</v>
      </c>
      <c r="J150" s="15">
        <f ca="1">AVERAGEIF(Table5[Period],"During",Table5[[#This Row],[Engagement_Rate]])</f>
        <v>9.4458523260693594E-2</v>
      </c>
      <c r="K150" s="47">
        <f ca="1">((Table5[[#This Row],[Avg_During]]-Table5[[#This Row],[Avg_Before]])/I150)</f>
        <v>-0.30563142210063987</v>
      </c>
    </row>
    <row r="151" spans="1:11" x14ac:dyDescent="0.3">
      <c r="A151" t="s">
        <v>212</v>
      </c>
      <c r="B151">
        <v>1606</v>
      </c>
      <c r="C151">
        <v>451</v>
      </c>
      <c r="D151">
        <v>405</v>
      </c>
      <c r="E151">
        <v>20878</v>
      </c>
      <c r="F151" t="s">
        <v>34</v>
      </c>
      <c r="G151" s="47">
        <f t="shared" si="2"/>
        <v>0.11792317271769326</v>
      </c>
      <c r="H151" t="str">
        <f>IF(AND(A151&gt;=$N$8,A151&lt;=$O$8),"During","Before")</f>
        <v>Before</v>
      </c>
      <c r="I151" s="15">
        <f ca="1">AVERAGEIF(Table5[Period],"Before",Table5[[#This Row],[Engagement_Rate]])</f>
        <v>0.14045071887945182</v>
      </c>
      <c r="J151" s="15">
        <f ca="1">AVERAGEIF(Table5[Period],"During",Table5[[#This Row],[Engagement_Rate]])</f>
        <v>0.14147179478526767</v>
      </c>
      <c r="K151" s="47">
        <f ca="1">((Table5[[#This Row],[Avg_During]]-Table5[[#This Row],[Avg_Before]])/I151)</f>
        <v>7.2699941585363742E-3</v>
      </c>
    </row>
    <row r="152" spans="1:11" x14ac:dyDescent="0.3">
      <c r="A152" t="s">
        <v>246</v>
      </c>
      <c r="B152">
        <v>1952</v>
      </c>
      <c r="C152">
        <v>344</v>
      </c>
      <c r="D152">
        <v>287</v>
      </c>
      <c r="E152">
        <v>15616</v>
      </c>
      <c r="F152" t="s">
        <v>21</v>
      </c>
      <c r="G152" s="47">
        <f t="shared" si="2"/>
        <v>0.16540727459016394</v>
      </c>
      <c r="H152" t="str">
        <f>IF(AND(A152&gt;=$N$6,A152&lt;=$O$6),"During","Before")</f>
        <v>Before</v>
      </c>
      <c r="I152" s="15">
        <f ca="1">AVERAGEIF(Table5[Period],"Before",Table5[[#This Row],[Engagement_Rate]])</f>
        <v>0.13970014859343083</v>
      </c>
      <c r="J152" s="15">
        <f ca="1">AVERAGEIF(Table5[Period],"During",Table5[[#This Row],[Engagement_Rate]])</f>
        <v>0.11134448688949235</v>
      </c>
      <c r="K152" s="47">
        <f ca="1">((Table5[[#This Row],[Avg_During]]-Table5[[#This Row],[Avg_Before]])/I152)</f>
        <v>-0.20297517210566418</v>
      </c>
    </row>
    <row r="153" spans="1:11" x14ac:dyDescent="0.3">
      <c r="A153" t="s">
        <v>521</v>
      </c>
      <c r="B153">
        <v>1082</v>
      </c>
      <c r="C153">
        <v>209</v>
      </c>
      <c r="D153">
        <v>484</v>
      </c>
      <c r="E153">
        <v>19476</v>
      </c>
      <c r="F153" t="s">
        <v>603</v>
      </c>
      <c r="G153" s="47">
        <f t="shared" si="2"/>
        <v>9.1137810638734856E-2</v>
      </c>
      <c r="H153" t="s">
        <v>603</v>
      </c>
      <c r="I153" s="15">
        <f ca="1">AVERAGEIF(Table5[Period],"Before",Table5[[#This Row],[Engagement_Rate]])</f>
        <v>0.14039372394839444</v>
      </c>
      <c r="J153" s="15">
        <f ca="1">AVERAGEIF(Table5[Period],"During",Table5[[#This Row],[Engagement_Rate]])</f>
        <v>0.11823026313897142</v>
      </c>
      <c r="K153" s="47">
        <f ca="1">((Table5[[#This Row],[Avg_During]]-Table5[[#This Row],[Avg_Before]])/I153)</f>
        <v>-0.15786646429843126</v>
      </c>
    </row>
    <row r="154" spans="1:11" x14ac:dyDescent="0.3">
      <c r="A154" t="s">
        <v>359</v>
      </c>
      <c r="B154">
        <v>3860</v>
      </c>
      <c r="C154">
        <v>201</v>
      </c>
      <c r="D154">
        <v>279</v>
      </c>
      <c r="E154">
        <v>61760</v>
      </c>
      <c r="F154" t="s">
        <v>21</v>
      </c>
      <c r="G154" s="47">
        <f t="shared" si="2"/>
        <v>7.0272020725388601E-2</v>
      </c>
      <c r="H154" t="str">
        <f>IF(AND(A154&gt;=$N$6,A154&lt;=$O$6),"During","Before")</f>
        <v>Before</v>
      </c>
      <c r="I154" s="15">
        <f ca="1">AVERAGEIF(Table5[Period],"Before",Table5[[#This Row],[Engagement_Rate]])</f>
        <v>0.13862260802641924</v>
      </c>
      <c r="J154" s="15">
        <f ca="1">AVERAGEIF(Table5[Period],"During",Table5[[#This Row],[Engagement_Rate]])</f>
        <v>0.14097413283423912</v>
      </c>
      <c r="K154" s="47">
        <f ca="1">((Table5[[#This Row],[Avg_During]]-Table5[[#This Row],[Avg_Before]])/I154)</f>
        <v>1.6963501417977402E-2</v>
      </c>
    </row>
    <row r="155" spans="1:11" x14ac:dyDescent="0.3">
      <c r="A155" t="s">
        <v>225</v>
      </c>
      <c r="B155">
        <v>456</v>
      </c>
      <c r="C155">
        <v>629</v>
      </c>
      <c r="D155">
        <v>428</v>
      </c>
      <c r="E155">
        <v>8208</v>
      </c>
      <c r="F155" t="s">
        <v>34</v>
      </c>
      <c r="G155" s="47">
        <f t="shared" si="2"/>
        <v>0.18433235867446393</v>
      </c>
      <c r="H155" t="str">
        <f>IF(AND(A155&gt;=$N$8,A155&lt;=$O$8),"During","Before")</f>
        <v>Before</v>
      </c>
      <c r="I155" s="15">
        <f ca="1">AVERAGEIF(Table5[Period],"Before",Table5[[#This Row],[Engagement_Rate]])</f>
        <v>0.13609007605360141</v>
      </c>
      <c r="J155" s="15">
        <f ca="1">AVERAGEIF(Table5[Period],"During",Table5[[#This Row],[Engagement_Rate]])</f>
        <v>0.18669433683856726</v>
      </c>
      <c r="K155" s="47">
        <f ca="1">((Table5[[#This Row],[Avg_During]]-Table5[[#This Row],[Avg_Before]])/I155)</f>
        <v>0.37184387173855721</v>
      </c>
    </row>
    <row r="156" spans="1:11" x14ac:dyDescent="0.3">
      <c r="A156" t="s">
        <v>295</v>
      </c>
      <c r="B156">
        <v>1946</v>
      </c>
      <c r="C156">
        <v>686</v>
      </c>
      <c r="D156">
        <v>377</v>
      </c>
      <c r="E156">
        <v>23352</v>
      </c>
      <c r="F156" t="s">
        <v>27</v>
      </c>
      <c r="G156" s="47">
        <f t="shared" si="2"/>
        <v>0.12885405960945528</v>
      </c>
      <c r="H156" t="str">
        <f>IF(AND(A156&gt;=$N$7,A156&lt;=$O$7),"During","Before")</f>
        <v>Before</v>
      </c>
      <c r="I156" s="15">
        <f ca="1">AVERAGEIF(Table5[Period],"Before",Table5[[#This Row],[Engagement_Rate]])</f>
        <v>0.13032631698090527</v>
      </c>
      <c r="J156" s="15">
        <f ca="1">AVERAGEIF(Table5[Period],"During",Table5[[#This Row],[Engagement_Rate]])</f>
        <v>0.12986060378678824</v>
      </c>
      <c r="K156" s="47">
        <f ca="1">((Table5[[#This Row],[Avg_During]]-Table5[[#This Row],[Avg_Before]])/I156)</f>
        <v>-3.5734393858860322E-3</v>
      </c>
    </row>
    <row r="157" spans="1:11" x14ac:dyDescent="0.3">
      <c r="A157" t="s">
        <v>127</v>
      </c>
      <c r="B157">
        <v>1071</v>
      </c>
      <c r="C157">
        <v>519</v>
      </c>
      <c r="D157">
        <v>22</v>
      </c>
      <c r="E157">
        <v>16065</v>
      </c>
      <c r="F157" t="s">
        <v>34</v>
      </c>
      <c r="G157" s="47">
        <f t="shared" si="2"/>
        <v>0.10034235916588857</v>
      </c>
      <c r="H157" t="str">
        <f>IF(AND(A157&gt;=$N$8,A157&lt;=$O$8),"During","Before")</f>
        <v>During</v>
      </c>
      <c r="I157" s="15">
        <f ca="1">AVERAGEIF(Table5[Period],"Before",Table5[[#This Row],[Engagement_Rate]])</f>
        <v>0.13929176934840748</v>
      </c>
      <c r="J157" s="15">
        <f ca="1">AVERAGEIF(Table5[Period],"During",Table5[[#This Row],[Engagement_Rate]])</f>
        <v>0.13290525999948485</v>
      </c>
      <c r="K157" s="47">
        <f ca="1">((Table5[[#This Row],[Avg_During]]-Table5[[#This Row],[Avg_Before]])/I157)</f>
        <v>-4.5849868795536569E-2</v>
      </c>
    </row>
    <row r="158" spans="1:11" x14ac:dyDescent="0.3">
      <c r="A158" t="s">
        <v>168</v>
      </c>
      <c r="B158">
        <v>3791</v>
      </c>
      <c r="C158">
        <v>593</v>
      </c>
      <c r="D158">
        <v>228</v>
      </c>
      <c r="E158">
        <v>53074</v>
      </c>
      <c r="F158" t="s">
        <v>603</v>
      </c>
      <c r="G158" s="47">
        <f t="shared" si="2"/>
        <v>8.6897539284772202E-2</v>
      </c>
      <c r="H158" t="s">
        <v>603</v>
      </c>
      <c r="I158" s="15">
        <f ca="1">AVERAGEIF(Table5[Period],"Before",Table5[[#This Row],[Engagement_Rate]])</f>
        <v>0.13403305335323218</v>
      </c>
      <c r="J158" s="15">
        <f ca="1">AVERAGEIF(Table5[Period],"During",Table5[[#This Row],[Engagement_Rate]])</f>
        <v>8.2399217072626055E-2</v>
      </c>
      <c r="K158" s="47">
        <f ca="1">((Table5[[#This Row],[Avg_During]]-Table5[[#This Row],[Avg_Before]])/I158)</f>
        <v>-0.38523211244415767</v>
      </c>
    </row>
    <row r="159" spans="1:11" x14ac:dyDescent="0.3">
      <c r="A159" t="s">
        <v>301</v>
      </c>
      <c r="B159">
        <v>3960</v>
      </c>
      <c r="C159">
        <v>266</v>
      </c>
      <c r="D159">
        <v>8</v>
      </c>
      <c r="E159">
        <v>35640</v>
      </c>
      <c r="F159" t="s">
        <v>603</v>
      </c>
      <c r="G159" s="47">
        <f t="shared" si="2"/>
        <v>0.11879910213243547</v>
      </c>
      <c r="H159" t="s">
        <v>603</v>
      </c>
      <c r="I159" s="15">
        <f ca="1">AVERAGEIF(Table5[Period],"Before",Table5[[#This Row],[Engagement_Rate]])</f>
        <v>0.13479177325787131</v>
      </c>
      <c r="J159" s="15">
        <f ca="1">AVERAGEIF(Table5[Period],"During",Table5[[#This Row],[Engagement_Rate]])</f>
        <v>0.10181375699659959</v>
      </c>
      <c r="K159" s="47">
        <f ca="1">((Table5[[#This Row],[Avg_During]]-Table5[[#This Row],[Avg_Before]])/I159)</f>
        <v>-0.24465896889850389</v>
      </c>
    </row>
    <row r="160" spans="1:11" x14ac:dyDescent="0.3">
      <c r="A160" t="s">
        <v>72</v>
      </c>
      <c r="B160">
        <v>3577</v>
      </c>
      <c r="C160">
        <v>596</v>
      </c>
      <c r="D160">
        <v>493</v>
      </c>
      <c r="E160">
        <v>67963</v>
      </c>
      <c r="F160" t="s">
        <v>27</v>
      </c>
      <c r="G160" s="47">
        <f t="shared" si="2"/>
        <v>6.8655003457763777E-2</v>
      </c>
      <c r="H160" t="str">
        <f>IF(AND(A160&gt;=$N$7,A160&lt;=$O$7),"During","Before")</f>
        <v>Before</v>
      </c>
      <c r="I160" s="15">
        <f ca="1">AVERAGEIF(Table5[Period],"Before",Table5[[#This Row],[Engagement_Rate]])</f>
        <v>0.13867311873767993</v>
      </c>
      <c r="J160" s="15">
        <f ca="1">AVERAGEIF(Table5[Period],"During",Table5[[#This Row],[Engagement_Rate]])</f>
        <v>0.12300054667559791</v>
      </c>
      <c r="K160" s="47">
        <f ca="1">((Table5[[#This Row],[Avg_During]]-Table5[[#This Row],[Avg_Before]])/I160)</f>
        <v>-0.11301809755738551</v>
      </c>
    </row>
    <row r="161" spans="1:11" x14ac:dyDescent="0.3">
      <c r="A161" t="s">
        <v>382</v>
      </c>
      <c r="B161">
        <v>4619</v>
      </c>
      <c r="C161">
        <v>821</v>
      </c>
      <c r="D161">
        <v>499</v>
      </c>
      <c r="E161">
        <v>69285</v>
      </c>
      <c r="F161" t="s">
        <v>34</v>
      </c>
      <c r="G161" s="47">
        <f t="shared" si="2"/>
        <v>8.5718409468138843E-2</v>
      </c>
      <c r="H161" t="str">
        <f>IF(AND(A161&gt;=$N$8,A161&lt;=$O$8),"During","Before")</f>
        <v>Before</v>
      </c>
      <c r="I161" s="15">
        <f ca="1">AVERAGEIF(Table5[Period],"Before",Table5[[#This Row],[Engagement_Rate]])</f>
        <v>0.13893458266892247</v>
      </c>
      <c r="J161" s="15">
        <f ca="1">AVERAGEIF(Table5[Period],"During",Table5[[#This Row],[Engagement_Rate]])</f>
        <v>0.17377202450498763</v>
      </c>
      <c r="K161" s="47">
        <f ca="1">((Table5[[#This Row],[Avg_During]]-Table5[[#This Row],[Avg_Before]])/I161)</f>
        <v>0.25074708662768208</v>
      </c>
    </row>
    <row r="162" spans="1:11" x14ac:dyDescent="0.3">
      <c r="A162" t="s">
        <v>158</v>
      </c>
      <c r="B162">
        <v>4838</v>
      </c>
      <c r="C162">
        <v>640</v>
      </c>
      <c r="D162">
        <v>128</v>
      </c>
      <c r="E162">
        <v>72570</v>
      </c>
      <c r="F162" t="s">
        <v>34</v>
      </c>
      <c r="G162" s="47">
        <f t="shared" si="2"/>
        <v>7.7249552156538517E-2</v>
      </c>
      <c r="H162" t="str">
        <f>IF(AND(A162&gt;=$N$8,A162&lt;=$O$8),"During","Before")</f>
        <v>Before</v>
      </c>
      <c r="I162" s="15">
        <f ca="1">AVERAGEIF(Table5[Period],"Before",Table5[[#This Row],[Engagement_Rate]])</f>
        <v>0.13689906791360518</v>
      </c>
      <c r="J162" s="15">
        <f ca="1">AVERAGEIF(Table5[Period],"During",Table5[[#This Row],[Engagement_Rate]])</f>
        <v>0.13786539404014361</v>
      </c>
      <c r="K162" s="47">
        <f ca="1">((Table5[[#This Row],[Avg_During]]-Table5[[#This Row],[Avg_Before]])/I162)</f>
        <v>7.0586757182910043E-3</v>
      </c>
    </row>
    <row r="163" spans="1:11" x14ac:dyDescent="0.3">
      <c r="A163" t="s">
        <v>325</v>
      </c>
      <c r="B163">
        <v>4171</v>
      </c>
      <c r="C163">
        <v>548</v>
      </c>
      <c r="D163">
        <v>86</v>
      </c>
      <c r="E163">
        <v>66736</v>
      </c>
      <c r="F163" t="s">
        <v>27</v>
      </c>
      <c r="G163" s="47">
        <f t="shared" si="2"/>
        <v>7.2000119875329657E-2</v>
      </c>
      <c r="H163" t="str">
        <f>IF(AND(A163&gt;=$N$7,A163&lt;=$O$7),"During","Before")</f>
        <v>Before</v>
      </c>
      <c r="I163" s="15">
        <f ca="1">AVERAGEIF(Table5[Period],"Before",Table5[[#This Row],[Engagement_Rate]])</f>
        <v>0.13985412945463632</v>
      </c>
      <c r="J163" s="15">
        <f ca="1">AVERAGEIF(Table5[Period],"During",Table5[[#This Row],[Engagement_Rate]])</f>
        <v>0.10781004934626258</v>
      </c>
      <c r="K163" s="47">
        <f ca="1">((Table5[[#This Row],[Avg_During]]-Table5[[#This Row],[Avg_Before]])/I163)</f>
        <v>-0.22912501928495216</v>
      </c>
    </row>
    <row r="164" spans="1:11" x14ac:dyDescent="0.3">
      <c r="A164" t="s">
        <v>173</v>
      </c>
      <c r="B164">
        <v>521</v>
      </c>
      <c r="C164">
        <v>746</v>
      </c>
      <c r="D164">
        <v>315</v>
      </c>
      <c r="E164">
        <v>4168</v>
      </c>
      <c r="F164" t="s">
        <v>21</v>
      </c>
      <c r="G164" s="47">
        <f t="shared" si="2"/>
        <v>0.37955854126679461</v>
      </c>
      <c r="H164" t="str">
        <f>IF(AND(A164&gt;=$N$6,A164&lt;=$O$6),"During","Before")</f>
        <v>Before</v>
      </c>
      <c r="I164" s="15">
        <f ca="1">AVERAGEIF(Table5[Period],"Before",Table5[[#This Row],[Engagement_Rate]])</f>
        <v>0.14078959957702691</v>
      </c>
      <c r="J164" s="15">
        <f ca="1">AVERAGEIF(Table5[Period],"During",Table5[[#This Row],[Engagement_Rate]])</f>
        <v>0.10310784325884978</v>
      </c>
      <c r="K164" s="47">
        <f ca="1">((Table5[[#This Row],[Avg_During]]-Table5[[#This Row],[Avg_Before]])/I164)</f>
        <v>-0.26764588031633119</v>
      </c>
    </row>
    <row r="165" spans="1:11" x14ac:dyDescent="0.3">
      <c r="A165" t="s">
        <v>30</v>
      </c>
      <c r="B165">
        <v>2166</v>
      </c>
      <c r="C165">
        <v>354</v>
      </c>
      <c r="D165">
        <v>117</v>
      </c>
      <c r="E165">
        <v>10830</v>
      </c>
      <c r="F165" t="s">
        <v>34</v>
      </c>
      <c r="G165" s="47">
        <f t="shared" si="2"/>
        <v>0.24349030470914126</v>
      </c>
      <c r="H165" t="str">
        <f>IF(AND(A165&gt;=$N$8,A165&lt;=$O$8),"During","Before")</f>
        <v>Before</v>
      </c>
      <c r="I165" s="15">
        <f ca="1">AVERAGEIF(Table5[Period],"Before",Table5[[#This Row],[Engagement_Rate]])</f>
        <v>0.13711289567900725</v>
      </c>
      <c r="J165" s="15">
        <f ca="1">AVERAGEIF(Table5[Period],"During",Table5[[#This Row],[Engagement_Rate]])</f>
        <v>0.13597107979904574</v>
      </c>
      <c r="K165" s="47">
        <f ca="1">((Table5[[#This Row],[Avg_During]]-Table5[[#This Row],[Avg_Before]])/I165)</f>
        <v>-8.3275601051749151E-3</v>
      </c>
    </row>
    <row r="166" spans="1:11" x14ac:dyDescent="0.3">
      <c r="A166" t="s">
        <v>131</v>
      </c>
      <c r="B166">
        <v>2200</v>
      </c>
      <c r="C166">
        <v>504</v>
      </c>
      <c r="D166">
        <v>239</v>
      </c>
      <c r="E166">
        <v>37400</v>
      </c>
      <c r="F166" t="s">
        <v>21</v>
      </c>
      <c r="G166" s="47">
        <f t="shared" si="2"/>
        <v>7.8689839572192513E-2</v>
      </c>
      <c r="H166" t="str">
        <f>IF(AND(A166&gt;=$N$6,A166&lt;=$O$6),"During","Before")</f>
        <v>Before</v>
      </c>
      <c r="I166" s="15">
        <f ca="1">AVERAGEIF(Table5[Period],"Before",Table5[[#This Row],[Engagement_Rate]])</f>
        <v>0.1370088277573995</v>
      </c>
      <c r="J166" s="15">
        <f ca="1">AVERAGEIF(Table5[Period],"During",Table5[[#This Row],[Engagement_Rate]])</f>
        <v>0.12126446105983206</v>
      </c>
      <c r="K166" s="47">
        <f ca="1">((Table5[[#This Row],[Avg_During]]-Table5[[#This Row],[Avg_Before]])/I166)</f>
        <v>-0.11491497997082258</v>
      </c>
    </row>
    <row r="167" spans="1:11" x14ac:dyDescent="0.3">
      <c r="A167" t="s">
        <v>510</v>
      </c>
      <c r="B167">
        <v>1841</v>
      </c>
      <c r="C167">
        <v>851</v>
      </c>
      <c r="D167">
        <v>342</v>
      </c>
      <c r="E167">
        <v>34979</v>
      </c>
      <c r="F167" t="s">
        <v>34</v>
      </c>
      <c r="G167" s="47">
        <f t="shared" si="2"/>
        <v>8.6737756939878216E-2</v>
      </c>
      <c r="H167" t="str">
        <f>IF(AND(A167&gt;=$N$8,A167&lt;=$O$8),"During","Before")</f>
        <v>Before</v>
      </c>
      <c r="I167" s="15">
        <f ca="1">AVERAGEIF(Table5[Period],"Before",Table5[[#This Row],[Engagement_Rate]])</f>
        <v>0.13133019931547601</v>
      </c>
      <c r="J167" s="15">
        <f ca="1">AVERAGEIF(Table5[Period],"During",Table5[[#This Row],[Engagement_Rate]])</f>
        <v>0.16326715178656626</v>
      </c>
      <c r="K167" s="47">
        <f ca="1">((Table5[[#This Row],[Avg_During]]-Table5[[#This Row],[Avg_Before]])/I167)</f>
        <v>0.24318056804568311</v>
      </c>
    </row>
    <row r="168" spans="1:11" x14ac:dyDescent="0.3">
      <c r="A168" t="s">
        <v>214</v>
      </c>
      <c r="B168">
        <v>3798</v>
      </c>
      <c r="C168">
        <v>31</v>
      </c>
      <c r="D168">
        <v>279</v>
      </c>
      <c r="E168">
        <v>75960</v>
      </c>
      <c r="F168" t="s">
        <v>17</v>
      </c>
      <c r="G168" s="47">
        <f t="shared" si="2"/>
        <v>5.4081095313322801E-2</v>
      </c>
      <c r="H168" t="str">
        <f>IF(AND(A168&gt;=$N$5,A168&lt;=$O$5),"During","Before")</f>
        <v>Before</v>
      </c>
      <c r="I168" s="15">
        <f ca="1">AVERAGEIF(Table5[Period],"Before",Table5[[#This Row],[Engagement_Rate]])</f>
        <v>0.13687631843951653</v>
      </c>
      <c r="J168" s="15">
        <f ca="1">AVERAGEIF(Table5[Period],"During",Table5[[#This Row],[Engagement_Rate]])</f>
        <v>0.18610650137258811</v>
      </c>
      <c r="K168" s="47">
        <f ca="1">((Table5[[#This Row],[Avg_During]]-Table5[[#This Row],[Avg_Before]])/I168)</f>
        <v>0.35966910488482789</v>
      </c>
    </row>
    <row r="169" spans="1:11" x14ac:dyDescent="0.3">
      <c r="A169" t="s">
        <v>222</v>
      </c>
      <c r="B169">
        <v>2949</v>
      </c>
      <c r="C169">
        <v>476</v>
      </c>
      <c r="D169">
        <v>403</v>
      </c>
      <c r="E169">
        <v>44235</v>
      </c>
      <c r="F169" t="s">
        <v>21</v>
      </c>
      <c r="G169" s="47">
        <f t="shared" si="2"/>
        <v>8.6537809426924378E-2</v>
      </c>
      <c r="H169" t="str">
        <f>IF(AND(A169&gt;=$N$6,A169&lt;=$O$6),"During","Before")</f>
        <v>Before</v>
      </c>
      <c r="I169" s="15">
        <f ca="1">AVERAGEIF(Table5[Period],"Before",Table5[[#This Row],[Engagement_Rate]])</f>
        <v>0.13710796750563686</v>
      </c>
      <c r="J169" s="15">
        <f ca="1">AVERAGEIF(Table5[Period],"During",Table5[[#This Row],[Engagement_Rate]])</f>
        <v>0.1152109864639979</v>
      </c>
      <c r="K169" s="47">
        <f ca="1">((Table5[[#This Row],[Avg_During]]-Table5[[#This Row],[Avg_Before]])/I169)</f>
        <v>-0.15970611657370476</v>
      </c>
    </row>
    <row r="170" spans="1:11" x14ac:dyDescent="0.3">
      <c r="A170" t="s">
        <v>44</v>
      </c>
      <c r="B170">
        <v>3170</v>
      </c>
      <c r="C170">
        <v>857</v>
      </c>
      <c r="D170">
        <v>379</v>
      </c>
      <c r="E170">
        <v>19020</v>
      </c>
      <c r="F170" t="s">
        <v>603</v>
      </c>
      <c r="G170" s="47">
        <f t="shared" si="2"/>
        <v>0.2316508937960042</v>
      </c>
      <c r="H170" t="s">
        <v>603</v>
      </c>
      <c r="I170" s="15">
        <f ca="1">AVERAGEIF(Table5[Period],"Before",Table5[[#This Row],[Engagement_Rate]])</f>
        <v>0.13639966869238782</v>
      </c>
      <c r="J170" s="15">
        <f ca="1">AVERAGEIF(Table5[Period],"During",Table5[[#This Row],[Engagement_Rate]])</f>
        <v>0.12553693546766692</v>
      </c>
      <c r="K170" s="47">
        <f ca="1">((Table5[[#This Row],[Avg_During]]-Table5[[#This Row],[Avg_Before]])/I170)</f>
        <v>-7.9639000071318508E-2</v>
      </c>
    </row>
    <row r="171" spans="1:11" x14ac:dyDescent="0.3">
      <c r="A171" t="s">
        <v>517</v>
      </c>
      <c r="B171">
        <v>400</v>
      </c>
      <c r="C171">
        <v>680</v>
      </c>
      <c r="D171">
        <v>434</v>
      </c>
      <c r="E171">
        <v>6400</v>
      </c>
      <c r="F171" t="s">
        <v>21</v>
      </c>
      <c r="G171" s="47">
        <f t="shared" si="2"/>
        <v>0.23656250000000001</v>
      </c>
      <c r="H171" t="str">
        <f>IF(AND(A171&gt;=$N$6,A171&lt;=$O$6),"During","Before")</f>
        <v>Before</v>
      </c>
      <c r="I171" s="15">
        <f ca="1">AVERAGEIF(Table5[Period],"Before",Table5[[#This Row],[Engagement_Rate]])</f>
        <v>0.13554793033086129</v>
      </c>
      <c r="J171" s="15">
        <f ca="1">AVERAGEIF(Table5[Period],"During",Table5[[#This Row],[Engagement_Rate]])</f>
        <v>0.18753857602884583</v>
      </c>
      <c r="K171" s="47">
        <f ca="1">((Table5[[#This Row],[Avg_During]]-Table5[[#This Row],[Avg_Before]])/I171)</f>
        <v>0.38355912606765491</v>
      </c>
    </row>
    <row r="172" spans="1:11" x14ac:dyDescent="0.3">
      <c r="A172" t="s">
        <v>87</v>
      </c>
      <c r="B172">
        <v>4771</v>
      </c>
      <c r="C172">
        <v>818</v>
      </c>
      <c r="D172">
        <v>56</v>
      </c>
      <c r="E172">
        <v>57252</v>
      </c>
      <c r="F172" t="s">
        <v>603</v>
      </c>
      <c r="G172" s="47">
        <f t="shared" si="2"/>
        <v>9.859917557465242E-2</v>
      </c>
      <c r="H172" t="s">
        <v>603</v>
      </c>
      <c r="I172" s="15">
        <f ca="1">AVERAGEIF(Table5[Period],"Before",Table5[[#This Row],[Engagement_Rate]])</f>
        <v>0.14081320291207675</v>
      </c>
      <c r="J172" s="15">
        <f ca="1">AVERAGEIF(Table5[Period],"During",Table5[[#This Row],[Engagement_Rate]])</f>
        <v>0.15553791482602558</v>
      </c>
      <c r="K172" s="47">
        <f ca="1">((Table5[[#This Row],[Avg_During]]-Table5[[#This Row],[Avg_Before]])/I172)</f>
        <v>0.10456911432618213</v>
      </c>
    </row>
    <row r="173" spans="1:11" x14ac:dyDescent="0.3">
      <c r="A173" t="s">
        <v>340</v>
      </c>
      <c r="B173">
        <v>1792</v>
      </c>
      <c r="C173">
        <v>614</v>
      </c>
      <c r="D173">
        <v>497</v>
      </c>
      <c r="E173">
        <v>25088</v>
      </c>
      <c r="F173" t="s">
        <v>34</v>
      </c>
      <c r="G173" s="47">
        <f t="shared" si="2"/>
        <v>0.11571269132653061</v>
      </c>
      <c r="H173" t="str">
        <f>IF(AND(A173&gt;=$N$8,A173&lt;=$O$8),"During","Before")</f>
        <v>Before</v>
      </c>
      <c r="I173" s="15">
        <f ca="1">AVERAGEIF(Table5[Period],"Before",Table5[[#This Row],[Engagement_Rate]])</f>
        <v>0.13743248719296633</v>
      </c>
      <c r="J173" s="15">
        <f ca="1">AVERAGEIF(Table5[Period],"During",Table5[[#This Row],[Engagement_Rate]])</f>
        <v>0.14315393945539956</v>
      </c>
      <c r="K173" s="47">
        <f ca="1">((Table5[[#This Row],[Avg_During]]-Table5[[#This Row],[Avg_Before]])/I173)</f>
        <v>4.163100282395274E-2</v>
      </c>
    </row>
    <row r="174" spans="1:11" x14ac:dyDescent="0.3">
      <c r="A174" t="s">
        <v>268</v>
      </c>
      <c r="B174">
        <v>1947</v>
      </c>
      <c r="C174">
        <v>842</v>
      </c>
      <c r="D174">
        <v>101</v>
      </c>
      <c r="E174">
        <v>21417</v>
      </c>
      <c r="F174" t="s">
        <v>21</v>
      </c>
      <c r="G174" s="47">
        <f t="shared" si="2"/>
        <v>0.13493953401503478</v>
      </c>
      <c r="H174" t="str">
        <f>IF(AND(A174&gt;=$N$6,A174&lt;=$O$6),"During","Before")</f>
        <v>Before</v>
      </c>
      <c r="I174" s="15">
        <f ca="1">AVERAGEIF(Table5[Period],"Before",Table5[[#This Row],[Engagement_Rate]])</f>
        <v>0.13744078059373785</v>
      </c>
      <c r="J174" s="15">
        <f ca="1">AVERAGEIF(Table5[Period],"During",Table5[[#This Row],[Engagement_Rate]])</f>
        <v>0.12710957939257697</v>
      </c>
      <c r="K174" s="47">
        <f ca="1">((Table5[[#This Row],[Avg_During]]-Table5[[#This Row],[Avg_Before]])/I174)</f>
        <v>-7.5168382750232965E-2</v>
      </c>
    </row>
    <row r="175" spans="1:11" x14ac:dyDescent="0.3">
      <c r="A175" t="s">
        <v>50</v>
      </c>
      <c r="B175">
        <v>2291</v>
      </c>
      <c r="C175">
        <v>78</v>
      </c>
      <c r="D175">
        <v>485</v>
      </c>
      <c r="E175">
        <v>18328</v>
      </c>
      <c r="F175" t="s">
        <v>21</v>
      </c>
      <c r="G175" s="47">
        <f t="shared" si="2"/>
        <v>0.15571802706241816</v>
      </c>
      <c r="H175" t="str">
        <f>IF(AND(A175&gt;=$N$6,A175&lt;=$O$6),"During","Before")</f>
        <v>Before</v>
      </c>
      <c r="I175" s="15">
        <f ca="1">AVERAGEIF(Table5[Period],"Before",Table5[[#This Row],[Engagement_Rate]])</f>
        <v>0.14281269779301695</v>
      </c>
      <c r="J175" s="15">
        <f ca="1">AVERAGEIF(Table5[Period],"During",Table5[[#This Row],[Engagement_Rate]])</f>
        <v>0.12257019775278963</v>
      </c>
      <c r="K175" s="47">
        <f ca="1">((Table5[[#This Row],[Avg_During]]-Table5[[#This Row],[Avg_Before]])/I175)</f>
        <v>-0.14174159828256608</v>
      </c>
    </row>
    <row r="176" spans="1:11" x14ac:dyDescent="0.3">
      <c r="A176" t="s">
        <v>297</v>
      </c>
      <c r="B176">
        <v>4236</v>
      </c>
      <c r="C176">
        <v>711</v>
      </c>
      <c r="D176">
        <v>298</v>
      </c>
      <c r="E176">
        <v>21180</v>
      </c>
      <c r="F176" t="s">
        <v>17</v>
      </c>
      <c r="G176" s="47">
        <f t="shared" si="2"/>
        <v>0.24763928234183191</v>
      </c>
      <c r="H176" t="str">
        <f>IF(AND(A176&gt;=$N$5,A176&lt;=$O$5),"During","Before")</f>
        <v>During</v>
      </c>
      <c r="I176" s="15">
        <f ca="1">AVERAGEIF(Table5[Period],"Before",Table5[[#This Row],[Engagement_Rate]])</f>
        <v>0.13454672886085017</v>
      </c>
      <c r="J176" s="15">
        <f ca="1">AVERAGEIF(Table5[Period],"During",Table5[[#This Row],[Engagement_Rate]])</f>
        <v>0.26808954461723311</v>
      </c>
      <c r="K176" s="47">
        <f ca="1">((Table5[[#This Row],[Avg_During]]-Table5[[#This Row],[Avg_Before]])/I176)</f>
        <v>0.99253855435232841</v>
      </c>
    </row>
    <row r="177" spans="1:11" x14ac:dyDescent="0.3">
      <c r="A177" t="s">
        <v>409</v>
      </c>
      <c r="B177">
        <v>1813</v>
      </c>
      <c r="C177">
        <v>623</v>
      </c>
      <c r="D177">
        <v>72</v>
      </c>
      <c r="E177">
        <v>19943</v>
      </c>
      <c r="F177" t="s">
        <v>27</v>
      </c>
      <c r="G177" s="47">
        <f t="shared" si="2"/>
        <v>0.12575841147269717</v>
      </c>
      <c r="H177" t="str">
        <f>IF(AND(A177&gt;=$N$7,A177&lt;=$O$7),"During","Before")</f>
        <v>During</v>
      </c>
      <c r="I177" s="15">
        <f ca="1">AVERAGEIF(Table5[Period],"Before",Table5[[#This Row],[Engagement_Rate]])</f>
        <v>0.13840152475149534</v>
      </c>
      <c r="J177" s="15">
        <f ca="1">AVERAGEIF(Table5[Period],"During",Table5[[#This Row],[Engagement_Rate]])</f>
        <v>6.5177133182502248E-2</v>
      </c>
      <c r="K177" s="47">
        <f ca="1">((Table5[[#This Row],[Avg_During]]-Table5[[#This Row],[Avg_Before]])/I177)</f>
        <v>-0.52907214498156707</v>
      </c>
    </row>
    <row r="178" spans="1:11" x14ac:dyDescent="0.3">
      <c r="A178" t="s">
        <v>295</v>
      </c>
      <c r="B178">
        <v>1048</v>
      </c>
      <c r="C178">
        <v>374</v>
      </c>
      <c r="D178">
        <v>450</v>
      </c>
      <c r="E178">
        <v>9432</v>
      </c>
      <c r="F178" t="s">
        <v>27</v>
      </c>
      <c r="G178" s="47">
        <f t="shared" si="2"/>
        <v>0.19847328244274809</v>
      </c>
      <c r="H178" t="str">
        <f>IF(AND(A178&gt;=$N$7,A178&lt;=$O$7),"During","Before")</f>
        <v>Before</v>
      </c>
      <c r="I178" s="15">
        <f ca="1">AVERAGEIF(Table5[Period],"Before",Table5[[#This Row],[Engagement_Rate]])</f>
        <v>0.13969639191212968</v>
      </c>
      <c r="J178" s="15">
        <f ca="1">AVERAGEIF(Table5[Period],"During",Table5[[#This Row],[Engagement_Rate]])</f>
        <v>9.8564978528532327E-2</v>
      </c>
      <c r="K178" s="47">
        <f ca="1">((Table5[[#This Row],[Avg_During]]-Table5[[#This Row],[Avg_Before]])/I178)</f>
        <v>-0.29443432876540859</v>
      </c>
    </row>
    <row r="179" spans="1:11" x14ac:dyDescent="0.3">
      <c r="A179" t="s">
        <v>30</v>
      </c>
      <c r="B179">
        <v>1000</v>
      </c>
      <c r="C179">
        <v>978</v>
      </c>
      <c r="D179">
        <v>162</v>
      </c>
      <c r="E179">
        <v>6000</v>
      </c>
      <c r="F179" t="s">
        <v>21</v>
      </c>
      <c r="G179" s="47">
        <f t="shared" si="2"/>
        <v>0.35666666666666669</v>
      </c>
      <c r="H179" t="str">
        <f>IF(AND(A179&gt;=$N$6,A179&lt;=$O$6),"During","Before")</f>
        <v>Before</v>
      </c>
      <c r="I179" s="15">
        <f ca="1">AVERAGEIF(Table5[Period],"Before",Table5[[#This Row],[Engagement_Rate]])</f>
        <v>0.13391308514584666</v>
      </c>
      <c r="J179" s="15">
        <f ca="1">AVERAGEIF(Table5[Period],"During",Table5[[#This Row],[Engagement_Rate]])</f>
        <v>0.16091760481466386</v>
      </c>
      <c r="K179" s="47">
        <f ca="1">((Table5[[#This Row],[Avg_During]]-Table5[[#This Row],[Avg_Before]])/I179)</f>
        <v>0.20165706465059924</v>
      </c>
    </row>
    <row r="180" spans="1:11" x14ac:dyDescent="0.3">
      <c r="A180" t="s">
        <v>139</v>
      </c>
      <c r="B180">
        <v>3557</v>
      </c>
      <c r="C180">
        <v>687</v>
      </c>
      <c r="D180">
        <v>424</v>
      </c>
      <c r="E180">
        <v>71140</v>
      </c>
      <c r="F180" t="s">
        <v>17</v>
      </c>
      <c r="G180" s="47">
        <f t="shared" si="2"/>
        <v>6.5617093055946027E-2</v>
      </c>
      <c r="H180" t="str">
        <f>IF(AND(A180&gt;=$N$5,A180&lt;=$O$5),"During","Before")</f>
        <v>Before</v>
      </c>
      <c r="I180" s="15">
        <f ca="1">AVERAGEIF(Table5[Period],"Before",Table5[[#This Row],[Engagement_Rate]])</f>
        <v>0.13112764525352638</v>
      </c>
      <c r="J180" s="15">
        <f ca="1">AVERAGEIF(Table5[Period],"During",Table5[[#This Row],[Engagement_Rate]])</f>
        <v>0.18717889177711047</v>
      </c>
      <c r="K180" s="47">
        <f ca="1">((Table5[[#This Row],[Avg_During]]-Table5[[#This Row],[Avg_Before]])/I180)</f>
        <v>0.42745560186955861</v>
      </c>
    </row>
    <row r="181" spans="1:11" x14ac:dyDescent="0.3">
      <c r="A181" t="s">
        <v>109</v>
      </c>
      <c r="B181">
        <v>3731</v>
      </c>
      <c r="C181">
        <v>115</v>
      </c>
      <c r="D181">
        <v>135</v>
      </c>
      <c r="E181">
        <v>55965</v>
      </c>
      <c r="F181" t="s">
        <v>17</v>
      </c>
      <c r="G181" s="47">
        <f t="shared" si="2"/>
        <v>7.1133744304476013E-2</v>
      </c>
      <c r="H181" t="str">
        <f>IF(AND(A181&gt;=$N$5,A181&lt;=$O$5),"During","Before")</f>
        <v>Before</v>
      </c>
      <c r="I181" s="15">
        <f ca="1">AVERAGEIF(Table5[Period],"Before",Table5[[#This Row],[Engagement_Rate]])</f>
        <v>0.12887635049552237</v>
      </c>
      <c r="J181" s="15">
        <f ca="1">AVERAGEIF(Table5[Period],"During",Table5[[#This Row],[Engagement_Rate]])</f>
        <v>0.12198347414757139</v>
      </c>
      <c r="K181" s="47">
        <f ca="1">((Table5[[#This Row],[Avg_During]]-Table5[[#This Row],[Avg_Before]])/I181)</f>
        <v>-5.3484416042573014E-2</v>
      </c>
    </row>
    <row r="182" spans="1:11" x14ac:dyDescent="0.3">
      <c r="A182" t="s">
        <v>190</v>
      </c>
      <c r="B182">
        <v>2120</v>
      </c>
      <c r="C182">
        <v>38</v>
      </c>
      <c r="D182">
        <v>212</v>
      </c>
      <c r="E182">
        <v>12720</v>
      </c>
      <c r="F182" t="s">
        <v>34</v>
      </c>
      <c r="G182" s="47">
        <f t="shared" si="2"/>
        <v>0.18632075471698112</v>
      </c>
      <c r="H182" t="str">
        <f>IF(AND(A182&gt;=$N$8,A182&lt;=$O$8),"During","Before")</f>
        <v>Before</v>
      </c>
      <c r="I182" s="15">
        <f ca="1">AVERAGEIF(Table5[Period],"Before",Table5[[#This Row],[Engagement_Rate]])</f>
        <v>0.12971436279441434</v>
      </c>
      <c r="J182" s="15">
        <f ca="1">AVERAGEIF(Table5[Period],"During",Table5[[#This Row],[Engagement_Rate]])</f>
        <v>0.1861829439976293</v>
      </c>
      <c r="K182" s="47">
        <f ca="1">((Table5[[#This Row],[Avg_During]]-Table5[[#This Row],[Avg_Before]])/I182)</f>
        <v>0.43533021314465087</v>
      </c>
    </row>
    <row r="183" spans="1:11" x14ac:dyDescent="0.3">
      <c r="A183" t="s">
        <v>230</v>
      </c>
      <c r="B183">
        <v>941</v>
      </c>
      <c r="C183">
        <v>121</v>
      </c>
      <c r="D183">
        <v>458</v>
      </c>
      <c r="E183">
        <v>14115</v>
      </c>
      <c r="F183" t="s">
        <v>17</v>
      </c>
      <c r="G183" s="47">
        <f t="shared" si="2"/>
        <v>0.10768685795253277</v>
      </c>
      <c r="H183" t="str">
        <f>IF(AND(A183&gt;=$N$5,A183&lt;=$O$5),"During","Before")</f>
        <v>Before</v>
      </c>
      <c r="I183" s="15">
        <f ca="1">AVERAGEIF(Table5[Period],"Before",Table5[[#This Row],[Engagement_Rate]])</f>
        <v>0.1396224657328021</v>
      </c>
      <c r="J183" s="15">
        <f ca="1">AVERAGEIF(Table5[Period],"During",Table5[[#This Row],[Engagement_Rate]])</f>
        <v>0.14393792388183546</v>
      </c>
      <c r="K183" s="47">
        <f ca="1">((Table5[[#This Row],[Avg_During]]-Table5[[#This Row],[Avg_Before]])/I183)</f>
        <v>3.0908049978804482E-2</v>
      </c>
    </row>
    <row r="184" spans="1:11" x14ac:dyDescent="0.3">
      <c r="A184" t="s">
        <v>154</v>
      </c>
      <c r="B184">
        <v>4739</v>
      </c>
      <c r="C184">
        <v>527</v>
      </c>
      <c r="D184">
        <v>135</v>
      </c>
      <c r="E184">
        <v>61607</v>
      </c>
      <c r="F184" t="s">
        <v>21</v>
      </c>
      <c r="G184" s="47">
        <f t="shared" si="2"/>
        <v>8.7668609086629767E-2</v>
      </c>
      <c r="H184" t="str">
        <f>IF(AND(A184&gt;=$N$6,A184&lt;=$O$6),"During","Before")</f>
        <v>Before</v>
      </c>
      <c r="I184" s="15">
        <f ca="1">AVERAGEIF(Table5[Period],"Before",Table5[[#This Row],[Engagement_Rate]])</f>
        <v>0.13743736083472693</v>
      </c>
      <c r="J184" s="15">
        <f ca="1">AVERAGEIF(Table5[Period],"During",Table5[[#This Row],[Engagement_Rate]])</f>
        <v>8.1249365563071552E-2</v>
      </c>
      <c r="K184" s="47">
        <f ca="1">((Table5[[#This Row],[Avg_During]]-Table5[[#This Row],[Avg_Before]])/I184)</f>
        <v>-0.40882620948479464</v>
      </c>
    </row>
    <row r="185" spans="1:11" x14ac:dyDescent="0.3">
      <c r="A185" t="s">
        <v>456</v>
      </c>
      <c r="B185">
        <v>804</v>
      </c>
      <c r="C185">
        <v>639</v>
      </c>
      <c r="D185">
        <v>43</v>
      </c>
      <c r="E185">
        <v>4020</v>
      </c>
      <c r="F185" t="s">
        <v>603</v>
      </c>
      <c r="G185" s="47">
        <f t="shared" si="2"/>
        <v>0.36965174129353234</v>
      </c>
      <c r="H185" t="s">
        <v>603</v>
      </c>
      <c r="I185" s="15">
        <f ca="1">AVERAGEIF(Table5[Period],"Before",Table5[[#This Row],[Engagement_Rate]])</f>
        <v>0.14316448384597977</v>
      </c>
      <c r="J185" s="15">
        <f ca="1">AVERAGEIF(Table5[Period],"During",Table5[[#This Row],[Engagement_Rate]])</f>
        <v>0.11397234775407333</v>
      </c>
      <c r="K185" s="47">
        <f ca="1">((Table5[[#This Row],[Avg_During]]-Table5[[#This Row],[Avg_Before]])/I185)</f>
        <v>-0.20390627135786082</v>
      </c>
    </row>
    <row r="186" spans="1:11" x14ac:dyDescent="0.3">
      <c r="A186" t="s">
        <v>175</v>
      </c>
      <c r="B186">
        <v>1877</v>
      </c>
      <c r="C186">
        <v>745</v>
      </c>
      <c r="D186">
        <v>225</v>
      </c>
      <c r="E186">
        <v>11262</v>
      </c>
      <c r="F186" t="s">
        <v>34</v>
      </c>
      <c r="G186" s="47">
        <f t="shared" si="2"/>
        <v>0.25279701651571657</v>
      </c>
      <c r="H186" t="str">
        <f>IF(AND(A186&gt;=$N$8,A186&lt;=$O$8),"During","Before")</f>
        <v>Before</v>
      </c>
      <c r="I186" s="15">
        <f ca="1">AVERAGEIF(Table5[Period],"Before",Table5[[#This Row],[Engagement_Rate]])</f>
        <v>0.132393332469664</v>
      </c>
      <c r="J186" s="15">
        <f ca="1">AVERAGEIF(Table5[Period],"During",Table5[[#This Row],[Engagement_Rate]])</f>
        <v>0.15002750338968604</v>
      </c>
      <c r="K186" s="47">
        <f ca="1">((Table5[[#This Row],[Avg_During]]-Table5[[#This Row],[Avg_Before]])/I186)</f>
        <v>0.13319530969629945</v>
      </c>
    </row>
    <row r="187" spans="1:11" x14ac:dyDescent="0.3">
      <c r="A187" t="s">
        <v>435</v>
      </c>
      <c r="B187">
        <v>827</v>
      </c>
      <c r="C187">
        <v>77</v>
      </c>
      <c r="D187">
        <v>402</v>
      </c>
      <c r="E187">
        <v>14886</v>
      </c>
      <c r="F187" t="s">
        <v>21</v>
      </c>
      <c r="G187" s="47">
        <f t="shared" si="2"/>
        <v>8.7733440816874911E-2</v>
      </c>
      <c r="H187" t="str">
        <f>IF(AND(A187&gt;=$N$6,A187&lt;=$O$6),"During","Before")</f>
        <v>Before</v>
      </c>
      <c r="I187" s="15">
        <f ca="1">AVERAGEIF(Table5[Period],"Before",Table5[[#This Row],[Engagement_Rate]])</f>
        <v>0.13665344654798242</v>
      </c>
      <c r="J187" s="15">
        <f ca="1">AVERAGEIF(Table5[Period],"During",Table5[[#This Row],[Engagement_Rate]])</f>
        <v>9.6487839611394746E-2</v>
      </c>
      <c r="K187" s="47">
        <f ca="1">((Table5[[#This Row],[Avg_During]]-Table5[[#This Row],[Avg_Before]])/I187)</f>
        <v>-0.29392311684202221</v>
      </c>
    </row>
    <row r="188" spans="1:11" x14ac:dyDescent="0.3">
      <c r="A188" t="s">
        <v>338</v>
      </c>
      <c r="B188">
        <v>3649</v>
      </c>
      <c r="C188">
        <v>215</v>
      </c>
      <c r="D188">
        <v>413</v>
      </c>
      <c r="E188">
        <v>25543</v>
      </c>
      <c r="F188" t="s">
        <v>27</v>
      </c>
      <c r="G188" s="47">
        <f t="shared" si="2"/>
        <v>0.16744313510550835</v>
      </c>
      <c r="H188" t="str">
        <f>IF(AND(A188&gt;=$N$7,A188&lt;=$O$7),"During","Before")</f>
        <v>Before</v>
      </c>
      <c r="I188" s="15">
        <f ca="1">AVERAGEIF(Table5[Period],"Before",Table5[[#This Row],[Engagement_Rate]])</f>
        <v>0.13062500548938133</v>
      </c>
      <c r="J188" s="15">
        <f ca="1">AVERAGEIF(Table5[Period],"During",Table5[[#This Row],[Engagement_Rate]])</f>
        <v>0.10518875846726861</v>
      </c>
      <c r="K188" s="47">
        <f ca="1">((Table5[[#This Row],[Avg_During]]-Table5[[#This Row],[Avg_Before]])/I188)</f>
        <v>-0.19472724174683742</v>
      </c>
    </row>
    <row r="189" spans="1:11" x14ac:dyDescent="0.3">
      <c r="A189" t="s">
        <v>53</v>
      </c>
      <c r="B189">
        <v>571</v>
      </c>
      <c r="C189">
        <v>190</v>
      </c>
      <c r="D189">
        <v>352</v>
      </c>
      <c r="E189">
        <v>9707</v>
      </c>
      <c r="F189" t="s">
        <v>34</v>
      </c>
      <c r="G189" s="47">
        <f t="shared" si="2"/>
        <v>0.11465952405480581</v>
      </c>
      <c r="H189" t="str">
        <f>IF(AND(A189&gt;=$N$8,A189&lt;=$O$8),"During","Before")</f>
        <v>During</v>
      </c>
      <c r="I189" s="15">
        <f ca="1">AVERAGEIF(Table5[Period],"Before",Table5[[#This Row],[Engagement_Rate]])</f>
        <v>0.13435112133612445</v>
      </c>
      <c r="J189" s="15">
        <f ca="1">AVERAGEIF(Table5[Period],"During",Table5[[#This Row],[Engagement_Rate]])</f>
        <v>7.9274556406891405E-2</v>
      </c>
      <c r="K189" s="47">
        <f ca="1">((Table5[[#This Row],[Avg_During]]-Table5[[#This Row],[Avg_Before]])/I189)</f>
        <v>-0.4099449590111014</v>
      </c>
    </row>
    <row r="190" spans="1:11" x14ac:dyDescent="0.3">
      <c r="A190" t="s">
        <v>256</v>
      </c>
      <c r="B190">
        <v>4213</v>
      </c>
      <c r="C190">
        <v>253</v>
      </c>
      <c r="D190">
        <v>434</v>
      </c>
      <c r="E190">
        <v>75834</v>
      </c>
      <c r="F190" t="s">
        <v>34</v>
      </c>
      <c r="G190" s="47">
        <f t="shared" si="2"/>
        <v>6.461481657304112E-2</v>
      </c>
      <c r="H190" t="str">
        <f>IF(AND(A190&gt;=$N$8,A190&lt;=$O$8),"During","Before")</f>
        <v>Before</v>
      </c>
      <c r="I190" s="15">
        <f ca="1">AVERAGEIF(Table5[Period],"Before",Table5[[#This Row],[Engagement_Rate]])</f>
        <v>0.12751952095200045</v>
      </c>
      <c r="J190" s="15">
        <f ca="1">AVERAGEIF(Table5[Period],"During",Table5[[#This Row],[Engagement_Rate]])</f>
        <v>0.14447579129420965</v>
      </c>
      <c r="K190" s="47">
        <f ca="1">((Table5[[#This Row],[Avg_During]]-Table5[[#This Row],[Avg_Before]])/I190)</f>
        <v>0.13296999718648334</v>
      </c>
    </row>
    <row r="191" spans="1:11" x14ac:dyDescent="0.3">
      <c r="A191" t="s">
        <v>144</v>
      </c>
      <c r="B191">
        <v>1766</v>
      </c>
      <c r="C191">
        <v>92</v>
      </c>
      <c r="D191">
        <v>424</v>
      </c>
      <c r="E191">
        <v>24724</v>
      </c>
      <c r="F191" t="s">
        <v>603</v>
      </c>
      <c r="G191" s="47">
        <f t="shared" si="2"/>
        <v>9.2298980747451867E-2</v>
      </c>
      <c r="H191" t="s">
        <v>603</v>
      </c>
      <c r="I191" s="15">
        <f ca="1">AVERAGEIF(Table5[Period],"Before",Table5[[#This Row],[Engagement_Rate]])</f>
        <v>0.13487226255703927</v>
      </c>
      <c r="J191" s="15">
        <f ca="1">AVERAGEIF(Table5[Period],"During",Table5[[#This Row],[Engagement_Rate]])</f>
        <v>0.1338865466046861</v>
      </c>
      <c r="K191" s="47">
        <f ca="1">((Table5[[#This Row],[Avg_During]]-Table5[[#This Row],[Avg_Before]])/I191)</f>
        <v>-7.3085149879226971E-3</v>
      </c>
    </row>
    <row r="192" spans="1:11" x14ac:dyDescent="0.3">
      <c r="A192" t="s">
        <v>361</v>
      </c>
      <c r="B192">
        <v>3452</v>
      </c>
      <c r="C192">
        <v>377</v>
      </c>
      <c r="D192">
        <v>360</v>
      </c>
      <c r="E192">
        <v>55232</v>
      </c>
      <c r="F192" t="s">
        <v>27</v>
      </c>
      <c r="G192" s="47">
        <f t="shared" si="2"/>
        <v>7.5843713789107758E-2</v>
      </c>
      <c r="H192" t="str">
        <f>IF(AND(A192&gt;=$N$7,A192&lt;=$O$7),"During","Before")</f>
        <v>Before</v>
      </c>
      <c r="I192" s="15">
        <f ca="1">AVERAGEIF(Table5[Period],"Before",Table5[[#This Row],[Engagement_Rate]])</f>
        <v>0.13180652993638373</v>
      </c>
      <c r="J192" s="15">
        <f ca="1">AVERAGEIF(Table5[Period],"During",Table5[[#This Row],[Engagement_Rate]])</f>
        <v>9.2815297584325163E-2</v>
      </c>
      <c r="K192" s="47">
        <f ca="1">((Table5[[#This Row],[Avg_During]]-Table5[[#This Row],[Avg_Before]])/I192)</f>
        <v>-0.29582170451553225</v>
      </c>
    </row>
    <row r="193" spans="1:11" x14ac:dyDescent="0.3">
      <c r="A193" t="s">
        <v>262</v>
      </c>
      <c r="B193">
        <v>1963</v>
      </c>
      <c r="C193">
        <v>213</v>
      </c>
      <c r="D193">
        <v>19</v>
      </c>
      <c r="E193">
        <v>39260</v>
      </c>
      <c r="F193" t="s">
        <v>603</v>
      </c>
      <c r="G193" s="47">
        <f t="shared" si="2"/>
        <v>5.5909322465613857E-2</v>
      </c>
      <c r="H193" t="s">
        <v>603</v>
      </c>
      <c r="I193" s="15">
        <f ca="1">AVERAGEIF(Table5[Period],"Before",Table5[[#This Row],[Engagement_Rate]])</f>
        <v>0.12764185504125675</v>
      </c>
      <c r="J193" s="15">
        <f ca="1">AVERAGEIF(Table5[Period],"During",Table5[[#This Row],[Engagement_Rate]])</f>
        <v>0.17725393258114122</v>
      </c>
      <c r="K193" s="47">
        <f ca="1">((Table5[[#This Row],[Avg_During]]-Table5[[#This Row],[Avg_Before]])/I193)</f>
        <v>0.38868189062160469</v>
      </c>
    </row>
    <row r="194" spans="1:11" x14ac:dyDescent="0.3">
      <c r="A194" t="s">
        <v>273</v>
      </c>
      <c r="B194">
        <v>3090</v>
      </c>
      <c r="C194">
        <v>697</v>
      </c>
      <c r="D194">
        <v>164</v>
      </c>
      <c r="E194">
        <v>49440</v>
      </c>
      <c r="F194" t="s">
        <v>21</v>
      </c>
      <c r="G194" s="47">
        <f t="shared" si="2"/>
        <v>7.9915048543689318E-2</v>
      </c>
      <c r="H194" t="str">
        <f>IF(AND(A194&gt;=$N$6,A194&lt;=$O$6),"During","Before")</f>
        <v>Before</v>
      </c>
      <c r="I194" s="15">
        <f ca="1">AVERAGEIF(Table5[Period],"Before",Table5[[#This Row],[Engagement_Rate]])</f>
        <v>0.12705587965701851</v>
      </c>
      <c r="J194" s="15">
        <f ca="1">AVERAGEIF(Table5[Period],"During",Table5[[#This Row],[Engagement_Rate]])</f>
        <v>0.14479326963356087</v>
      </c>
      <c r="K194" s="47">
        <f ca="1">((Table5[[#This Row],[Avg_During]]-Table5[[#This Row],[Avg_Before]])/I194)</f>
        <v>0.13960306303355369</v>
      </c>
    </row>
    <row r="195" spans="1:11" x14ac:dyDescent="0.3">
      <c r="A195" t="s">
        <v>19</v>
      </c>
      <c r="B195">
        <v>3360</v>
      </c>
      <c r="C195">
        <v>525</v>
      </c>
      <c r="D195">
        <v>500</v>
      </c>
      <c r="E195">
        <v>60480</v>
      </c>
      <c r="F195" t="s">
        <v>17</v>
      </c>
      <c r="G195" s="47">
        <f t="shared" si="2"/>
        <v>7.2503306878306875E-2</v>
      </c>
      <c r="H195" t="str">
        <f>IF(AND(A195&gt;=$N$5,A195&lt;=$O$5),"During","Before")</f>
        <v>Before</v>
      </c>
      <c r="I195" s="15">
        <f ca="1">AVERAGEIF(Table5[Period],"Before",Table5[[#This Row],[Engagement_Rate]])</f>
        <v>0.13750457643756306</v>
      </c>
      <c r="J195" s="15">
        <f ca="1">AVERAGEIF(Table5[Period],"During",Table5[[#This Row],[Engagement_Rate]])</f>
        <v>0.14790911517244271</v>
      </c>
      <c r="K195" s="47">
        <f ca="1">((Table5[[#This Row],[Avg_During]]-Table5[[#This Row],[Avg_Before]])/I195)</f>
        <v>7.5666854183606427E-2</v>
      </c>
    </row>
    <row r="196" spans="1:11" x14ac:dyDescent="0.3">
      <c r="A196" t="s">
        <v>62</v>
      </c>
      <c r="B196">
        <v>3138</v>
      </c>
      <c r="C196">
        <v>123</v>
      </c>
      <c r="D196">
        <v>291</v>
      </c>
      <c r="E196">
        <v>28242</v>
      </c>
      <c r="F196" t="s">
        <v>34</v>
      </c>
      <c r="G196" s="47">
        <f t="shared" si="2"/>
        <v>0.12577012959422137</v>
      </c>
      <c r="H196" t="str">
        <f>IF(AND(A196&gt;=$N$8,A196&lt;=$O$8),"During","Before")</f>
        <v>Before</v>
      </c>
      <c r="I196" s="15">
        <f ca="1">AVERAGEIF(Table5[Period],"Before",Table5[[#This Row],[Engagement_Rate]])</f>
        <v>0.13222573451189315</v>
      </c>
      <c r="J196" s="15">
        <f ca="1">AVERAGEIF(Table5[Period],"During",Table5[[#This Row],[Engagement_Rate]])</f>
        <v>9.617748681766565E-2</v>
      </c>
      <c r="K196" s="47">
        <f ca="1">((Table5[[#This Row],[Avg_During]]-Table5[[#This Row],[Avg_Before]])/I196)</f>
        <v>-0.27262656416542813</v>
      </c>
    </row>
    <row r="197" spans="1:11" x14ac:dyDescent="0.3">
      <c r="A197" t="s">
        <v>252</v>
      </c>
      <c r="B197">
        <v>4241</v>
      </c>
      <c r="C197">
        <v>902</v>
      </c>
      <c r="D197">
        <v>47</v>
      </c>
      <c r="E197">
        <v>72097</v>
      </c>
      <c r="F197" t="s">
        <v>21</v>
      </c>
      <c r="G197" s="47">
        <f t="shared" ref="G197:G260" si="3">((B197+C197+D197)/E197)</f>
        <v>7.198635172059864E-2</v>
      </c>
      <c r="H197" t="str">
        <f>IF(AND(A197&gt;=$N$6,A197&lt;=$O$6),"During","Before")</f>
        <v>Before</v>
      </c>
      <c r="I197" s="15">
        <f ca="1">AVERAGEIF(Table5[Period],"Before",Table5[[#This Row],[Engagement_Rate]])</f>
        <v>0.13482777555202363</v>
      </c>
      <c r="J197" s="15">
        <f ca="1">AVERAGEIF(Table5[Period],"During",Table5[[#This Row],[Engagement_Rate]])</f>
        <v>0.15634217619871679</v>
      </c>
      <c r="K197" s="47">
        <f ca="1">((Table5[[#This Row],[Avg_During]]-Table5[[#This Row],[Avg_Before]])/I197)</f>
        <v>0.15956949937508816</v>
      </c>
    </row>
    <row r="198" spans="1:11" x14ac:dyDescent="0.3">
      <c r="A198" t="s">
        <v>111</v>
      </c>
      <c r="B198">
        <v>4021</v>
      </c>
      <c r="C198">
        <v>794</v>
      </c>
      <c r="D198">
        <v>77</v>
      </c>
      <c r="E198">
        <v>36189</v>
      </c>
      <c r="F198" t="s">
        <v>603</v>
      </c>
      <c r="G198" s="47">
        <f t="shared" si="3"/>
        <v>0.13517919809886983</v>
      </c>
      <c r="H198" t="s">
        <v>603</v>
      </c>
      <c r="I198" s="15">
        <f ca="1">AVERAGEIF(Table5[Period],"Before",Table5[[#This Row],[Engagement_Rate]])</f>
        <v>0.13829596403553496</v>
      </c>
      <c r="J198" s="15">
        <f ca="1">AVERAGEIF(Table5[Period],"During",Table5[[#This Row],[Engagement_Rate]])</f>
        <v>9.6654404252124612E-2</v>
      </c>
      <c r="K198" s="47">
        <f ca="1">((Table5[[#This Row],[Avg_During]]-Table5[[#This Row],[Avg_Before]])/I198)</f>
        <v>-0.30110466399952646</v>
      </c>
    </row>
    <row r="199" spans="1:11" x14ac:dyDescent="0.3">
      <c r="A199" t="s">
        <v>206</v>
      </c>
      <c r="B199">
        <v>1430</v>
      </c>
      <c r="C199">
        <v>376</v>
      </c>
      <c r="D199">
        <v>33</v>
      </c>
      <c r="E199">
        <v>21450</v>
      </c>
      <c r="F199" t="s">
        <v>17</v>
      </c>
      <c r="G199" s="47">
        <f t="shared" si="3"/>
        <v>8.5734265734265735E-2</v>
      </c>
      <c r="H199" t="str">
        <f>IF(AND(A199&gt;=$N$5,A199&lt;=$O$5),"During","Before")</f>
        <v>Before</v>
      </c>
      <c r="I199" s="15">
        <f ca="1">AVERAGEIF(Table5[Period],"Before",Table5[[#This Row],[Engagement_Rate]])</f>
        <v>0.13211051428786752</v>
      </c>
      <c r="J199" s="15">
        <f ca="1">AVERAGEIF(Table5[Period],"During",Table5[[#This Row],[Engagement_Rate]])</f>
        <v>0.23961458451292997</v>
      </c>
      <c r="K199" s="47">
        <f ca="1">((Table5[[#This Row],[Avg_During]]-Table5[[#This Row],[Avg_Before]])/I199)</f>
        <v>0.8137434844195075</v>
      </c>
    </row>
    <row r="200" spans="1:11" x14ac:dyDescent="0.3">
      <c r="A200" t="s">
        <v>144</v>
      </c>
      <c r="B200">
        <v>562</v>
      </c>
      <c r="C200">
        <v>158</v>
      </c>
      <c r="D200">
        <v>149</v>
      </c>
      <c r="E200">
        <v>3372</v>
      </c>
      <c r="F200" t="s">
        <v>17</v>
      </c>
      <c r="G200" s="47">
        <f t="shared" si="3"/>
        <v>0.25771055753262156</v>
      </c>
      <c r="H200" t="str">
        <f>IF(AND(A200&gt;=$N$5,A200&lt;=$O$5),"During","Before")</f>
        <v>During</v>
      </c>
      <c r="I200" s="15">
        <f ca="1">AVERAGEIF(Table5[Period],"Before",Table5[[#This Row],[Engagement_Rate]])</f>
        <v>0.14130086666159011</v>
      </c>
      <c r="J200" s="15">
        <f ca="1">AVERAGEIF(Table5[Period],"During",Table5[[#This Row],[Engagement_Rate]])</f>
        <v>0.10380474772605401</v>
      </c>
      <c r="K200" s="47">
        <f ca="1">((Table5[[#This Row],[Avg_During]]-Table5[[#This Row],[Avg_Before]])/I200)</f>
        <v>-0.26536368687205436</v>
      </c>
    </row>
    <row r="201" spans="1:11" x14ac:dyDescent="0.3">
      <c r="A201" t="s">
        <v>65</v>
      </c>
      <c r="B201">
        <v>1814</v>
      </c>
      <c r="C201">
        <v>653</v>
      </c>
      <c r="D201">
        <v>363</v>
      </c>
      <c r="E201">
        <v>25396</v>
      </c>
      <c r="F201" t="s">
        <v>17</v>
      </c>
      <c r="G201" s="47">
        <f t="shared" si="3"/>
        <v>0.11143487163332809</v>
      </c>
      <c r="H201" t="str">
        <f>IF(AND(A201&gt;=$N$5,A201&lt;=$O$5),"During","Before")</f>
        <v>Before</v>
      </c>
      <c r="I201" s="15">
        <f ca="1">AVERAGEIF(Table5[Period],"Before",Table5[[#This Row],[Engagement_Rate]])</f>
        <v>0.12749831655623375</v>
      </c>
      <c r="J201" s="15">
        <f ca="1">AVERAGEIF(Table5[Period],"During",Table5[[#This Row],[Engagement_Rate]])</f>
        <v>0.25474549760125192</v>
      </c>
      <c r="K201" s="47">
        <f ca="1">((Table5[[#This Row],[Avg_During]]-Table5[[#This Row],[Avg_Before]])/I201)</f>
        <v>0.9980302837088455</v>
      </c>
    </row>
    <row r="202" spans="1:11" x14ac:dyDescent="0.3">
      <c r="A202" t="s">
        <v>158</v>
      </c>
      <c r="B202">
        <v>53</v>
      </c>
      <c r="C202">
        <v>81</v>
      </c>
      <c r="D202">
        <v>379</v>
      </c>
      <c r="E202">
        <v>954</v>
      </c>
      <c r="F202" t="s">
        <v>27</v>
      </c>
      <c r="G202" s="47">
        <f t="shared" si="3"/>
        <v>0.53773584905660377</v>
      </c>
      <c r="H202" t="str">
        <f>IF(AND(A202&gt;=$N$7,A202&lt;=$O$7),"During","Before")</f>
        <v>Before</v>
      </c>
      <c r="I202" s="15">
        <f ca="1">AVERAGEIF(Table5[Period],"Before",Table5[[#This Row],[Engagement_Rate]])</f>
        <v>0.1404989858532685</v>
      </c>
      <c r="J202" s="15">
        <f ca="1">AVERAGEIF(Table5[Period],"During",Table5[[#This Row],[Engagement_Rate]])</f>
        <v>0.16197961487313647</v>
      </c>
      <c r="K202" s="47">
        <f ca="1">((Table5[[#This Row],[Avg_During]]-Table5[[#This Row],[Avg_Before]])/I202)</f>
        <v>0.15288814285322655</v>
      </c>
    </row>
    <row r="203" spans="1:11" x14ac:dyDescent="0.3">
      <c r="A203" t="s">
        <v>79</v>
      </c>
      <c r="B203">
        <v>1330</v>
      </c>
      <c r="C203">
        <v>925</v>
      </c>
      <c r="D203">
        <v>35</v>
      </c>
      <c r="E203">
        <v>15960</v>
      </c>
      <c r="F203" t="s">
        <v>27</v>
      </c>
      <c r="G203" s="47">
        <f t="shared" si="3"/>
        <v>0.14348370927318296</v>
      </c>
      <c r="H203" t="str">
        <f>IF(AND(A203&gt;=$N$7,A203&lt;=$O$7),"During","Before")</f>
        <v>Before</v>
      </c>
      <c r="I203" s="15">
        <f ca="1">AVERAGEIF(Table5[Period],"Before",Table5[[#This Row],[Engagement_Rate]])</f>
        <v>0.12908240776525154</v>
      </c>
      <c r="J203" s="15">
        <f ca="1">AVERAGEIF(Table5[Period],"During",Table5[[#This Row],[Engagement_Rate]])</f>
        <v>8.8903120915997738E-2</v>
      </c>
      <c r="K203" s="47">
        <f ca="1">((Table5[[#This Row],[Avg_During]]-Table5[[#This Row],[Avg_Before]])/I203)</f>
        <v>-0.3112684954120441</v>
      </c>
    </row>
    <row r="204" spans="1:11" x14ac:dyDescent="0.3">
      <c r="A204" t="s">
        <v>293</v>
      </c>
      <c r="B204">
        <v>1881</v>
      </c>
      <c r="C204">
        <v>501</v>
      </c>
      <c r="D204">
        <v>99</v>
      </c>
      <c r="E204">
        <v>20691</v>
      </c>
      <c r="F204" t="s">
        <v>603</v>
      </c>
      <c r="G204" s="47">
        <f t="shared" si="3"/>
        <v>0.11990720603160794</v>
      </c>
      <c r="H204" t="s">
        <v>603</v>
      </c>
      <c r="I204" s="15">
        <f ca="1">AVERAGEIF(Table5[Period],"Before",Table5[[#This Row],[Engagement_Rate]])</f>
        <v>0.13092889039333028</v>
      </c>
      <c r="J204" s="15">
        <f ca="1">AVERAGEIF(Table5[Period],"During",Table5[[#This Row],[Engagement_Rate]])</f>
        <v>0.15453195547177476</v>
      </c>
      <c r="K204" s="47">
        <f ca="1">((Table5[[#This Row],[Avg_During]]-Table5[[#This Row],[Avg_Before]])/I204)</f>
        <v>0.1802739258504161</v>
      </c>
    </row>
    <row r="205" spans="1:11" x14ac:dyDescent="0.3">
      <c r="A205" t="s">
        <v>139</v>
      </c>
      <c r="B205">
        <v>1543</v>
      </c>
      <c r="C205">
        <v>820</v>
      </c>
      <c r="D205">
        <v>333</v>
      </c>
      <c r="E205">
        <v>12344</v>
      </c>
      <c r="F205" t="s">
        <v>603</v>
      </c>
      <c r="G205" s="47">
        <f t="shared" si="3"/>
        <v>0.21840570317563188</v>
      </c>
      <c r="H205" t="s">
        <v>603</v>
      </c>
      <c r="I205" s="15">
        <f ca="1">AVERAGEIF(Table5[Period],"Before",Table5[[#This Row],[Engagement_Rate]])</f>
        <v>0.13411120591898015</v>
      </c>
      <c r="J205" s="15">
        <f ca="1">AVERAGEIF(Table5[Period],"During",Table5[[#This Row],[Engagement_Rate]])</f>
        <v>8.4959933245370781E-2</v>
      </c>
      <c r="K205" s="47">
        <f ca="1">((Table5[[#This Row],[Avg_During]]-Table5[[#This Row],[Avg_Before]])/I205)</f>
        <v>-0.36649638884988367</v>
      </c>
    </row>
    <row r="206" spans="1:11" x14ac:dyDescent="0.3">
      <c r="A206" t="s">
        <v>218</v>
      </c>
      <c r="B206">
        <v>3641</v>
      </c>
      <c r="C206">
        <v>226</v>
      </c>
      <c r="D206">
        <v>46</v>
      </c>
      <c r="E206">
        <v>40051</v>
      </c>
      <c r="F206" t="s">
        <v>34</v>
      </c>
      <c r="G206" s="47">
        <f t="shared" si="3"/>
        <v>9.7700431949264685E-2</v>
      </c>
      <c r="H206" t="str">
        <f>IF(AND(A206&gt;=$N$8,A206&lt;=$O$8),"During","Before")</f>
        <v>Before</v>
      </c>
      <c r="I206" s="15">
        <f ca="1">AVERAGEIF(Table5[Period],"Before",Table5[[#This Row],[Engagement_Rate]])</f>
        <v>0.13048157814672981</v>
      </c>
      <c r="J206" s="15">
        <f ca="1">AVERAGEIF(Table5[Period],"During",Table5[[#This Row],[Engagement_Rate]])</f>
        <v>0.18508439002331709</v>
      </c>
      <c r="K206" s="47">
        <f ca="1">((Table5[[#This Row],[Avg_During]]-Table5[[#This Row],[Avg_Before]])/I206)</f>
        <v>0.41847142448863583</v>
      </c>
    </row>
    <row r="207" spans="1:11" x14ac:dyDescent="0.3">
      <c r="A207" t="s">
        <v>177</v>
      </c>
      <c r="B207">
        <v>3801</v>
      </c>
      <c r="C207">
        <v>967</v>
      </c>
      <c r="D207">
        <v>401</v>
      </c>
      <c r="E207">
        <v>38010</v>
      </c>
      <c r="F207" t="s">
        <v>27</v>
      </c>
      <c r="G207" s="47">
        <f t="shared" si="3"/>
        <v>0.13599052880820836</v>
      </c>
      <c r="H207" t="str">
        <f>IF(AND(A207&gt;=$N$7,A207&lt;=$O$7),"During","Before")</f>
        <v>Before</v>
      </c>
      <c r="I207" s="15">
        <f ca="1">AVERAGEIF(Table5[Period],"Before",Table5[[#This Row],[Engagement_Rate]])</f>
        <v>0.13240929941543517</v>
      </c>
      <c r="J207" s="15">
        <f ca="1">AVERAGEIF(Table5[Period],"During",Table5[[#This Row],[Engagement_Rate]])</f>
        <v>6.3760118868392265E-2</v>
      </c>
      <c r="K207" s="47">
        <f ca="1">((Table5[[#This Row],[Avg_During]]-Table5[[#This Row],[Avg_Before]])/I207)</f>
        <v>-0.51846192714648831</v>
      </c>
    </row>
    <row r="208" spans="1:11" x14ac:dyDescent="0.3">
      <c r="A208" t="s">
        <v>194</v>
      </c>
      <c r="B208">
        <v>1407</v>
      </c>
      <c r="C208">
        <v>400</v>
      </c>
      <c r="D208">
        <v>351</v>
      </c>
      <c r="E208">
        <v>16884</v>
      </c>
      <c r="F208" t="s">
        <v>17</v>
      </c>
      <c r="G208" s="47">
        <f t="shared" si="3"/>
        <v>0.12781331438047855</v>
      </c>
      <c r="H208" t="str">
        <f>IF(AND(A208&gt;=$N$5,A208&lt;=$O$5),"During","Before")</f>
        <v>Before</v>
      </c>
      <c r="I208" s="15">
        <f ca="1">AVERAGEIF(Table5[Period],"Before",Table5[[#This Row],[Engagement_Rate]])</f>
        <v>0.13522425256845211</v>
      </c>
      <c r="J208" s="15">
        <f ca="1">AVERAGEIF(Table5[Period],"During",Table5[[#This Row],[Engagement_Rate]])</f>
        <v>0.13458940843372127</v>
      </c>
      <c r="K208" s="47">
        <f ca="1">((Table5[[#This Row],[Avg_During]]-Table5[[#This Row],[Avg_Before]])/I208)</f>
        <v>-4.6947505545239937E-3</v>
      </c>
    </row>
    <row r="209" spans="1:11" x14ac:dyDescent="0.3">
      <c r="A209" t="s">
        <v>137</v>
      </c>
      <c r="B209">
        <v>3024</v>
      </c>
      <c r="C209">
        <v>925</v>
      </c>
      <c r="D209">
        <v>350</v>
      </c>
      <c r="E209">
        <v>24192</v>
      </c>
      <c r="F209" t="s">
        <v>21</v>
      </c>
      <c r="G209" s="47">
        <f t="shared" si="3"/>
        <v>0.17770337301587302</v>
      </c>
      <c r="H209" t="str">
        <f>IF(AND(A209&gt;=$N$6,A209&lt;=$O$6),"During","Before")</f>
        <v>Before</v>
      </c>
      <c r="I209" s="15">
        <f ca="1">AVERAGEIF(Table5[Period],"Before",Table5[[#This Row],[Engagement_Rate]])</f>
        <v>0.13206508241532189</v>
      </c>
      <c r="J209" s="15">
        <f ca="1">AVERAGEIF(Table5[Period],"During",Table5[[#This Row],[Engagement_Rate]])</f>
        <v>7.6667207062361478E-2</v>
      </c>
      <c r="K209" s="47">
        <f ca="1">((Table5[[#This Row],[Avg_During]]-Table5[[#This Row],[Avg_Before]])/I209)</f>
        <v>-0.41947405279121136</v>
      </c>
    </row>
    <row r="210" spans="1:11" x14ac:dyDescent="0.3">
      <c r="A210" t="s">
        <v>237</v>
      </c>
      <c r="B210">
        <v>954</v>
      </c>
      <c r="C210">
        <v>324</v>
      </c>
      <c r="D210">
        <v>288</v>
      </c>
      <c r="E210">
        <v>19080</v>
      </c>
      <c r="F210" t="s">
        <v>34</v>
      </c>
      <c r="G210" s="47">
        <f t="shared" si="3"/>
        <v>8.2075471698113203E-2</v>
      </c>
      <c r="H210" t="str">
        <f>IF(AND(A210&gt;=$N$8,A210&lt;=$O$8),"During","Before")</f>
        <v>Before</v>
      </c>
      <c r="I210" s="15">
        <f ca="1">AVERAGEIF(Table5[Period],"Before",Table5[[#This Row],[Engagement_Rate]])</f>
        <v>0.13862879906350042</v>
      </c>
      <c r="J210" s="15">
        <f ca="1">AVERAGEIF(Table5[Period],"During",Table5[[#This Row],[Engagement_Rate]])</f>
        <v>0.10600844916852359</v>
      </c>
      <c r="K210" s="47">
        <f ca="1">((Table5[[#This Row],[Avg_During]]-Table5[[#This Row],[Avg_Before]])/I210)</f>
        <v>-0.23530716644262878</v>
      </c>
    </row>
    <row r="211" spans="1:11" x14ac:dyDescent="0.3">
      <c r="A211" t="s">
        <v>104</v>
      </c>
      <c r="B211">
        <v>2566</v>
      </c>
      <c r="C211">
        <v>118</v>
      </c>
      <c r="D211">
        <v>37</v>
      </c>
      <c r="E211">
        <v>12830</v>
      </c>
      <c r="F211" t="s">
        <v>27</v>
      </c>
      <c r="G211" s="47">
        <f t="shared" si="3"/>
        <v>0.21208106001558846</v>
      </c>
      <c r="H211" t="str">
        <f>IF(AND(A211&gt;=$N$7,A211&lt;=$O$7),"During","Before")</f>
        <v>Before</v>
      </c>
      <c r="I211" s="15">
        <f ca="1">AVERAGEIF(Table5[Period],"Before",Table5[[#This Row],[Engagement_Rate]])</f>
        <v>0.13375508544627601</v>
      </c>
      <c r="J211" s="15">
        <f ca="1">AVERAGEIF(Table5[Period],"During",Table5[[#This Row],[Engagement_Rate]])</f>
        <v>0.13172404373102042</v>
      </c>
      <c r="K211" s="47">
        <f ca="1">((Table5[[#This Row],[Avg_During]]-Table5[[#This Row],[Avg_Before]])/I211)</f>
        <v>-1.518478126255151E-2</v>
      </c>
    </row>
    <row r="212" spans="1:11" x14ac:dyDescent="0.3">
      <c r="A212" t="s">
        <v>123</v>
      </c>
      <c r="B212">
        <v>4450</v>
      </c>
      <c r="C212">
        <v>983</v>
      </c>
      <c r="D212">
        <v>143</v>
      </c>
      <c r="E212">
        <v>75650</v>
      </c>
      <c r="F212" t="s">
        <v>27</v>
      </c>
      <c r="G212" s="47">
        <f t="shared" si="3"/>
        <v>7.3707865168539333E-2</v>
      </c>
      <c r="H212" t="str">
        <f>IF(AND(A212&gt;=$N$7,A212&lt;=$O$7),"During","Before")</f>
        <v>Before</v>
      </c>
      <c r="I212" s="15">
        <f ca="1">AVERAGEIF(Table5[Period],"Before",Table5[[#This Row],[Engagement_Rate]])</f>
        <v>0.12833286771922198</v>
      </c>
      <c r="J212" s="15">
        <f ca="1">AVERAGEIF(Table5[Period],"During",Table5[[#This Row],[Engagement_Rate]])</f>
        <v>0.20540574192970076</v>
      </c>
      <c r="K212" s="47">
        <f ca="1">((Table5[[#This Row],[Avg_During]]-Table5[[#This Row],[Avg_Before]])/I212)</f>
        <v>0.6005700299560488</v>
      </c>
    </row>
    <row r="213" spans="1:11" x14ac:dyDescent="0.3">
      <c r="A213" t="s">
        <v>158</v>
      </c>
      <c r="B213">
        <v>4134</v>
      </c>
      <c r="C213">
        <v>824</v>
      </c>
      <c r="D213">
        <v>99</v>
      </c>
      <c r="E213">
        <v>41340</v>
      </c>
      <c r="F213" t="s">
        <v>17</v>
      </c>
      <c r="G213" s="47">
        <f t="shared" si="3"/>
        <v>0.12232704402515723</v>
      </c>
      <c r="H213" t="str">
        <f>IF(AND(A213&gt;=$N$5,A213&lt;=$O$5),"During","Before")</f>
        <v>Before</v>
      </c>
      <c r="I213" s="15">
        <f ca="1">AVERAGEIF(Table5[Period],"Before",Table5[[#This Row],[Engagement_Rate]])</f>
        <v>0.13336695600034618</v>
      </c>
      <c r="J213" s="15">
        <f ca="1">AVERAGEIF(Table5[Period],"During",Table5[[#This Row],[Engagement_Rate]])</f>
        <v>0.1114785096466131</v>
      </c>
      <c r="K213" s="47">
        <f ca="1">((Table5[[#This Row],[Avg_During]]-Table5[[#This Row],[Avg_Before]])/I213)</f>
        <v>-0.16412196101766213</v>
      </c>
    </row>
    <row r="214" spans="1:11" x14ac:dyDescent="0.3">
      <c r="A214" t="s">
        <v>538</v>
      </c>
      <c r="B214">
        <v>4295</v>
      </c>
      <c r="C214">
        <v>853</v>
      </c>
      <c r="D214">
        <v>325</v>
      </c>
      <c r="E214">
        <v>85900</v>
      </c>
      <c r="F214" t="s">
        <v>34</v>
      </c>
      <c r="G214" s="47">
        <f t="shared" si="3"/>
        <v>6.3713620488940623E-2</v>
      </c>
      <c r="H214" t="str">
        <f>IF(AND(A214&gt;=$N$8,A214&lt;=$O$8),"During","Before")</f>
        <v>Before</v>
      </c>
      <c r="I214" s="15">
        <f ca="1">AVERAGEIF(Table5[Period],"Before",Table5[[#This Row],[Engagement_Rate]])</f>
        <v>0.13346833206992734</v>
      </c>
      <c r="J214" s="15">
        <f ca="1">AVERAGEIF(Table5[Period],"During",Table5[[#This Row],[Engagement_Rate]])</f>
        <v>7.1664006018552107E-2</v>
      </c>
      <c r="K214" s="47">
        <f ca="1">((Table5[[#This Row],[Avg_During]]-Table5[[#This Row],[Avg_Before]])/I214)</f>
        <v>-0.46306359788024043</v>
      </c>
    </row>
    <row r="215" spans="1:11" x14ac:dyDescent="0.3">
      <c r="A215" t="s">
        <v>421</v>
      </c>
      <c r="B215">
        <v>1431</v>
      </c>
      <c r="C215">
        <v>951</v>
      </c>
      <c r="D215">
        <v>26</v>
      </c>
      <c r="E215">
        <v>8586</v>
      </c>
      <c r="F215" t="s">
        <v>27</v>
      </c>
      <c r="G215" s="47">
        <f t="shared" si="3"/>
        <v>0.28045655718611695</v>
      </c>
      <c r="H215" t="str">
        <f>IF(AND(A215&gt;=$N$7,A215&lt;=$O$7),"During","Before")</f>
        <v>Before</v>
      </c>
      <c r="I215" s="15">
        <f ca="1">AVERAGEIF(Table5[Period],"Before",Table5[[#This Row],[Engagement_Rate]])</f>
        <v>0.13257414536613099</v>
      </c>
      <c r="J215" s="15">
        <f ca="1">AVERAGEIF(Table5[Period],"During",Table5[[#This Row],[Engagement_Rate]])</f>
        <v>8.9966996437403413E-2</v>
      </c>
      <c r="K215" s="47">
        <f ca="1">((Table5[[#This Row],[Avg_During]]-Table5[[#This Row],[Avg_Before]])/I215)</f>
        <v>-0.32138354587207862</v>
      </c>
    </row>
    <row r="216" spans="1:11" x14ac:dyDescent="0.3">
      <c r="A216" t="s">
        <v>186</v>
      </c>
      <c r="B216">
        <v>3828</v>
      </c>
      <c r="C216">
        <v>148</v>
      </c>
      <c r="D216">
        <v>253</v>
      </c>
      <c r="E216">
        <v>30624</v>
      </c>
      <c r="F216" t="s">
        <v>603</v>
      </c>
      <c r="G216" s="47">
        <f t="shared" si="3"/>
        <v>0.13809430512016718</v>
      </c>
      <c r="H216" t="s">
        <v>603</v>
      </c>
      <c r="I216" s="15">
        <f ca="1">AVERAGEIF(Table5[Period],"Before",Table5[[#This Row],[Engagement_Rate]])</f>
        <v>0.13552443261357405</v>
      </c>
      <c r="J216" s="15">
        <f ca="1">AVERAGEIF(Table5[Period],"During",Table5[[#This Row],[Engagement_Rate]])</f>
        <v>0.10323405883793124</v>
      </c>
      <c r="K216" s="47">
        <f ca="1">((Table5[[#This Row],[Avg_During]]-Table5[[#This Row],[Avg_Before]])/I216)</f>
        <v>-0.23826237935792416</v>
      </c>
    </row>
    <row r="217" spans="1:11" x14ac:dyDescent="0.3">
      <c r="A217" t="s">
        <v>188</v>
      </c>
      <c r="B217">
        <v>1121</v>
      </c>
      <c r="C217">
        <v>135</v>
      </c>
      <c r="D217">
        <v>18</v>
      </c>
      <c r="E217">
        <v>15694</v>
      </c>
      <c r="F217" t="s">
        <v>34</v>
      </c>
      <c r="G217" s="47">
        <f t="shared" si="3"/>
        <v>8.1177520071364848E-2</v>
      </c>
      <c r="H217" t="str">
        <f>IF(AND(A217&gt;=$N$8,A217&lt;=$O$8),"During","Before")</f>
        <v>Before</v>
      </c>
      <c r="I217" s="15">
        <f ca="1">AVERAGEIF(Table5[Period],"Before",Table5[[#This Row],[Engagement_Rate]])</f>
        <v>0.13361103118815765</v>
      </c>
      <c r="J217" s="15">
        <f ca="1">AVERAGEIF(Table5[Period],"During",Table5[[#This Row],[Engagement_Rate]])</f>
        <v>7.9049308207371882E-2</v>
      </c>
      <c r="K217" s="47">
        <f ca="1">((Table5[[#This Row],[Avg_During]]-Table5[[#This Row],[Avg_Before]])/I217)</f>
        <v>-0.40836241211213509</v>
      </c>
    </row>
    <row r="218" spans="1:11" x14ac:dyDescent="0.3">
      <c r="A218" t="s">
        <v>121</v>
      </c>
      <c r="B218">
        <v>1816</v>
      </c>
      <c r="C218">
        <v>29</v>
      </c>
      <c r="D218">
        <v>41</v>
      </c>
      <c r="E218">
        <v>19976</v>
      </c>
      <c r="F218" t="s">
        <v>27</v>
      </c>
      <c r="G218" s="47">
        <f t="shared" si="3"/>
        <v>9.4413295955146179E-2</v>
      </c>
      <c r="H218" t="str">
        <f>IF(AND(A218&gt;=$N$7,A218&lt;=$O$7),"During","Before")</f>
        <v>Before</v>
      </c>
      <c r="I218" s="15">
        <f ca="1">AVERAGEIF(Table5[Period],"Before",Table5[[#This Row],[Engagement_Rate]])</f>
        <v>0.12985526960769916</v>
      </c>
      <c r="J218" s="15">
        <f ca="1">AVERAGEIF(Table5[Period],"During",Table5[[#This Row],[Engagement_Rate]])</f>
        <v>0.12422390133567608</v>
      </c>
      <c r="K218" s="47">
        <f ca="1">((Table5[[#This Row],[Avg_During]]-Table5[[#This Row],[Avg_Before]])/I218)</f>
        <v>-4.336649786362768E-2</v>
      </c>
    </row>
    <row r="219" spans="1:11" x14ac:dyDescent="0.3">
      <c r="A219" t="s">
        <v>44</v>
      </c>
      <c r="B219">
        <v>4126</v>
      </c>
      <c r="C219">
        <v>426</v>
      </c>
      <c r="D219">
        <v>486</v>
      </c>
      <c r="E219">
        <v>78394</v>
      </c>
      <c r="F219" t="s">
        <v>34</v>
      </c>
      <c r="G219" s="47">
        <f t="shared" si="3"/>
        <v>6.4265122330790625E-2</v>
      </c>
      <c r="H219" t="str">
        <f>IF(AND(A219&gt;=$N$8,A219&lt;=$O$8),"During","Before")</f>
        <v>Before</v>
      </c>
      <c r="I219" s="15">
        <f ca="1">AVERAGEIF(Table5[Period],"Before",Table5[[#This Row],[Engagement_Rate]])</f>
        <v>0.13536313251921303</v>
      </c>
      <c r="J219" s="15">
        <f ca="1">AVERAGEIF(Table5[Period],"During",Table5[[#This Row],[Engagement_Rate]])</f>
        <v>0.11963544789147891</v>
      </c>
      <c r="K219" s="47">
        <f ca="1">((Table5[[#This Row],[Avg_During]]-Table5[[#This Row],[Avg_Before]])/I219)</f>
        <v>-0.11618883469250227</v>
      </c>
    </row>
    <row r="220" spans="1:11" x14ac:dyDescent="0.3">
      <c r="A220" t="s">
        <v>72</v>
      </c>
      <c r="B220">
        <v>2103</v>
      </c>
      <c r="C220">
        <v>892</v>
      </c>
      <c r="D220">
        <v>103</v>
      </c>
      <c r="E220">
        <v>39957</v>
      </c>
      <c r="F220" t="s">
        <v>603</v>
      </c>
      <c r="G220" s="47">
        <f t="shared" si="3"/>
        <v>7.7533348349475686E-2</v>
      </c>
      <c r="H220" t="s">
        <v>603</v>
      </c>
      <c r="I220" s="15">
        <f ca="1">AVERAGEIF(Table5[Period],"Before",Table5[[#This Row],[Engagement_Rate]])</f>
        <v>0.13515799685719926</v>
      </c>
      <c r="J220" s="15">
        <f ca="1">AVERAGEIF(Table5[Period],"During",Table5[[#This Row],[Engagement_Rate]])</f>
        <v>9.0126697558499599E-2</v>
      </c>
      <c r="K220" s="47">
        <f ca="1">((Table5[[#This Row],[Avg_During]]-Table5[[#This Row],[Avg_Before]])/I220)</f>
        <v>-0.33317524930676007</v>
      </c>
    </row>
    <row r="221" spans="1:11" x14ac:dyDescent="0.3">
      <c r="A221" t="s">
        <v>392</v>
      </c>
      <c r="B221">
        <v>3809</v>
      </c>
      <c r="C221">
        <v>273</v>
      </c>
      <c r="D221">
        <v>200</v>
      </c>
      <c r="E221">
        <v>34281</v>
      </c>
      <c r="F221" t="s">
        <v>17</v>
      </c>
      <c r="G221" s="47">
        <f t="shared" si="3"/>
        <v>0.12490884163239112</v>
      </c>
      <c r="H221" t="str">
        <f>IF(AND(A221&gt;=$N$5,A221&lt;=$O$5),"During","Before")</f>
        <v>Before</v>
      </c>
      <c r="I221" s="15">
        <f ca="1">AVERAGEIF(Table5[Period],"Before",Table5[[#This Row],[Engagement_Rate]])</f>
        <v>0.13599382997185311</v>
      </c>
      <c r="J221" s="15">
        <f ca="1">AVERAGEIF(Table5[Period],"During",Table5[[#This Row],[Engagement_Rate]])</f>
        <v>0.13685958789222577</v>
      </c>
      <c r="K221" s="47">
        <f ca="1">((Table5[[#This Row],[Avg_During]]-Table5[[#This Row],[Avg_Before]])/I221)</f>
        <v>6.3661558803943478E-3</v>
      </c>
    </row>
    <row r="222" spans="1:11" x14ac:dyDescent="0.3">
      <c r="A222" t="s">
        <v>164</v>
      </c>
      <c r="B222">
        <v>2072</v>
      </c>
      <c r="C222">
        <v>532</v>
      </c>
      <c r="D222">
        <v>71</v>
      </c>
      <c r="E222">
        <v>37296</v>
      </c>
      <c r="F222" t="s">
        <v>34</v>
      </c>
      <c r="G222" s="47">
        <f t="shared" si="3"/>
        <v>7.172350922350923E-2</v>
      </c>
      <c r="H222" t="str">
        <f>IF(AND(A222&gt;=$N$8,A222&lt;=$O$8),"During","Before")</f>
        <v>Before</v>
      </c>
      <c r="I222" s="15">
        <f ca="1">AVERAGEIF(Table5[Period],"Before",Table5[[#This Row],[Engagement_Rate]])</f>
        <v>0.13126654302573232</v>
      </c>
      <c r="J222" s="15">
        <f ca="1">AVERAGEIF(Table5[Period],"During",Table5[[#This Row],[Engagement_Rate]])</f>
        <v>0.1163924106291893</v>
      </c>
      <c r="K222" s="47">
        <f ca="1">((Table5[[#This Row],[Avg_During]]-Table5[[#This Row],[Avg_Before]])/I222)</f>
        <v>-0.11331244088318244</v>
      </c>
    </row>
    <row r="223" spans="1:11" x14ac:dyDescent="0.3">
      <c r="A223" t="s">
        <v>303</v>
      </c>
      <c r="B223">
        <v>1171</v>
      </c>
      <c r="C223">
        <v>286</v>
      </c>
      <c r="D223">
        <v>231</v>
      </c>
      <c r="E223">
        <v>22249</v>
      </c>
      <c r="F223" t="s">
        <v>17</v>
      </c>
      <c r="G223" s="47">
        <f t="shared" si="3"/>
        <v>7.5868578363072495E-2</v>
      </c>
      <c r="H223" t="str">
        <f>IF(AND(A223&gt;=$N$5,A223&lt;=$O$5),"During","Before")</f>
        <v>During</v>
      </c>
      <c r="I223" s="15">
        <f ca="1">AVERAGEIF(Table5[Period],"Before",Table5[[#This Row],[Engagement_Rate]])</f>
        <v>0.13696758843389972</v>
      </c>
      <c r="J223" s="15">
        <f ca="1">AVERAGEIF(Table5[Period],"During",Table5[[#This Row],[Engagement_Rate]])</f>
        <v>0.14350647616020545</v>
      </c>
      <c r="K223" s="47">
        <f ca="1">((Table5[[#This Row],[Avg_During]]-Table5[[#This Row],[Avg_Before]])/I223)</f>
        <v>4.7740401952549416E-2</v>
      </c>
    </row>
    <row r="224" spans="1:11" x14ac:dyDescent="0.3">
      <c r="A224" t="s">
        <v>348</v>
      </c>
      <c r="B224">
        <v>2278</v>
      </c>
      <c r="C224">
        <v>10</v>
      </c>
      <c r="D224">
        <v>321</v>
      </c>
      <c r="E224">
        <v>13668</v>
      </c>
      <c r="F224" t="s">
        <v>17</v>
      </c>
      <c r="G224" s="47">
        <f t="shared" si="3"/>
        <v>0.19088381621305239</v>
      </c>
      <c r="H224" t="str">
        <f>IF(AND(A224&gt;=$N$5,A224&lt;=$O$5),"During","Before")</f>
        <v>Before</v>
      </c>
      <c r="I224" s="15">
        <f ca="1">AVERAGEIF(Table5[Period],"Before",Table5[[#This Row],[Engagement_Rate]])</f>
        <v>0.13683042726627129</v>
      </c>
      <c r="J224" s="15">
        <f ca="1">AVERAGEIF(Table5[Period],"During",Table5[[#This Row],[Engagement_Rate]])</f>
        <v>0.16807520784011451</v>
      </c>
      <c r="K224" s="47">
        <f ca="1">((Table5[[#This Row],[Avg_During]]-Table5[[#This Row],[Avg_Before]])/I224)</f>
        <v>0.22834672958406427</v>
      </c>
    </row>
    <row r="225" spans="1:11" x14ac:dyDescent="0.3">
      <c r="A225" t="s">
        <v>85</v>
      </c>
      <c r="B225">
        <v>2936</v>
      </c>
      <c r="C225">
        <v>439</v>
      </c>
      <c r="D225">
        <v>44</v>
      </c>
      <c r="E225">
        <v>38168</v>
      </c>
      <c r="F225" t="s">
        <v>34</v>
      </c>
      <c r="G225" s="47">
        <f t="shared" si="3"/>
        <v>8.9577656675749323E-2</v>
      </c>
      <c r="H225" t="str">
        <f>IF(AND(A225&gt;=$N$8,A225&lt;=$O$8),"During","Before")</f>
        <v>Before</v>
      </c>
      <c r="I225" s="15">
        <f ca="1">AVERAGEIF(Table5[Period],"Before",Table5[[#This Row],[Engagement_Rate]])</f>
        <v>0.13704925050773215</v>
      </c>
      <c r="J225" s="15">
        <f ca="1">AVERAGEIF(Table5[Period],"During",Table5[[#This Row],[Engagement_Rate]])</f>
        <v>7.9137481120208047E-2</v>
      </c>
      <c r="K225" s="47">
        <f ca="1">((Table5[[#This Row],[Avg_During]]-Table5[[#This Row],[Avg_Before]])/I225)</f>
        <v>-0.42256173728040042</v>
      </c>
    </row>
    <row r="226" spans="1:11" x14ac:dyDescent="0.3">
      <c r="A226" t="s">
        <v>390</v>
      </c>
      <c r="B226">
        <v>4804</v>
      </c>
      <c r="C226">
        <v>550</v>
      </c>
      <c r="D226">
        <v>270</v>
      </c>
      <c r="E226">
        <v>28824</v>
      </c>
      <c r="F226" t="s">
        <v>34</v>
      </c>
      <c r="G226" s="47">
        <f t="shared" si="3"/>
        <v>0.19511518179295032</v>
      </c>
      <c r="H226" t="str">
        <f>IF(AND(A226&gt;=$N$8,A226&lt;=$O$8),"During","Before")</f>
        <v>Before</v>
      </c>
      <c r="I226" s="15">
        <f ca="1">AVERAGEIF(Table5[Period],"Before",Table5[[#This Row],[Engagement_Rate]])</f>
        <v>0.12934722796663869</v>
      </c>
      <c r="J226" s="15">
        <f ca="1">AVERAGEIF(Table5[Period],"During",Table5[[#This Row],[Engagement_Rate]])</f>
        <v>0.23302491616033932</v>
      </c>
      <c r="K226" s="47">
        <f ca="1">((Table5[[#This Row],[Avg_During]]-Table5[[#This Row],[Avg_Before]])/I226)</f>
        <v>0.80154549752269322</v>
      </c>
    </row>
    <row r="227" spans="1:11" x14ac:dyDescent="0.3">
      <c r="A227" t="s">
        <v>100</v>
      </c>
      <c r="B227">
        <v>886</v>
      </c>
      <c r="C227">
        <v>126</v>
      </c>
      <c r="D227">
        <v>153</v>
      </c>
      <c r="E227">
        <v>4430</v>
      </c>
      <c r="F227" t="s">
        <v>603</v>
      </c>
      <c r="G227" s="47">
        <f t="shared" si="3"/>
        <v>0.26297968397291194</v>
      </c>
      <c r="H227" t="s">
        <v>603</v>
      </c>
      <c r="I227" s="15">
        <f ca="1">AVERAGEIF(Table5[Period],"Before",Table5[[#This Row],[Engagement_Rate]])</f>
        <v>0.1330418599708599</v>
      </c>
      <c r="J227" s="15">
        <f ca="1">AVERAGEIF(Table5[Period],"During",Table5[[#This Row],[Engagement_Rate]])</f>
        <v>0.14108586764673983</v>
      </c>
      <c r="K227" s="47">
        <f ca="1">((Table5[[#This Row],[Avg_During]]-Table5[[#This Row],[Avg_Before]])/I227)</f>
        <v>6.0462231042483938E-2</v>
      </c>
    </row>
    <row r="228" spans="1:11" x14ac:dyDescent="0.3">
      <c r="A228" t="s">
        <v>315</v>
      </c>
      <c r="B228">
        <v>2719</v>
      </c>
      <c r="C228">
        <v>17</v>
      </c>
      <c r="D228">
        <v>285</v>
      </c>
      <c r="E228">
        <v>40785</v>
      </c>
      <c r="F228" t="s">
        <v>21</v>
      </c>
      <c r="G228" s="47">
        <f t="shared" si="3"/>
        <v>7.4071349760941527E-2</v>
      </c>
      <c r="H228" t="str">
        <f>IF(AND(A228&gt;=$N$6,A228&lt;=$O$6),"During","Before")</f>
        <v>Before</v>
      </c>
      <c r="I228" s="15">
        <f ca="1">AVERAGEIF(Table5[Period],"Before",Table5[[#This Row],[Engagement_Rate]])</f>
        <v>0.13698480959429069</v>
      </c>
      <c r="J228" s="15">
        <f ca="1">AVERAGEIF(Table5[Period],"During",Table5[[#This Row],[Engagement_Rate]])</f>
        <v>7.1631501314692494E-2</v>
      </c>
      <c r="K228" s="47">
        <f ca="1">((Table5[[#This Row],[Avg_During]]-Table5[[#This Row],[Avg_Before]])/I228)</f>
        <v>-0.47708434587131049</v>
      </c>
    </row>
    <row r="229" spans="1:11" x14ac:dyDescent="0.3">
      <c r="A229" t="s">
        <v>327</v>
      </c>
      <c r="B229">
        <v>4242</v>
      </c>
      <c r="C229">
        <v>555</v>
      </c>
      <c r="D229">
        <v>131</v>
      </c>
      <c r="E229">
        <v>33936</v>
      </c>
      <c r="F229" t="s">
        <v>603</v>
      </c>
      <c r="G229" s="47">
        <f t="shared" si="3"/>
        <v>0.14521452145214522</v>
      </c>
      <c r="H229" t="s">
        <v>603</v>
      </c>
      <c r="I229" s="15">
        <f ca="1">AVERAGEIF(Table5[Period],"Before",Table5[[#This Row],[Engagement_Rate]])</f>
        <v>0.1350617868336812</v>
      </c>
      <c r="J229" s="15">
        <f ca="1">AVERAGEIF(Table5[Period],"During",Table5[[#This Row],[Engagement_Rate]])</f>
        <v>0.1460330523259516</v>
      </c>
      <c r="K229" s="47">
        <f ca="1">((Table5[[#This Row],[Avg_During]]-Table5[[#This Row],[Avg_Before]])/I229)</f>
        <v>8.1231455243374773E-2</v>
      </c>
    </row>
    <row r="230" spans="1:11" x14ac:dyDescent="0.3">
      <c r="A230" t="s">
        <v>171</v>
      </c>
      <c r="B230">
        <v>802</v>
      </c>
      <c r="C230">
        <v>262</v>
      </c>
      <c r="D230">
        <v>244</v>
      </c>
      <c r="E230">
        <v>14436</v>
      </c>
      <c r="F230" t="s">
        <v>17</v>
      </c>
      <c r="G230" s="47">
        <f t="shared" si="3"/>
        <v>9.0606816292601824E-2</v>
      </c>
      <c r="H230" t="str">
        <f>IF(AND(A230&gt;=$N$5,A230&lt;=$O$5),"During","Before")</f>
        <v>Before</v>
      </c>
      <c r="I230" s="15">
        <f ca="1">AVERAGEIF(Table5[Period],"Before",Table5[[#This Row],[Engagement_Rate]])</f>
        <v>0.13174757777170551</v>
      </c>
      <c r="J230" s="15">
        <f ca="1">AVERAGEIF(Table5[Period],"During",Table5[[#This Row],[Engagement_Rate]])</f>
        <v>0.10004550669869451</v>
      </c>
      <c r="K230" s="47">
        <f ca="1">((Table5[[#This Row],[Avg_During]]-Table5[[#This Row],[Avg_Before]])/I230)</f>
        <v>-0.24062735428764312</v>
      </c>
    </row>
    <row r="231" spans="1:11" x14ac:dyDescent="0.3">
      <c r="A231" t="s">
        <v>179</v>
      </c>
      <c r="B231">
        <v>1509</v>
      </c>
      <c r="C231">
        <v>88</v>
      </c>
      <c r="D231">
        <v>163</v>
      </c>
      <c r="E231">
        <v>30180</v>
      </c>
      <c r="F231" t="s">
        <v>21</v>
      </c>
      <c r="G231" s="47">
        <f t="shared" si="3"/>
        <v>5.8316766070245198E-2</v>
      </c>
      <c r="H231" t="str">
        <f>IF(AND(A231&gt;=$N$6,A231&lt;=$O$6),"During","Before")</f>
        <v>Before</v>
      </c>
      <c r="I231" s="15">
        <f ca="1">AVERAGEIF(Table5[Period],"Before",Table5[[#This Row],[Engagement_Rate]])</f>
        <v>0.12659705617183539</v>
      </c>
      <c r="J231" s="15">
        <f ca="1">AVERAGEIF(Table5[Period],"During",Table5[[#This Row],[Engagement_Rate]])</f>
        <v>0.15700771846509964</v>
      </c>
      <c r="K231" s="47">
        <f ca="1">((Table5[[#This Row],[Avg_During]]-Table5[[#This Row],[Avg_Before]])/I231)</f>
        <v>0.24021618837634429</v>
      </c>
    </row>
    <row r="232" spans="1:11" x14ac:dyDescent="0.3">
      <c r="A232" t="s">
        <v>375</v>
      </c>
      <c r="B232">
        <v>1292</v>
      </c>
      <c r="C232">
        <v>626</v>
      </c>
      <c r="D232">
        <v>496</v>
      </c>
      <c r="E232">
        <v>25840</v>
      </c>
      <c r="F232" t="s">
        <v>27</v>
      </c>
      <c r="G232" s="47">
        <f t="shared" si="3"/>
        <v>9.3421052631578946E-2</v>
      </c>
      <c r="H232" t="str">
        <f>IF(AND(A232&gt;=$N$7,A232&lt;=$O$7),"During","Before")</f>
        <v>Before</v>
      </c>
      <c r="I232" s="15">
        <f ca="1">AVERAGEIF(Table5[Period],"Before",Table5[[#This Row],[Engagement_Rate]])</f>
        <v>0.14052759074804505</v>
      </c>
      <c r="J232" s="15">
        <f ca="1">AVERAGEIF(Table5[Period],"During",Table5[[#This Row],[Engagement_Rate]])</f>
        <v>9.5083163169295687E-2</v>
      </c>
      <c r="K232" s="47">
        <f ca="1">((Table5[[#This Row],[Avg_During]]-Table5[[#This Row],[Avg_Before]])/I232)</f>
        <v>-0.32338437837611306</v>
      </c>
    </row>
    <row r="233" spans="1:11" x14ac:dyDescent="0.3">
      <c r="A233" t="s">
        <v>72</v>
      </c>
      <c r="B233">
        <v>3215</v>
      </c>
      <c r="C233">
        <v>960</v>
      </c>
      <c r="D233">
        <v>202</v>
      </c>
      <c r="E233">
        <v>32150</v>
      </c>
      <c r="F233" t="s">
        <v>17</v>
      </c>
      <c r="G233" s="47">
        <f t="shared" si="3"/>
        <v>0.13614307931570763</v>
      </c>
      <c r="H233" t="str">
        <f>IF(AND(A233&gt;=$N$5,A233&lt;=$O$5),"During","Before")</f>
        <v>Before</v>
      </c>
      <c r="I233" s="15">
        <f ca="1">AVERAGEIF(Table5[Period],"Before",Table5[[#This Row],[Engagement_Rate]])</f>
        <v>0.13702144925945814</v>
      </c>
      <c r="J233" s="15">
        <f ca="1">AVERAGEIF(Table5[Period],"During",Table5[[#This Row],[Engagement_Rate]])</f>
        <v>8.8168233041364674E-2</v>
      </c>
      <c r="K233" s="47">
        <f ca="1">((Table5[[#This Row],[Avg_During]]-Table5[[#This Row],[Avg_Before]])/I233)</f>
        <v>-0.35653699827380336</v>
      </c>
    </row>
    <row r="234" spans="1:11" x14ac:dyDescent="0.3">
      <c r="A234" t="s">
        <v>190</v>
      </c>
      <c r="B234">
        <v>3256</v>
      </c>
      <c r="C234">
        <v>459</v>
      </c>
      <c r="D234">
        <v>266</v>
      </c>
      <c r="E234">
        <v>26048</v>
      </c>
      <c r="F234" t="s">
        <v>21</v>
      </c>
      <c r="G234" s="47">
        <f t="shared" si="3"/>
        <v>0.15283323095823095</v>
      </c>
      <c r="H234" t="str">
        <f>IF(AND(A234&gt;=$N$6,A234&lt;=$O$6),"During","Before")</f>
        <v>During</v>
      </c>
      <c r="I234" s="15">
        <f ca="1">AVERAGEIF(Table5[Period],"Before",Table5[[#This Row],[Engagement_Rate]])</f>
        <v>0.13305204387049899</v>
      </c>
      <c r="J234" s="15">
        <f ca="1">AVERAGEIF(Table5[Period],"During",Table5[[#This Row],[Engagement_Rate]])</f>
        <v>8.5543504808753237E-2</v>
      </c>
      <c r="K234" s="47">
        <f ca="1">((Table5[[#This Row],[Avg_During]]-Table5[[#This Row],[Avg_Before]])/I234)</f>
        <v>-0.35706733755992753</v>
      </c>
    </row>
    <row r="235" spans="1:11" x14ac:dyDescent="0.3">
      <c r="A235" t="s">
        <v>166</v>
      </c>
      <c r="B235">
        <v>1855</v>
      </c>
      <c r="C235">
        <v>200</v>
      </c>
      <c r="D235">
        <v>174</v>
      </c>
      <c r="E235">
        <v>16695</v>
      </c>
      <c r="F235" t="s">
        <v>27</v>
      </c>
      <c r="G235" s="47">
        <f t="shared" si="3"/>
        <v>0.13351302785265048</v>
      </c>
      <c r="H235" t="str">
        <f>IF(AND(A235&gt;=$N$7,A235&lt;=$O$7),"During","Before")</f>
        <v>Before</v>
      </c>
      <c r="I235" s="15">
        <f ca="1">AVERAGEIF(Table5[Period],"Before",Table5[[#This Row],[Engagement_Rate]])</f>
        <v>0.13274933439400152</v>
      </c>
      <c r="J235" s="15">
        <f ca="1">AVERAGEIF(Table5[Period],"During",Table5[[#This Row],[Engagement_Rate]])</f>
        <v>0.13357135267133718</v>
      </c>
      <c r="K235" s="47">
        <f ca="1">((Table5[[#This Row],[Avg_During]]-Table5[[#This Row],[Avg_Before]])/I235)</f>
        <v>6.1922591257286656E-3</v>
      </c>
    </row>
    <row r="236" spans="1:11" x14ac:dyDescent="0.3">
      <c r="A236" t="s">
        <v>56</v>
      </c>
      <c r="B236">
        <v>2746</v>
      </c>
      <c r="C236">
        <v>156</v>
      </c>
      <c r="D236">
        <v>203</v>
      </c>
      <c r="E236">
        <v>32952</v>
      </c>
      <c r="F236" t="s">
        <v>17</v>
      </c>
      <c r="G236" s="47">
        <f t="shared" si="3"/>
        <v>9.422796795338674E-2</v>
      </c>
      <c r="H236" t="str">
        <f>IF(AND(A236&gt;=$N$5,A236&lt;=$O$5),"During","Before")</f>
        <v>Before</v>
      </c>
      <c r="I236" s="15">
        <f ca="1">AVERAGEIF(Table5[Period],"Before",Table5[[#This Row],[Engagement_Rate]])</f>
        <v>0.13730014743418165</v>
      </c>
      <c r="J236" s="15">
        <f ca="1">AVERAGEIF(Table5[Period],"During",Table5[[#This Row],[Engagement_Rate]])</f>
        <v>0.15102532149845879</v>
      </c>
      <c r="K236" s="47">
        <f ca="1">((Table5[[#This Row],[Avg_During]]-Table5[[#This Row],[Avg_Before]])/I236)</f>
        <v>9.9964743816875076E-2</v>
      </c>
    </row>
    <row r="237" spans="1:11" x14ac:dyDescent="0.3">
      <c r="A237" t="s">
        <v>198</v>
      </c>
      <c r="B237">
        <v>1018</v>
      </c>
      <c r="C237">
        <v>447</v>
      </c>
      <c r="D237">
        <v>332</v>
      </c>
      <c r="E237">
        <v>18324</v>
      </c>
      <c r="F237" t="s">
        <v>21</v>
      </c>
      <c r="G237" s="47">
        <f t="shared" si="3"/>
        <v>9.8068107400130972E-2</v>
      </c>
      <c r="H237" t="str">
        <f>IF(AND(A237&gt;=$N$6,A237&lt;=$O$6),"During","Before")</f>
        <v>During</v>
      </c>
      <c r="I237" s="15">
        <f ca="1">AVERAGEIF(Table5[Period],"Before",Table5[[#This Row],[Engagement_Rate]])</f>
        <v>0.12738555583833588</v>
      </c>
      <c r="J237" s="15">
        <f ca="1">AVERAGEIF(Table5[Period],"During",Table5[[#This Row],[Engagement_Rate]])</f>
        <v>0.17325155830045175</v>
      </c>
      <c r="K237" s="47">
        <f ca="1">((Table5[[#This Row],[Avg_During]]-Table5[[#This Row],[Avg_Before]])/I237)</f>
        <v>0.36005653985075109</v>
      </c>
    </row>
    <row r="238" spans="1:11" x14ac:dyDescent="0.3">
      <c r="A238" t="s">
        <v>350</v>
      </c>
      <c r="B238">
        <v>1957</v>
      </c>
      <c r="C238">
        <v>877</v>
      </c>
      <c r="D238">
        <v>238</v>
      </c>
      <c r="E238">
        <v>17613</v>
      </c>
      <c r="F238" t="s">
        <v>27</v>
      </c>
      <c r="G238" s="47">
        <f t="shared" si="3"/>
        <v>0.17441662408448305</v>
      </c>
      <c r="H238" t="str">
        <f>IF(AND(A238&gt;=$N$7,A238&lt;=$O$7),"During","Before")</f>
        <v>Before</v>
      </c>
      <c r="I238" s="15">
        <f ca="1">AVERAGEIF(Table5[Period],"Before",Table5[[#This Row],[Engagement_Rate]])</f>
        <v>0.13511891155909245</v>
      </c>
      <c r="J238" s="15">
        <f ca="1">AVERAGEIF(Table5[Period],"During",Table5[[#This Row],[Engagement_Rate]])</f>
        <v>7.6097681302417369E-2</v>
      </c>
      <c r="K238" s="47">
        <f ca="1">((Table5[[#This Row],[Avg_During]]-Table5[[#This Row],[Avg_Before]])/I238)</f>
        <v>-0.43680954483460988</v>
      </c>
    </row>
    <row r="239" spans="1:11" x14ac:dyDescent="0.3">
      <c r="A239" t="s">
        <v>461</v>
      </c>
      <c r="B239">
        <v>3575</v>
      </c>
      <c r="C239">
        <v>749</v>
      </c>
      <c r="D239">
        <v>111</v>
      </c>
      <c r="E239">
        <v>21450</v>
      </c>
      <c r="F239" t="s">
        <v>21</v>
      </c>
      <c r="G239" s="47">
        <f t="shared" si="3"/>
        <v>0.20675990675990677</v>
      </c>
      <c r="H239" t="str">
        <f>IF(AND(A239&gt;=$N$6,A239&lt;=$O$6),"During","Before")</f>
        <v>During</v>
      </c>
      <c r="I239" s="15">
        <f ca="1">AVERAGEIF(Table5[Period],"Before",Table5[[#This Row],[Engagement_Rate]])</f>
        <v>0.1260441572105799</v>
      </c>
      <c r="J239" s="15">
        <f ca="1">AVERAGEIF(Table5[Period],"During",Table5[[#This Row],[Engagement_Rate]])</f>
        <v>0.1441326530612245</v>
      </c>
      <c r="K239" s="47">
        <f ca="1">((Table5[[#This Row],[Avg_During]]-Table5[[#This Row],[Avg_Before]])/I239)</f>
        <v>0.14350919749833735</v>
      </c>
    </row>
    <row r="240" spans="1:11" x14ac:dyDescent="0.3">
      <c r="A240" t="s">
        <v>100</v>
      </c>
      <c r="B240">
        <v>1206</v>
      </c>
      <c r="C240">
        <v>238</v>
      </c>
      <c r="D240">
        <v>36</v>
      </c>
      <c r="E240">
        <v>9648</v>
      </c>
      <c r="F240" t="s">
        <v>603</v>
      </c>
      <c r="G240" s="47">
        <f t="shared" si="3"/>
        <v>0.15339966832504145</v>
      </c>
      <c r="H240" t="s">
        <v>603</v>
      </c>
      <c r="I240" s="15">
        <f ca="1">AVERAGEIF(Table5[Period],"Before",Table5[[#This Row],[Engagement_Rate]])</f>
        <v>0.12911886835993824</v>
      </c>
      <c r="J240" s="15">
        <f ca="1">AVERAGEIF(Table5[Period],"During",Table5[[#This Row],[Engagement_Rate]])</f>
        <v>0.23101532992668297</v>
      </c>
      <c r="K240" s="47">
        <f ca="1">((Table5[[#This Row],[Avg_During]]-Table5[[#This Row],[Avg_Before]])/I240)</f>
        <v>0.78916786416291251</v>
      </c>
    </row>
    <row r="241" spans="1:11" x14ac:dyDescent="0.3">
      <c r="A241" t="s">
        <v>382</v>
      </c>
      <c r="B241">
        <v>4054</v>
      </c>
      <c r="C241">
        <v>389</v>
      </c>
      <c r="D241">
        <v>493</v>
      </c>
      <c r="E241">
        <v>64864</v>
      </c>
      <c r="F241" t="s">
        <v>21</v>
      </c>
      <c r="G241" s="47">
        <f t="shared" si="3"/>
        <v>7.6097681302417369E-2</v>
      </c>
      <c r="H241" t="str">
        <f>IF(AND(A241&gt;=$N$6,A241&lt;=$O$6),"During","Before")</f>
        <v>During</v>
      </c>
      <c r="I241" s="15">
        <f ca="1">AVERAGEIF(Table5[Period],"Before",Table5[[#This Row],[Engagement_Rate]])</f>
        <v>0.12741831120659053</v>
      </c>
      <c r="J241" s="15">
        <f ca="1">AVERAGEIF(Table5[Period],"During",Table5[[#This Row],[Engagement_Rate]])</f>
        <v>6.246991874522239E-2</v>
      </c>
      <c r="K241" s="47">
        <f ca="1">((Table5[[#This Row],[Avg_During]]-Table5[[#This Row],[Avg_Before]])/I241)</f>
        <v>-0.50972573601343396</v>
      </c>
    </row>
    <row r="242" spans="1:11" x14ac:dyDescent="0.3">
      <c r="A242" t="s">
        <v>156</v>
      </c>
      <c r="B242">
        <v>1176</v>
      </c>
      <c r="C242">
        <v>464</v>
      </c>
      <c r="D242">
        <v>394</v>
      </c>
      <c r="E242">
        <v>14112</v>
      </c>
      <c r="F242" t="s">
        <v>603</v>
      </c>
      <c r="G242" s="47">
        <f t="shared" si="3"/>
        <v>0.1441326530612245</v>
      </c>
      <c r="H242" t="s">
        <v>603</v>
      </c>
      <c r="I242" s="15">
        <f ca="1">AVERAGEIF(Table5[Period],"Before",Table5[[#This Row],[Engagement_Rate]])</f>
        <v>0.13850509226008606</v>
      </c>
      <c r="J242" s="15">
        <f ca="1">AVERAGEIF(Table5[Period],"During",Table5[[#This Row],[Engagement_Rate]])</f>
        <v>0.1569549774407219</v>
      </c>
      <c r="K242" s="47">
        <f ca="1">((Table5[[#This Row],[Avg_During]]-Table5[[#This Row],[Avg_Before]])/I242)</f>
        <v>0.13320726970810925</v>
      </c>
    </row>
    <row r="243" spans="1:11" x14ac:dyDescent="0.3">
      <c r="A243" t="s">
        <v>482</v>
      </c>
      <c r="B243">
        <v>4501</v>
      </c>
      <c r="C243">
        <v>375</v>
      </c>
      <c r="D243">
        <v>323</v>
      </c>
      <c r="E243">
        <v>22505</v>
      </c>
      <c r="F243" t="s">
        <v>21</v>
      </c>
      <c r="G243" s="47">
        <f t="shared" si="3"/>
        <v>0.23101532992668297</v>
      </c>
      <c r="H243" t="str">
        <f>IF(AND(A243&gt;=$N$6,A243&lt;=$O$6),"During","Before")</f>
        <v>Before</v>
      </c>
      <c r="I243" s="15">
        <f ca="1">AVERAGEIF(Table5[Period],"Before",Table5[[#This Row],[Engagement_Rate]])</f>
        <v>0.13018145262903152</v>
      </c>
      <c r="J243" s="15">
        <f ca="1">AVERAGEIF(Table5[Period],"During",Table5[[#This Row],[Engagement_Rate]])</f>
        <v>0.25537047673750718</v>
      </c>
      <c r="K243" s="47">
        <f ca="1">((Table5[[#This Row],[Avg_During]]-Table5[[#This Row],[Avg_Before]])/I243)</f>
        <v>0.9616502318899266</v>
      </c>
    </row>
    <row r="244" spans="1:11" x14ac:dyDescent="0.3">
      <c r="A244" t="s">
        <v>158</v>
      </c>
      <c r="B244">
        <v>3718</v>
      </c>
      <c r="C244">
        <v>385</v>
      </c>
      <c r="D244">
        <v>310</v>
      </c>
      <c r="E244">
        <v>70642</v>
      </c>
      <c r="F244" t="s">
        <v>21</v>
      </c>
      <c r="G244" s="47">
        <f t="shared" si="3"/>
        <v>6.246991874522239E-2</v>
      </c>
      <c r="H244" t="str">
        <f>IF(AND(A244&gt;=$N$6,A244&lt;=$O$6),"During","Before")</f>
        <v>During</v>
      </c>
      <c r="I244" s="15">
        <f ca="1">AVERAGEIF(Table5[Period],"Before",Table5[[#This Row],[Engagement_Rate]])</f>
        <v>0.13263789676530344</v>
      </c>
      <c r="J244" s="15">
        <f ca="1">AVERAGEIF(Table5[Period],"During",Table5[[#This Row],[Engagement_Rate]])</f>
        <v>0.48518407662376534</v>
      </c>
      <c r="K244" s="47">
        <f ca="1">((Table5[[#This Row],[Avg_During]]-Table5[[#This Row],[Avg_Before]])/I244)</f>
        <v>2.6579596665519802</v>
      </c>
    </row>
    <row r="245" spans="1:11" x14ac:dyDescent="0.3">
      <c r="A245" t="s">
        <v>270</v>
      </c>
      <c r="B245">
        <v>947</v>
      </c>
      <c r="C245">
        <v>338</v>
      </c>
      <c r="D245">
        <v>350</v>
      </c>
      <c r="E245">
        <v>10417</v>
      </c>
      <c r="F245" t="s">
        <v>34</v>
      </c>
      <c r="G245" s="47">
        <f t="shared" si="3"/>
        <v>0.1569549774407219</v>
      </c>
      <c r="H245" t="str">
        <f>IF(AND(A245&gt;=$N$8,A245&lt;=$O$8),"During","Before")</f>
        <v>Before</v>
      </c>
      <c r="I245" s="15">
        <f ca="1">AVERAGEIF(Table5[Period],"Before",Table5[[#This Row],[Engagement_Rate]])</f>
        <v>0.13511367465339652</v>
      </c>
      <c r="J245" s="15">
        <f ca="1">AVERAGEIF(Table5[Period],"During",Table5[[#This Row],[Engagement_Rate]])</f>
        <v>8.860696018453515E-2</v>
      </c>
      <c r="K245" s="47">
        <f ca="1">((Table5[[#This Row],[Avg_During]]-Table5[[#This Row],[Avg_Before]])/I245)</f>
        <v>-0.34420434932410648</v>
      </c>
    </row>
    <row r="246" spans="1:11" x14ac:dyDescent="0.3">
      <c r="A246" t="s">
        <v>348</v>
      </c>
      <c r="B246">
        <v>1741</v>
      </c>
      <c r="C246">
        <v>164</v>
      </c>
      <c r="D246">
        <v>318</v>
      </c>
      <c r="E246">
        <v>8705</v>
      </c>
      <c r="F246" t="s">
        <v>603</v>
      </c>
      <c r="G246" s="47">
        <f t="shared" si="3"/>
        <v>0.25537047673750718</v>
      </c>
      <c r="H246" t="s">
        <v>603</v>
      </c>
      <c r="I246" s="15">
        <f ca="1">AVERAGEIF(Table5[Period],"Before",Table5[[#This Row],[Engagement_Rate]])</f>
        <v>0.13966666815129711</v>
      </c>
      <c r="J246" s="15">
        <f ca="1">AVERAGEIF(Table5[Period],"During",Table5[[#This Row],[Engagement_Rate]])</f>
        <v>0.12942500000000001</v>
      </c>
      <c r="K246" s="47">
        <f ca="1">((Table5[[#This Row],[Avg_During]]-Table5[[#This Row],[Avg_Before]])/I246)</f>
        <v>-7.332936545892664E-2</v>
      </c>
    </row>
    <row r="247" spans="1:11" x14ac:dyDescent="0.3">
      <c r="A247" t="s">
        <v>350</v>
      </c>
      <c r="B247">
        <v>257</v>
      </c>
      <c r="C247">
        <v>966</v>
      </c>
      <c r="D247">
        <v>398</v>
      </c>
      <c r="E247">
        <v>3341</v>
      </c>
      <c r="F247" t="s">
        <v>17</v>
      </c>
      <c r="G247" s="47">
        <f t="shared" si="3"/>
        <v>0.48518407662376534</v>
      </c>
      <c r="H247" t="str">
        <f>IF(AND(A247&gt;=$N$5,A247&lt;=$O$5),"During","Before")</f>
        <v>Before</v>
      </c>
      <c r="I247" s="15">
        <f ca="1">AVERAGEIF(Table5[Period],"Before",Table5[[#This Row],[Engagement_Rate]])</f>
        <v>0.12965679683729422</v>
      </c>
      <c r="J247" s="15">
        <f ca="1">AVERAGEIF(Table5[Period],"During",Table5[[#This Row],[Engagement_Rate]])</f>
        <v>6.9438087973557078E-2</v>
      </c>
      <c r="K247" s="47">
        <f ca="1">((Table5[[#This Row],[Avg_During]]-Table5[[#This Row],[Avg_Before]])/I247)</f>
        <v>-0.46444698876299834</v>
      </c>
    </row>
    <row r="248" spans="1:11" x14ac:dyDescent="0.3">
      <c r="A248" t="s">
        <v>152</v>
      </c>
      <c r="B248">
        <v>3068</v>
      </c>
      <c r="C248">
        <v>137</v>
      </c>
      <c r="D248">
        <v>329</v>
      </c>
      <c r="E248">
        <v>39884</v>
      </c>
      <c r="F248" t="s">
        <v>21</v>
      </c>
      <c r="G248" s="47">
        <f t="shared" si="3"/>
        <v>8.860696018453515E-2</v>
      </c>
      <c r="H248" t="str">
        <f>IF(AND(A248&gt;=$N$6,A248&lt;=$O$6),"During","Before")</f>
        <v>Before</v>
      </c>
      <c r="I248" s="15">
        <f ca="1">AVERAGEIF(Table5[Period],"Before",Table5[[#This Row],[Engagement_Rate]])</f>
        <v>0.12289009567461463</v>
      </c>
      <c r="J248" s="15">
        <f ca="1">AVERAGEIF(Table5[Period],"During",Table5[[#This Row],[Engagement_Rate]])</f>
        <v>7.2739802071170159E-2</v>
      </c>
      <c r="K248" s="47">
        <f ca="1">((Table5[[#This Row],[Avg_During]]-Table5[[#This Row],[Avg_Before]])/I248)</f>
        <v>-0.40809060590392238</v>
      </c>
    </row>
    <row r="249" spans="1:11" x14ac:dyDescent="0.3">
      <c r="A249" t="s">
        <v>237</v>
      </c>
      <c r="B249">
        <v>4000</v>
      </c>
      <c r="C249">
        <v>689</v>
      </c>
      <c r="D249">
        <v>488</v>
      </c>
      <c r="E249">
        <v>40000</v>
      </c>
      <c r="F249" t="s">
        <v>17</v>
      </c>
      <c r="G249" s="47">
        <f t="shared" si="3"/>
        <v>0.12942500000000001</v>
      </c>
      <c r="H249" t="str">
        <f>IF(AND(A249&gt;=$N$5,A249&lt;=$O$5),"During","Before")</f>
        <v>Before</v>
      </c>
      <c r="I249" s="15">
        <f ca="1">AVERAGEIF(Table5[Period],"Before",Table5[[#This Row],[Engagement_Rate]])</f>
        <v>0.12484569896782688</v>
      </c>
      <c r="J249" s="15">
        <f ca="1">AVERAGEIF(Table5[Period],"During",Table5[[#This Row],[Engagement_Rate]])</f>
        <v>7.1501685934489398E-2</v>
      </c>
      <c r="K249" s="47">
        <f ca="1">((Table5[[#This Row],[Avg_During]]-Table5[[#This Row],[Avg_Before]])/I249)</f>
        <v>-0.42727954166113802</v>
      </c>
    </row>
    <row r="250" spans="1:11" x14ac:dyDescent="0.3">
      <c r="A250" t="s">
        <v>363</v>
      </c>
      <c r="B250">
        <v>2070</v>
      </c>
      <c r="C250">
        <v>275</v>
      </c>
      <c r="D250">
        <v>386</v>
      </c>
      <c r="E250">
        <v>39330</v>
      </c>
      <c r="F250" t="s">
        <v>34</v>
      </c>
      <c r="G250" s="47">
        <f t="shared" si="3"/>
        <v>6.9438087973557078E-2</v>
      </c>
      <c r="H250" t="str">
        <f>IF(AND(A250&gt;=$N$8,A250&lt;=$O$8),"During","Before")</f>
        <v>Before</v>
      </c>
      <c r="I250" s="15">
        <f ca="1">AVERAGEIF(Table5[Period],"Before",Table5[[#This Row],[Engagement_Rate]])</f>
        <v>0.12480439080474534</v>
      </c>
      <c r="J250" s="15">
        <f ca="1">AVERAGEIF(Table5[Period],"During",Table5[[#This Row],[Engagement_Rate]])</f>
        <v>9.9255211647142488E-2</v>
      </c>
      <c r="K250" s="47">
        <f ca="1">((Table5[[#This Row],[Avg_During]]-Table5[[#This Row],[Avg_Before]])/I250)</f>
        <v>-0.20471378444989305</v>
      </c>
    </row>
    <row r="251" spans="1:11" x14ac:dyDescent="0.3">
      <c r="A251" t="s">
        <v>348</v>
      </c>
      <c r="B251">
        <v>3073</v>
      </c>
      <c r="C251">
        <v>553</v>
      </c>
      <c r="D251">
        <v>174</v>
      </c>
      <c r="E251">
        <v>52241</v>
      </c>
      <c r="F251" t="s">
        <v>27</v>
      </c>
      <c r="G251" s="47">
        <f t="shared" si="3"/>
        <v>7.2739802071170159E-2</v>
      </c>
      <c r="H251" t="str">
        <f>IF(AND(A251&gt;=$N$7,A251&lt;=$O$7),"During","Before")</f>
        <v>Before</v>
      </c>
      <c r="I251" s="15">
        <f ca="1">AVERAGEIF(Table5[Period],"Before",Table5[[#This Row],[Engagement_Rate]])</f>
        <v>0.12326518214246712</v>
      </c>
      <c r="J251" s="15">
        <f ca="1">AVERAGEIF(Table5[Period],"During",Table5[[#This Row],[Engagement_Rate]])</f>
        <v>8.21914819340199E-2</v>
      </c>
      <c r="K251" s="47">
        <f ca="1">((Table5[[#This Row],[Avg_During]]-Table5[[#This Row],[Avg_Before]])/I251)</f>
        <v>-0.33321412822783292</v>
      </c>
    </row>
    <row r="252" spans="1:11" x14ac:dyDescent="0.3">
      <c r="A252" t="s">
        <v>97</v>
      </c>
      <c r="B252">
        <v>2076</v>
      </c>
      <c r="C252">
        <v>195</v>
      </c>
      <c r="D252">
        <v>104</v>
      </c>
      <c r="E252">
        <v>33216</v>
      </c>
      <c r="F252" t="s">
        <v>34</v>
      </c>
      <c r="G252" s="47">
        <f t="shared" si="3"/>
        <v>7.1501685934489398E-2</v>
      </c>
      <c r="H252" t="str">
        <f>IF(AND(A252&gt;=$N$8,A252&lt;=$O$8),"During","Before")</f>
        <v>Before</v>
      </c>
      <c r="I252" s="15">
        <f ca="1">AVERAGEIF(Table5[Period],"Before",Table5[[#This Row],[Engagement_Rate]])</f>
        <v>0.11661328061800315</v>
      </c>
      <c r="J252" s="15">
        <f ca="1">AVERAGEIF(Table5[Period],"During",Table5[[#This Row],[Engagement_Rate]])</f>
        <v>0.13840458048129492</v>
      </c>
      <c r="K252" s="47">
        <f ca="1">((Table5[[#This Row],[Avg_During]]-Table5[[#This Row],[Avg_Before]])/I252)</f>
        <v>0.18686808010036859</v>
      </c>
    </row>
    <row r="253" spans="1:11" x14ac:dyDescent="0.3">
      <c r="A253" t="s">
        <v>400</v>
      </c>
      <c r="B253">
        <v>4858</v>
      </c>
      <c r="C253">
        <v>317</v>
      </c>
      <c r="D253">
        <v>129</v>
      </c>
      <c r="E253">
        <v>53438</v>
      </c>
      <c r="F253" t="s">
        <v>27</v>
      </c>
      <c r="G253" s="47">
        <f t="shared" si="3"/>
        <v>9.9255211647142488E-2</v>
      </c>
      <c r="H253" t="str">
        <f>IF(AND(A253&gt;=$N$7,A253&lt;=$O$7),"During","Before")</f>
        <v>Before</v>
      </c>
      <c r="I253" s="15">
        <f ca="1">AVERAGEIF(Table5[Period],"Before",Table5[[#This Row],[Engagement_Rate]])</f>
        <v>0.12873703356502883</v>
      </c>
      <c r="J253" s="15">
        <f ca="1">AVERAGEIF(Table5[Period],"During",Table5[[#This Row],[Engagement_Rate]])</f>
        <v>9.9829463465827106E-2</v>
      </c>
      <c r="K253" s="47">
        <f ca="1">((Table5[[#This Row],[Avg_During]]-Table5[[#This Row],[Avg_Before]])/I253)</f>
        <v>-0.22454743051539763</v>
      </c>
    </row>
    <row r="254" spans="1:11" x14ac:dyDescent="0.3">
      <c r="A254" t="s">
        <v>412</v>
      </c>
      <c r="B254">
        <v>2696</v>
      </c>
      <c r="C254">
        <v>628</v>
      </c>
      <c r="D254">
        <v>443</v>
      </c>
      <c r="E254">
        <v>45832</v>
      </c>
      <c r="F254" t="s">
        <v>34</v>
      </c>
      <c r="G254" s="47">
        <f t="shared" si="3"/>
        <v>8.21914819340199E-2</v>
      </c>
      <c r="H254" t="str">
        <f>IF(AND(A254&gt;=$N$8,A254&lt;=$O$8),"During","Before")</f>
        <v>During</v>
      </c>
      <c r="I254" s="15">
        <f ca="1">AVERAGEIF(Table5[Period],"Before",Table5[[#This Row],[Engagement_Rate]])</f>
        <v>0.12292022835732393</v>
      </c>
      <c r="J254" s="15">
        <f ca="1">AVERAGEIF(Table5[Period],"During",Table5[[#This Row],[Engagement_Rate]])</f>
        <v>0.29199735449735448</v>
      </c>
      <c r="K254" s="47">
        <f ca="1">((Table5[[#This Row],[Avg_During]]-Table5[[#This Row],[Avg_Before]])/I254)</f>
        <v>1.3755028639267612</v>
      </c>
    </row>
    <row r="255" spans="1:11" x14ac:dyDescent="0.3">
      <c r="A255" t="s">
        <v>320</v>
      </c>
      <c r="B255">
        <v>2581</v>
      </c>
      <c r="C255">
        <v>517</v>
      </c>
      <c r="D255">
        <v>117</v>
      </c>
      <c r="E255">
        <v>23229</v>
      </c>
      <c r="F255" t="s">
        <v>27</v>
      </c>
      <c r="G255" s="47">
        <f t="shared" si="3"/>
        <v>0.13840458048129492</v>
      </c>
      <c r="H255" t="str">
        <f>IF(AND(A255&gt;=$N$7,A255&lt;=$O$7),"During","Before")</f>
        <v>Before</v>
      </c>
      <c r="I255" s="15">
        <f ca="1">AVERAGEIF(Table5[Period],"Before",Table5[[#This Row],[Engagement_Rate]])</f>
        <v>0.13379135062692607</v>
      </c>
      <c r="J255" s="15">
        <f ca="1">AVERAGEIF(Table5[Period],"During",Table5[[#This Row],[Engagement_Rate]])</f>
        <v>0.17954159592529711</v>
      </c>
      <c r="K255" s="47">
        <f ca="1">((Table5[[#This Row],[Avg_During]]-Table5[[#This Row],[Avg_Before]])/I255)</f>
        <v>0.34195218961459245</v>
      </c>
    </row>
    <row r="256" spans="1:11" x14ac:dyDescent="0.3">
      <c r="A256" t="s">
        <v>194</v>
      </c>
      <c r="B256">
        <v>4158</v>
      </c>
      <c r="C256">
        <v>167</v>
      </c>
      <c r="D256">
        <v>241</v>
      </c>
      <c r="E256">
        <v>45738</v>
      </c>
      <c r="F256" t="s">
        <v>603</v>
      </c>
      <c r="G256" s="47">
        <f t="shared" si="3"/>
        <v>9.9829463465827106E-2</v>
      </c>
      <c r="H256" t="s">
        <v>603</v>
      </c>
      <c r="I256" s="15">
        <f ca="1">AVERAGEIF(Table5[Period],"Before",Table5[[#This Row],[Engagement_Rate]])</f>
        <v>0.12637037052296105</v>
      </c>
      <c r="J256" s="15">
        <f ca="1">AVERAGEIF(Table5[Period],"During",Table5[[#This Row],[Engagement_Rate]])</f>
        <v>0.12537731780940059</v>
      </c>
      <c r="K256" s="47">
        <f ca="1">((Table5[[#This Row],[Avg_During]]-Table5[[#This Row],[Avg_Before]])/I256)</f>
        <v>-7.8582717566695812E-3</v>
      </c>
    </row>
    <row r="257" spans="1:11" x14ac:dyDescent="0.3">
      <c r="A257" t="s">
        <v>500</v>
      </c>
      <c r="B257">
        <v>432</v>
      </c>
      <c r="C257">
        <v>171</v>
      </c>
      <c r="D257">
        <v>280</v>
      </c>
      <c r="E257">
        <v>3024</v>
      </c>
      <c r="F257" t="s">
        <v>17</v>
      </c>
      <c r="G257" s="47">
        <f t="shared" si="3"/>
        <v>0.29199735449735448</v>
      </c>
      <c r="H257" t="str">
        <f>IF(AND(A257&gt;=$N$5,A257&lt;=$O$5),"During","Before")</f>
        <v>Before</v>
      </c>
      <c r="I257" s="15">
        <f ca="1">AVERAGEIF(Table5[Period],"Before",Table5[[#This Row],[Engagement_Rate]])</f>
        <v>0.12534372411008871</v>
      </c>
      <c r="J257" s="15">
        <f ca="1">AVERAGEIF(Table5[Period],"During",Table5[[#This Row],[Engagement_Rate]])</f>
        <v>0.28245270711024134</v>
      </c>
      <c r="K257" s="47">
        <f ca="1">((Table5[[#This Row],[Avg_During]]-Table5[[#This Row],[Avg_Before]])/I257)</f>
        <v>1.2534252042979406</v>
      </c>
    </row>
    <row r="258" spans="1:11" x14ac:dyDescent="0.3">
      <c r="A258" t="s">
        <v>264</v>
      </c>
      <c r="B258">
        <v>2945</v>
      </c>
      <c r="C258">
        <v>930</v>
      </c>
      <c r="D258">
        <v>355</v>
      </c>
      <c r="E258">
        <v>23560</v>
      </c>
      <c r="F258" t="s">
        <v>21</v>
      </c>
      <c r="G258" s="47">
        <f t="shared" si="3"/>
        <v>0.17954159592529711</v>
      </c>
      <c r="H258" t="str">
        <f>IF(AND(A258&gt;=$N$6,A258&lt;=$O$6),"During","Before")</f>
        <v>Before</v>
      </c>
      <c r="I258" s="15">
        <f ca="1">AVERAGEIF(Table5[Period],"Before",Table5[[#This Row],[Engagement_Rate]])</f>
        <v>0.12844406092220426</v>
      </c>
      <c r="J258" s="15">
        <f ca="1">AVERAGEIF(Table5[Period],"During",Table5[[#This Row],[Engagement_Rate]])</f>
        <v>0.19484607062063539</v>
      </c>
      <c r="K258" s="47">
        <f ca="1">((Table5[[#This Row],[Avg_During]]-Table5[[#This Row],[Avg_Before]])/I258)</f>
        <v>0.51697220736931826</v>
      </c>
    </row>
    <row r="259" spans="1:11" x14ac:dyDescent="0.3">
      <c r="A259" t="s">
        <v>322</v>
      </c>
      <c r="B259">
        <v>3092</v>
      </c>
      <c r="C259">
        <v>106</v>
      </c>
      <c r="D259">
        <v>291</v>
      </c>
      <c r="E259">
        <v>27828</v>
      </c>
      <c r="F259" t="s">
        <v>603</v>
      </c>
      <c r="G259" s="47">
        <f t="shared" si="3"/>
        <v>0.12537731780940059</v>
      </c>
      <c r="H259" t="s">
        <v>603</v>
      </c>
      <c r="I259" s="15">
        <f ca="1">AVERAGEIF(Table5[Period],"Before",Table5[[#This Row],[Engagement_Rate]])</f>
        <v>0.12345028078147238</v>
      </c>
      <c r="J259" s="15">
        <f ca="1">AVERAGEIF(Table5[Period],"During",Table5[[#This Row],[Engagement_Rate]])</f>
        <v>0.20416333066453163</v>
      </c>
      <c r="K259" s="47">
        <f ca="1">((Table5[[#This Row],[Avg_During]]-Table5[[#This Row],[Avg_Before]])/I259)</f>
        <v>0.6538101766324439</v>
      </c>
    </row>
    <row r="260" spans="1:11" x14ac:dyDescent="0.3">
      <c r="A260" t="s">
        <v>182</v>
      </c>
      <c r="B260">
        <v>438</v>
      </c>
      <c r="C260">
        <v>153</v>
      </c>
      <c r="D260">
        <v>275</v>
      </c>
      <c r="E260">
        <v>3066</v>
      </c>
      <c r="F260" t="s">
        <v>21</v>
      </c>
      <c r="G260" s="47">
        <f t="shared" si="3"/>
        <v>0.28245270711024134</v>
      </c>
      <c r="H260" t="str">
        <f>IF(AND(A260&gt;=$N$6,A260&lt;=$O$6),"During","Before")</f>
        <v>Before</v>
      </c>
      <c r="I260" s="15">
        <f ca="1">AVERAGEIF(Table5[Period],"Before",Table5[[#This Row],[Engagement_Rate]])</f>
        <v>0.1298134525067223</v>
      </c>
      <c r="J260" s="15">
        <f ca="1">AVERAGEIF(Table5[Period],"During",Table5[[#This Row],[Engagement_Rate]])</f>
        <v>0.11996283514733209</v>
      </c>
      <c r="K260" s="47">
        <f ca="1">((Table5[[#This Row],[Avg_During]]-Table5[[#This Row],[Avg_Before]])/I260)</f>
        <v>-7.5882870143062386E-2</v>
      </c>
    </row>
    <row r="261" spans="1:11" x14ac:dyDescent="0.3">
      <c r="A261" t="s">
        <v>452</v>
      </c>
      <c r="B261">
        <v>3389</v>
      </c>
      <c r="C261">
        <v>344</v>
      </c>
      <c r="D261">
        <v>229</v>
      </c>
      <c r="E261">
        <v>20334</v>
      </c>
      <c r="F261" t="s">
        <v>27</v>
      </c>
      <c r="G261" s="47">
        <f t="shared" ref="G261:G304" si="4">((B261+C261+D261)/E261)</f>
        <v>0.19484607062063539</v>
      </c>
      <c r="H261" t="str">
        <f>IF(AND(A261&gt;=$N$7,A261&lt;=$O$7),"During","Before")</f>
        <v>Before</v>
      </c>
      <c r="I261" s="15">
        <f ca="1">AVERAGEIF(Table5[Period],"Before",Table5[[#This Row],[Engagement_Rate]])</f>
        <v>0.12836950611168027</v>
      </c>
      <c r="J261" s="15">
        <f ca="1">AVERAGEIF(Table5[Period],"During",Table5[[#This Row],[Engagement_Rate]])</f>
        <v>6.8108806480899509E-2</v>
      </c>
      <c r="K261" s="47">
        <f ca="1">((Table5[[#This Row],[Avg_During]]-Table5[[#This Row],[Avg_Before]])/I261)</f>
        <v>-0.46943157651751433</v>
      </c>
    </row>
    <row r="262" spans="1:11" x14ac:dyDescent="0.3">
      <c r="A262" t="s">
        <v>447</v>
      </c>
      <c r="B262">
        <v>1249</v>
      </c>
      <c r="C262">
        <v>116</v>
      </c>
      <c r="D262">
        <v>420</v>
      </c>
      <c r="E262">
        <v>8743</v>
      </c>
      <c r="F262" t="s">
        <v>603</v>
      </c>
      <c r="G262" s="47">
        <f t="shared" si="4"/>
        <v>0.20416333066453163</v>
      </c>
      <c r="H262" t="s">
        <v>603</v>
      </c>
      <c r="I262" s="15">
        <f ca="1">AVERAGEIF(Table5[Period],"Before",Table5[[#This Row],[Engagement_Rate]])</f>
        <v>0.11622305198498767</v>
      </c>
      <c r="J262" s="15">
        <f ca="1">AVERAGEIF(Table5[Period],"During",Table5[[#This Row],[Engagement_Rate]])</f>
        <v>8.6630570595585168E-2</v>
      </c>
      <c r="K262" s="47">
        <f ca="1">((Table5[[#This Row],[Avg_During]]-Table5[[#This Row],[Avg_Before]])/I262)</f>
        <v>-0.2546180029175702</v>
      </c>
    </row>
    <row r="263" spans="1:11" x14ac:dyDescent="0.3">
      <c r="A263" t="s">
        <v>494</v>
      </c>
      <c r="B263">
        <v>3767</v>
      </c>
      <c r="C263">
        <v>514</v>
      </c>
      <c r="D263">
        <v>238</v>
      </c>
      <c r="E263">
        <v>37670</v>
      </c>
      <c r="F263" t="s">
        <v>34</v>
      </c>
      <c r="G263" s="47">
        <f t="shared" si="4"/>
        <v>0.11996283514733209</v>
      </c>
      <c r="H263" t="str">
        <f>IF(AND(A263&gt;=$N$8,A263&lt;=$O$8),"During","Before")</f>
        <v>Before</v>
      </c>
      <c r="I263" s="15">
        <f ca="1">AVERAGEIF(Table5[Period],"Before",Table5[[#This Row],[Engagement_Rate]])</f>
        <v>0.12450406573797498</v>
      </c>
      <c r="J263" s="15">
        <f ca="1">AVERAGEIF(Table5[Period],"During",Table5[[#This Row],[Engagement_Rate]])</f>
        <v>0.10793717277486911</v>
      </c>
      <c r="K263" s="47">
        <f ca="1">((Table5[[#This Row],[Avg_During]]-Table5[[#This Row],[Avg_Before]])/I263)</f>
        <v>-0.13306306798021941</v>
      </c>
    </row>
    <row r="264" spans="1:11" x14ac:dyDescent="0.3">
      <c r="A264" t="s">
        <v>258</v>
      </c>
      <c r="B264">
        <v>3182</v>
      </c>
      <c r="C264">
        <v>559</v>
      </c>
      <c r="D264">
        <v>160</v>
      </c>
      <c r="E264">
        <v>57276</v>
      </c>
      <c r="F264" t="s">
        <v>34</v>
      </c>
      <c r="G264" s="47">
        <f t="shared" si="4"/>
        <v>6.8108806480899509E-2</v>
      </c>
      <c r="H264" t="str">
        <f>IF(AND(A264&gt;=$N$8,A264&lt;=$O$8),"During","Before")</f>
        <v>Before</v>
      </c>
      <c r="I264" s="15">
        <f ca="1">AVERAGEIF(Table5[Period],"Before",Table5[[#This Row],[Engagement_Rate]])</f>
        <v>0.11646186200177268</v>
      </c>
      <c r="J264" s="15">
        <f ca="1">AVERAGEIF(Table5[Period],"During",Table5[[#This Row],[Engagement_Rate]])</f>
        <v>8.3726921425504502E-2</v>
      </c>
      <c r="K264" s="47">
        <f ca="1">((Table5[[#This Row],[Avg_During]]-Table5[[#This Row],[Avg_Before]])/I264)</f>
        <v>-0.28107862963559621</v>
      </c>
    </row>
    <row r="265" spans="1:11" x14ac:dyDescent="0.3">
      <c r="A265" t="s">
        <v>429</v>
      </c>
      <c r="B265">
        <v>3430</v>
      </c>
      <c r="C265">
        <v>566</v>
      </c>
      <c r="D265">
        <v>164</v>
      </c>
      <c r="E265">
        <v>48020</v>
      </c>
      <c r="F265" t="s">
        <v>603</v>
      </c>
      <c r="G265" s="47">
        <f t="shared" si="4"/>
        <v>8.6630570595585168E-2</v>
      </c>
      <c r="H265" t="s">
        <v>603</v>
      </c>
      <c r="I265" s="15">
        <f ca="1">AVERAGEIF(Table5[Period],"Before",Table5[[#This Row],[Engagement_Rate]])</f>
        <v>0.11586147313536282</v>
      </c>
      <c r="J265" s="15">
        <f ca="1">AVERAGEIF(Table5[Period],"During",Table5[[#This Row],[Engagement_Rate]])</f>
        <v>0.32349397590361445</v>
      </c>
      <c r="K265" s="47">
        <f ca="1">((Table5[[#This Row],[Avg_During]]-Table5[[#This Row],[Avg_Before]])/I265)</f>
        <v>1.7920754600251909</v>
      </c>
    </row>
    <row r="266" spans="1:11" x14ac:dyDescent="0.3">
      <c r="A266" t="s">
        <v>46</v>
      </c>
      <c r="B266">
        <v>4775</v>
      </c>
      <c r="C266">
        <v>173</v>
      </c>
      <c r="D266">
        <v>206</v>
      </c>
      <c r="E266">
        <v>47750</v>
      </c>
      <c r="F266" t="s">
        <v>21</v>
      </c>
      <c r="G266" s="47">
        <f t="shared" si="4"/>
        <v>0.10793717277486911</v>
      </c>
      <c r="H266" t="str">
        <f>IF(AND(A266&gt;=$N$6,A266&lt;=$O$6),"During","Before")</f>
        <v>Before</v>
      </c>
      <c r="I266" s="15">
        <f ca="1">AVERAGEIF(Table5[Period],"Before",Table5[[#This Row],[Engagement_Rate]])</f>
        <v>0.12708372007243482</v>
      </c>
      <c r="J266" s="15">
        <f ca="1">AVERAGEIF(Table5[Period],"During",Table5[[#This Row],[Engagement_Rate]])</f>
        <v>7.5968222442899705E-2</v>
      </c>
      <c r="K266" s="47">
        <f ca="1">((Table5[[#This Row],[Avg_During]]-Table5[[#This Row],[Avg_Before]])/I266)</f>
        <v>-0.40221908518573779</v>
      </c>
    </row>
    <row r="267" spans="1:11" x14ac:dyDescent="0.3">
      <c r="A267" t="s">
        <v>352</v>
      </c>
      <c r="B267">
        <v>1644</v>
      </c>
      <c r="C267">
        <v>546</v>
      </c>
      <c r="D267">
        <v>150</v>
      </c>
      <c r="E267">
        <v>27948</v>
      </c>
      <c r="F267" t="s">
        <v>27</v>
      </c>
      <c r="G267" s="47">
        <f t="shared" si="4"/>
        <v>8.3726921425504502E-2</v>
      </c>
      <c r="H267" t="str">
        <f>IF(AND(A267&gt;=$N$7,A267&lt;=$O$7),"During","Before")</f>
        <v>During</v>
      </c>
      <c r="I267" s="15">
        <f ca="1">AVERAGEIF(Table5[Period],"Before",Table5[[#This Row],[Engagement_Rate]])</f>
        <v>0.12176904973452057</v>
      </c>
      <c r="J267" s="15">
        <f ca="1">AVERAGEIF(Table5[Period],"During",Table5[[#This Row],[Engagement_Rate]])</f>
        <v>8.4062694239588759E-2</v>
      </c>
      <c r="K267" s="47">
        <f ca="1">((Table5[[#This Row],[Avg_During]]-Table5[[#This Row],[Avg_Before]])/I267)</f>
        <v>-0.30965467478919118</v>
      </c>
    </row>
    <row r="268" spans="1:11" x14ac:dyDescent="0.3">
      <c r="A268" t="s">
        <v>119</v>
      </c>
      <c r="B268">
        <v>498</v>
      </c>
      <c r="C268">
        <v>701</v>
      </c>
      <c r="D268">
        <v>412</v>
      </c>
      <c r="E268">
        <v>4980</v>
      </c>
      <c r="F268" t="s">
        <v>603</v>
      </c>
      <c r="G268" s="47">
        <f t="shared" si="4"/>
        <v>0.32349397590361445</v>
      </c>
      <c r="H268" t="s">
        <v>603</v>
      </c>
      <c r="I268" s="15">
        <f ca="1">AVERAGEIF(Table5[Period],"Before",Table5[[#This Row],[Engagement_Rate]])</f>
        <v>0.13171626177908224</v>
      </c>
      <c r="J268" s="15">
        <f ca="1">AVERAGEIF(Table5[Period],"During",Table5[[#This Row],[Engagement_Rate]])</f>
        <v>0.12896028558679162</v>
      </c>
      <c r="K268" s="47">
        <f ca="1">((Table5[[#This Row],[Avg_During]]-Table5[[#This Row],[Avg_Before]])/I268)</f>
        <v>-2.0923583428999921E-2</v>
      </c>
    </row>
    <row r="269" spans="1:11" x14ac:dyDescent="0.3">
      <c r="A269" t="s">
        <v>232</v>
      </c>
      <c r="B269">
        <v>1272</v>
      </c>
      <c r="C269">
        <v>465</v>
      </c>
      <c r="D269">
        <v>99</v>
      </c>
      <c r="E269">
        <v>24168</v>
      </c>
      <c r="F269" t="s">
        <v>603</v>
      </c>
      <c r="G269" s="47">
        <f t="shared" si="4"/>
        <v>7.5968222442899705E-2</v>
      </c>
      <c r="H269" t="s">
        <v>603</v>
      </c>
      <c r="I269" s="15">
        <f ca="1">AVERAGEIF(Table5[Period],"Before",Table5[[#This Row],[Engagement_Rate]])</f>
        <v>0.11535707971722135</v>
      </c>
      <c r="J269" s="15">
        <f ca="1">AVERAGEIF(Table5[Period],"During",Table5[[#This Row],[Engagement_Rate]])</f>
        <v>6.3118551273952411E-2</v>
      </c>
      <c r="K269" s="47">
        <f ca="1">((Table5[[#This Row],[Avg_During]]-Table5[[#This Row],[Avg_Before]])/I269)</f>
        <v>-0.45284198049502455</v>
      </c>
    </row>
    <row r="270" spans="1:11" x14ac:dyDescent="0.3">
      <c r="A270" t="s">
        <v>89</v>
      </c>
      <c r="B270">
        <v>4579</v>
      </c>
      <c r="C270">
        <v>125</v>
      </c>
      <c r="D270">
        <v>300</v>
      </c>
      <c r="E270">
        <v>59527</v>
      </c>
      <c r="F270" t="s">
        <v>17</v>
      </c>
      <c r="G270" s="47">
        <f t="shared" si="4"/>
        <v>8.4062694239588759E-2</v>
      </c>
      <c r="H270" t="str">
        <f>IF(AND(A270&gt;=$N$5,A270&lt;=$O$5),"During","Before")</f>
        <v>Before</v>
      </c>
      <c r="I270" s="15">
        <f ca="1">AVERAGEIF(Table5[Period],"Before",Table5[[#This Row],[Engagement_Rate]])</f>
        <v>0.11490978511437128</v>
      </c>
      <c r="J270" s="15">
        <f ca="1">AVERAGEIF(Table5[Period],"During",Table5[[#This Row],[Engagement_Rate]])</f>
        <v>0.21636759108210984</v>
      </c>
      <c r="K270" s="47">
        <f ca="1">((Table5[[#This Row],[Avg_During]]-Table5[[#This Row],[Avg_Before]])/I270)</f>
        <v>0.88293443301417918</v>
      </c>
    </row>
    <row r="271" spans="1:11" x14ac:dyDescent="0.3">
      <c r="A271" t="s">
        <v>149</v>
      </c>
      <c r="B271">
        <v>498</v>
      </c>
      <c r="C271">
        <v>38</v>
      </c>
      <c r="D271">
        <v>42</v>
      </c>
      <c r="E271">
        <v>4482</v>
      </c>
      <c r="F271" t="s">
        <v>17</v>
      </c>
      <c r="G271" s="47">
        <f t="shared" si="4"/>
        <v>0.12896028558679162</v>
      </c>
      <c r="H271" t="str">
        <f>IF(AND(A271&gt;=$N$5,A271&lt;=$O$5),"During","Before")</f>
        <v>Before</v>
      </c>
      <c r="I271" s="15">
        <f ca="1">AVERAGEIF(Table5[Period],"Before",Table5[[#This Row],[Engagement_Rate]])</f>
        <v>0.1250902119328948</v>
      </c>
      <c r="J271" s="15">
        <f ca="1">AVERAGEIF(Table5[Period],"During",Table5[[#This Row],[Engagement_Rate]])</f>
        <v>5.2551586421122697E-2</v>
      </c>
      <c r="K271" s="47">
        <f ca="1">((Table5[[#This Row],[Avg_During]]-Table5[[#This Row],[Avg_Before]])/I271)</f>
        <v>-0.57989049975137752</v>
      </c>
    </row>
    <row r="272" spans="1:11" x14ac:dyDescent="0.3">
      <c r="A272" t="s">
        <v>246</v>
      </c>
      <c r="B272">
        <v>3166</v>
      </c>
      <c r="C272">
        <v>90</v>
      </c>
      <c r="D272">
        <v>341</v>
      </c>
      <c r="E272">
        <v>56988</v>
      </c>
      <c r="F272" t="s">
        <v>21</v>
      </c>
      <c r="G272" s="47">
        <f t="shared" si="4"/>
        <v>6.3118551273952411E-2</v>
      </c>
      <c r="H272" t="str">
        <f>IF(AND(A272&gt;=$N$6,A272&lt;=$O$6),"During","Before")</f>
        <v>Before</v>
      </c>
      <c r="I272" s="15">
        <f ca="1">AVERAGEIF(Table5[Period],"Before",Table5[[#This Row],[Engagement_Rate]])</f>
        <v>0.11546114477912781</v>
      </c>
      <c r="J272" s="15">
        <f ca="1">AVERAGEIF(Table5[Period],"During",Table5[[#This Row],[Engagement_Rate]])</f>
        <v>0.1095786671562328</v>
      </c>
      <c r="K272" s="47">
        <f ca="1">((Table5[[#This Row],[Avg_During]]-Table5[[#This Row],[Avg_Before]])/I272)</f>
        <v>-5.0947681439915883E-2</v>
      </c>
    </row>
    <row r="273" spans="1:11" x14ac:dyDescent="0.3">
      <c r="A273" t="s">
        <v>459</v>
      </c>
      <c r="B273">
        <v>3065</v>
      </c>
      <c r="C273">
        <v>772</v>
      </c>
      <c r="D273">
        <v>142</v>
      </c>
      <c r="E273">
        <v>18390</v>
      </c>
      <c r="F273" t="s">
        <v>603</v>
      </c>
      <c r="G273" s="47">
        <f t="shared" si="4"/>
        <v>0.21636759108210984</v>
      </c>
      <c r="H273" t="s">
        <v>603</v>
      </c>
      <c r="I273" s="15">
        <f ca="1">AVERAGEIF(Table5[Period],"Before",Table5[[#This Row],[Engagement_Rate]])</f>
        <v>0.12286641576726542</v>
      </c>
      <c r="J273" s="15">
        <f ca="1">AVERAGEIF(Table5[Period],"During",Table5[[#This Row],[Engagement_Rate]])</f>
        <v>8.3274853801169585E-2</v>
      </c>
      <c r="K273" s="47">
        <f ca="1">((Table5[[#This Row],[Avg_During]]-Table5[[#This Row],[Avg_Before]])/I273)</f>
        <v>-0.32223257851918219</v>
      </c>
    </row>
    <row r="274" spans="1:11" x14ac:dyDescent="0.3">
      <c r="A274" t="s">
        <v>117</v>
      </c>
      <c r="B274">
        <v>4507</v>
      </c>
      <c r="C274">
        <v>217</v>
      </c>
      <c r="D274">
        <v>13</v>
      </c>
      <c r="E274">
        <v>90140</v>
      </c>
      <c r="F274" t="s">
        <v>27</v>
      </c>
      <c r="G274" s="47">
        <f t="shared" si="4"/>
        <v>5.2551586421122697E-2</v>
      </c>
      <c r="H274" t="str">
        <f>IF(AND(A274&gt;=$N$7,A274&lt;=$O$7),"During","Before")</f>
        <v>Before</v>
      </c>
      <c r="I274" s="15">
        <f ca="1">AVERAGEIF(Table5[Period],"Before",Table5[[#This Row],[Engagement_Rate]])</f>
        <v>0.11613891827902049</v>
      </c>
      <c r="J274" s="15">
        <f ca="1">AVERAGEIF(Table5[Period],"During",Table5[[#This Row],[Engagement_Rate]])</f>
        <v>0.10297222222222223</v>
      </c>
      <c r="K274" s="47">
        <f ca="1">((Table5[[#This Row],[Avg_During]]-Table5[[#This Row],[Avg_Before]])/I274)</f>
        <v>-0.11337023154603221</v>
      </c>
    </row>
    <row r="275" spans="1:11" x14ac:dyDescent="0.3">
      <c r="A275" t="s">
        <v>519</v>
      </c>
      <c r="B275">
        <v>3352</v>
      </c>
      <c r="C275">
        <v>941</v>
      </c>
      <c r="D275">
        <v>482</v>
      </c>
      <c r="E275">
        <v>43576</v>
      </c>
      <c r="F275" t="s">
        <v>21</v>
      </c>
      <c r="G275" s="47">
        <f t="shared" si="4"/>
        <v>0.1095786671562328</v>
      </c>
      <c r="H275" t="str">
        <f>IF(AND(A275&gt;=$N$6,A275&lt;=$O$6),"During","Before")</f>
        <v>During</v>
      </c>
      <c r="I275" s="15">
        <f ca="1">AVERAGEIF(Table5[Period],"Before",Table5[[#This Row],[Engagement_Rate]])</f>
        <v>0.11703713545989275</v>
      </c>
      <c r="J275" s="15">
        <f ca="1">AVERAGEIF(Table5[Period],"During",Table5[[#This Row],[Engagement_Rate]])</f>
        <v>0.23616777446710979</v>
      </c>
      <c r="K275" s="47">
        <f ca="1">((Table5[[#This Row],[Avg_During]]-Table5[[#This Row],[Avg_Before]])/I275)</f>
        <v>1.017887515266825</v>
      </c>
    </row>
    <row r="276" spans="1:11" x14ac:dyDescent="0.3">
      <c r="A276" t="s">
        <v>147</v>
      </c>
      <c r="B276">
        <v>4275</v>
      </c>
      <c r="C276">
        <v>680</v>
      </c>
      <c r="D276">
        <v>385</v>
      </c>
      <c r="E276">
        <v>64125</v>
      </c>
      <c r="F276" t="s">
        <v>34</v>
      </c>
      <c r="G276" s="47">
        <f t="shared" si="4"/>
        <v>8.3274853801169585E-2</v>
      </c>
      <c r="H276" t="str">
        <f>IF(AND(A276&gt;=$N$8,A276&lt;=$O$8),"During","Before")</f>
        <v>Before</v>
      </c>
      <c r="I276" s="15">
        <f ca="1">AVERAGEIF(Table5[Period],"Before",Table5[[#This Row],[Engagement_Rate]])</f>
        <v>0.13128813795031721</v>
      </c>
      <c r="J276" s="15">
        <f ca="1">AVERAGEIF(Table5[Period],"During",Table5[[#This Row],[Engagement_Rate]])</f>
        <v>0.14265722032712325</v>
      </c>
      <c r="K276" s="47">
        <f ca="1">((Table5[[#This Row],[Avg_During]]-Table5[[#This Row],[Avg_Before]])/I276)</f>
        <v>8.6596417271973078E-2</v>
      </c>
    </row>
    <row r="277" spans="1:11" x14ac:dyDescent="0.3">
      <c r="A277" t="s">
        <v>216</v>
      </c>
      <c r="B277">
        <v>3000</v>
      </c>
      <c r="C277">
        <v>382</v>
      </c>
      <c r="D277">
        <v>325</v>
      </c>
      <c r="E277">
        <v>36000</v>
      </c>
      <c r="F277" t="s">
        <v>17</v>
      </c>
      <c r="G277" s="47">
        <f t="shared" si="4"/>
        <v>0.10297222222222223</v>
      </c>
      <c r="H277" t="str">
        <f>IF(AND(A277&gt;=$N$5,A277&lt;=$O$5),"During","Before")</f>
        <v>During</v>
      </c>
      <c r="I277" s="15">
        <f ca="1">AVERAGEIF(Table5[Period],"Before",Table5[[#This Row],[Engagement_Rate]])</f>
        <v>0.11081902896533542</v>
      </c>
      <c r="J277" s="15">
        <f ca="1">AVERAGEIF(Table5[Period],"During",Table5[[#This Row],[Engagement_Rate]])</f>
        <v>8.4862714173059003E-2</v>
      </c>
      <c r="K277" s="47">
        <f ca="1">((Table5[[#This Row],[Avg_During]]-Table5[[#This Row],[Avg_Before]])/I277)</f>
        <v>-0.23422254313738522</v>
      </c>
    </row>
    <row r="278" spans="1:11" x14ac:dyDescent="0.3">
      <c r="A278" t="s">
        <v>331</v>
      </c>
      <c r="B278">
        <v>4363</v>
      </c>
      <c r="C278">
        <v>649</v>
      </c>
      <c r="D278">
        <v>140</v>
      </c>
      <c r="E278">
        <v>21815</v>
      </c>
      <c r="F278" t="s">
        <v>17</v>
      </c>
      <c r="G278" s="47">
        <f t="shared" si="4"/>
        <v>0.23616777446710979</v>
      </c>
      <c r="H278" t="str">
        <f>IF(AND(A278&gt;=$N$5,A278&lt;=$O$5),"During","Before")</f>
        <v>Before</v>
      </c>
      <c r="I278" s="15">
        <f ca="1">AVERAGEIF(Table5[Period],"Before",Table5[[#This Row],[Engagement_Rate]])</f>
        <v>0.13045531259534601</v>
      </c>
      <c r="J278" s="15">
        <f ca="1">AVERAGEIF(Table5[Period],"During",Table5[[#This Row],[Engagement_Rate]])</f>
        <v>6.2150491965739366E-2</v>
      </c>
      <c r="K278" s="47">
        <f ca="1">((Table5[[#This Row],[Avg_During]]-Table5[[#This Row],[Avg_Before]])/I278)</f>
        <v>-0.5235878805601315</v>
      </c>
    </row>
    <row r="279" spans="1:11" x14ac:dyDescent="0.3">
      <c r="A279" t="s">
        <v>279</v>
      </c>
      <c r="B279">
        <v>3811</v>
      </c>
      <c r="C279">
        <v>866</v>
      </c>
      <c r="D279">
        <v>216</v>
      </c>
      <c r="E279">
        <v>34299</v>
      </c>
      <c r="F279" t="s">
        <v>34</v>
      </c>
      <c r="G279" s="47">
        <f t="shared" si="4"/>
        <v>0.14265722032712325</v>
      </c>
      <c r="H279" t="str">
        <f>IF(AND(A279&gt;=$N$8,A279&lt;=$O$8),"During","Before")</f>
        <v>Before</v>
      </c>
      <c r="I279" s="15">
        <f ca="1">AVERAGEIF(Table5[Period],"Before",Table5[[#This Row],[Engagement_Rate]])</f>
        <v>0.12800330650544267</v>
      </c>
      <c r="J279" s="15">
        <f ca="1">AVERAGEIF(Table5[Period],"During",Table5[[#This Row],[Engagement_Rate]])</f>
        <v>8.5520696919660646E-2</v>
      </c>
      <c r="K279" s="47">
        <f ca="1">((Table5[[#This Row],[Avg_During]]-Table5[[#This Row],[Avg_Before]])/I279)</f>
        <v>-0.33188681406425757</v>
      </c>
    </row>
    <row r="280" spans="1:11" x14ac:dyDescent="0.3">
      <c r="A280" t="s">
        <v>291</v>
      </c>
      <c r="B280">
        <v>4292</v>
      </c>
      <c r="C280">
        <v>51</v>
      </c>
      <c r="D280">
        <v>392</v>
      </c>
      <c r="E280">
        <v>55796</v>
      </c>
      <c r="F280" t="s">
        <v>27</v>
      </c>
      <c r="G280" s="47">
        <f t="shared" si="4"/>
        <v>8.4862714173059003E-2</v>
      </c>
      <c r="H280" t="str">
        <f>IF(AND(A280&gt;=$N$7,A280&lt;=$O$7),"During","Before")</f>
        <v>Before</v>
      </c>
      <c r="I280" s="15">
        <f ca="1">AVERAGEIF(Table5[Period],"Before",Table5[[#This Row],[Engagement_Rate]])</f>
        <v>0.11575793246792193</v>
      </c>
      <c r="J280" s="15">
        <f ca="1">AVERAGEIF(Table5[Period],"During",Table5[[#This Row],[Engagement_Rate]])</f>
        <v>0.14220299534507186</v>
      </c>
      <c r="K280" s="47">
        <f ca="1">((Table5[[#This Row],[Avg_During]]-Table5[[#This Row],[Avg_Before]])/I280)</f>
        <v>0.22845140988051257</v>
      </c>
    </row>
    <row r="281" spans="1:11" x14ac:dyDescent="0.3">
      <c r="A281" t="s">
        <v>82</v>
      </c>
      <c r="B281">
        <v>2493</v>
      </c>
      <c r="C281">
        <v>97</v>
      </c>
      <c r="D281">
        <v>44</v>
      </c>
      <c r="E281">
        <v>42381</v>
      </c>
      <c r="F281" t="s">
        <v>34</v>
      </c>
      <c r="G281" s="47">
        <f t="shared" si="4"/>
        <v>6.2150491965739366E-2</v>
      </c>
      <c r="H281" t="str">
        <f>IF(AND(A281&gt;=$N$8,A281&lt;=$O$8),"During","Before")</f>
        <v>Before</v>
      </c>
      <c r="I281" s="15">
        <f ca="1">AVERAGEIF(Table5[Period],"Before",Table5[[#This Row],[Engagement_Rate]])</f>
        <v>0.11463403571537205</v>
      </c>
      <c r="J281" s="15">
        <f ca="1">AVERAGEIF(Table5[Period],"During",Table5[[#This Row],[Engagement_Rate]])</f>
        <v>8.0565268065268064E-2</v>
      </c>
      <c r="K281" s="47">
        <f ca="1">((Table5[[#This Row],[Avg_During]]-Table5[[#This Row],[Avg_Before]])/I281)</f>
        <v>-0.29719591949719237</v>
      </c>
    </row>
    <row r="282" spans="1:11" x14ac:dyDescent="0.3">
      <c r="A282" t="s">
        <v>543</v>
      </c>
      <c r="B282">
        <v>2509</v>
      </c>
      <c r="C282">
        <v>324</v>
      </c>
      <c r="D282">
        <v>171</v>
      </c>
      <c r="E282">
        <v>35126</v>
      </c>
      <c r="F282" t="s">
        <v>21</v>
      </c>
      <c r="G282" s="47">
        <f t="shared" si="4"/>
        <v>8.5520696919660646E-2</v>
      </c>
      <c r="H282" t="str">
        <f>IF(AND(A282&gt;=$N$6,A282&lt;=$O$6),"During","Before")</f>
        <v>Before</v>
      </c>
      <c r="I282" s="15">
        <f ca="1">AVERAGEIF(Table5[Period],"Before",Table5[[#This Row],[Engagement_Rate]])</f>
        <v>0.1204046210694948</v>
      </c>
      <c r="J282" s="15">
        <f ca="1">AVERAGEIF(Table5[Period],"During",Table5[[#This Row],[Engagement_Rate]])</f>
        <v>0.12353896103896105</v>
      </c>
      <c r="K282" s="47">
        <f ca="1">((Table5[[#This Row],[Avg_During]]-Table5[[#This Row],[Avg_Before]])/I282)</f>
        <v>2.6031724875884735E-2</v>
      </c>
    </row>
    <row r="283" spans="1:11" x14ac:dyDescent="0.3">
      <c r="A283" t="s">
        <v>244</v>
      </c>
      <c r="B283">
        <v>4941</v>
      </c>
      <c r="C283">
        <v>414</v>
      </c>
      <c r="D283">
        <v>266</v>
      </c>
      <c r="E283">
        <v>39528</v>
      </c>
      <c r="F283" t="s">
        <v>27</v>
      </c>
      <c r="G283" s="47">
        <f t="shared" si="4"/>
        <v>0.14220299534507186</v>
      </c>
      <c r="H283" t="str">
        <f>IF(AND(A283&gt;=$N$7,A283&lt;=$O$7),"During","Before")</f>
        <v>Before</v>
      </c>
      <c r="I283" s="15">
        <f ca="1">AVERAGEIF(Table5[Period],"Before",Table5[[#This Row],[Engagement_Rate]])</f>
        <v>0.12859714245239043</v>
      </c>
      <c r="J283" s="15">
        <f ca="1">AVERAGEIF(Table5[Period],"During",Table5[[#This Row],[Engagement_Rate]])</f>
        <v>0.16754738655944859</v>
      </c>
      <c r="K283" s="47">
        <f ca="1">((Table5[[#This Row],[Avg_During]]-Table5[[#This Row],[Avg_Before]])/I283)</f>
        <v>0.30288576685503277</v>
      </c>
    </row>
    <row r="284" spans="1:11" x14ac:dyDescent="0.3">
      <c r="A284" t="s">
        <v>287</v>
      </c>
      <c r="B284">
        <v>3432</v>
      </c>
      <c r="C284">
        <v>869</v>
      </c>
      <c r="D284">
        <v>123</v>
      </c>
      <c r="E284">
        <v>54912</v>
      </c>
      <c r="F284" t="s">
        <v>21</v>
      </c>
      <c r="G284" s="47">
        <f t="shared" si="4"/>
        <v>8.0565268065268064E-2</v>
      </c>
      <c r="H284" t="str">
        <f>IF(AND(A284&gt;=$N$6,A284&lt;=$O$6),"During","Before")</f>
        <v>Before</v>
      </c>
      <c r="I284" s="15">
        <f ca="1">AVERAGEIF(Table5[Period],"Before",Table5[[#This Row],[Engagement_Rate]])</f>
        <v>0.11431880528869084</v>
      </c>
      <c r="J284" s="15">
        <f ca="1">AVERAGEIF(Table5[Period],"During",Table5[[#This Row],[Engagement_Rate]])</f>
        <v>0.1043848167539267</v>
      </c>
      <c r="K284" s="47">
        <f ca="1">((Table5[[#This Row],[Avg_During]]-Table5[[#This Row],[Avg_Before]])/I284)</f>
        <v>-8.6897238907262045E-2</v>
      </c>
    </row>
    <row r="285" spans="1:11" x14ac:dyDescent="0.3">
      <c r="A285" t="s">
        <v>415</v>
      </c>
      <c r="B285">
        <v>880</v>
      </c>
      <c r="C285">
        <v>297</v>
      </c>
      <c r="D285">
        <v>345</v>
      </c>
      <c r="E285">
        <v>12320</v>
      </c>
      <c r="F285" t="s">
        <v>603</v>
      </c>
      <c r="G285" s="47">
        <f t="shared" si="4"/>
        <v>0.12353896103896105</v>
      </c>
      <c r="H285" t="s">
        <v>603</v>
      </c>
      <c r="I285" s="15">
        <f ca="1">AVERAGEIF(Table5[Period],"Before",Table5[[#This Row],[Engagement_Rate]])</f>
        <v>0.11817139263823472</v>
      </c>
      <c r="J285" s="15">
        <f ca="1">AVERAGEIF(Table5[Period],"During",Table5[[#This Row],[Engagement_Rate]])</f>
        <v>8.2835359571399134E-2</v>
      </c>
      <c r="K285" s="47">
        <f ca="1">((Table5[[#This Row],[Avg_During]]-Table5[[#This Row],[Avg_Before]])/I285)</f>
        <v>-0.29902358157876613</v>
      </c>
    </row>
    <row r="286" spans="1:11" x14ac:dyDescent="0.3">
      <c r="A286" t="s">
        <v>154</v>
      </c>
      <c r="B286">
        <v>1741</v>
      </c>
      <c r="C286">
        <v>831</v>
      </c>
      <c r="D286">
        <v>345</v>
      </c>
      <c r="E286">
        <v>17410</v>
      </c>
      <c r="F286" t="s">
        <v>27</v>
      </c>
      <c r="G286" s="47">
        <f t="shared" si="4"/>
        <v>0.16754738655944859</v>
      </c>
      <c r="H286" t="str">
        <f>IF(AND(A286&gt;=$N$7,A286&lt;=$O$7),"During","Before")</f>
        <v>Before</v>
      </c>
      <c r="I286" s="15">
        <f ca="1">AVERAGEIF(Table5[Period],"Before",Table5[[#This Row],[Engagement_Rate]])</f>
        <v>0.12596178957568019</v>
      </c>
      <c r="J286" s="15">
        <f ca="1">AVERAGEIF(Table5[Period],"During",Table5[[#This Row],[Engagement_Rate]])</f>
        <v>0.14320716458262928</v>
      </c>
      <c r="K286" s="47">
        <f ca="1">((Table5[[#This Row],[Avg_During]]-Table5[[#This Row],[Avg_Before]])/I286)</f>
        <v>0.1369095744435081</v>
      </c>
    </row>
    <row r="287" spans="1:11" x14ac:dyDescent="0.3">
      <c r="A287" t="s">
        <v>490</v>
      </c>
      <c r="B287">
        <v>3820</v>
      </c>
      <c r="C287">
        <v>697</v>
      </c>
      <c r="D287">
        <v>268</v>
      </c>
      <c r="E287">
        <v>45840</v>
      </c>
      <c r="F287" t="s">
        <v>34</v>
      </c>
      <c r="G287" s="47">
        <f t="shared" si="4"/>
        <v>0.1043848167539267</v>
      </c>
      <c r="H287" t="str">
        <f>IF(AND(A287&gt;=$N$8,A287&lt;=$O$8),"During","Before")</f>
        <v>Before</v>
      </c>
      <c r="I287" s="15">
        <f ca="1">AVERAGEIF(Table5[Period],"Before",Table5[[#This Row],[Engagement_Rate]])</f>
        <v>0.1156620856657026</v>
      </c>
      <c r="J287" s="15">
        <f ca="1">AVERAGEIF(Table5[Period],"During",Table5[[#This Row],[Engagement_Rate]])</f>
        <v>9.1897770527460579E-2</v>
      </c>
      <c r="K287" s="47">
        <f ca="1">((Table5[[#This Row],[Avg_During]]-Table5[[#This Row],[Avg_Before]])/I287)</f>
        <v>-0.20546331152049147</v>
      </c>
    </row>
    <row r="288" spans="1:11" x14ac:dyDescent="0.3">
      <c r="A288" t="s">
        <v>334</v>
      </c>
      <c r="B288">
        <v>4853</v>
      </c>
      <c r="C288">
        <v>837</v>
      </c>
      <c r="D288">
        <v>340</v>
      </c>
      <c r="E288">
        <v>72795</v>
      </c>
      <c r="F288" t="s">
        <v>17</v>
      </c>
      <c r="G288" s="47">
        <f t="shared" si="4"/>
        <v>8.2835359571399134E-2</v>
      </c>
      <c r="H288" t="str">
        <f>IF(AND(A288&gt;=$N$5,A288&lt;=$O$5),"During","Before")</f>
        <v>Before</v>
      </c>
      <c r="I288" s="15">
        <f ca="1">AVERAGEIF(Table5[Period],"Before",Table5[[#This Row],[Engagement_Rate]])</f>
        <v>0.12025930662796491</v>
      </c>
      <c r="J288" s="15">
        <f ca="1">AVERAGEIF(Table5[Period],"During",Table5[[#This Row],[Engagement_Rate]])</f>
        <v>7.3170731707317069E-2</v>
      </c>
      <c r="K288" s="47">
        <f ca="1">((Table5[[#This Row],[Avg_During]]-Table5[[#This Row],[Avg_Before]])/I288)</f>
        <v>-0.39155867633863389</v>
      </c>
    </row>
    <row r="289" spans="1:11" x14ac:dyDescent="0.3">
      <c r="A289" t="s">
        <v>68</v>
      </c>
      <c r="B289">
        <v>1076</v>
      </c>
      <c r="C289">
        <v>313</v>
      </c>
      <c r="D289">
        <v>306</v>
      </c>
      <c r="E289">
        <v>11836</v>
      </c>
      <c r="F289" t="s">
        <v>17</v>
      </c>
      <c r="G289" s="47">
        <f t="shared" si="4"/>
        <v>0.14320716458262928</v>
      </c>
      <c r="H289" t="str">
        <f>IF(AND(A289&gt;=$N$5,A289&lt;=$O$5),"During","Before")</f>
        <v>Before</v>
      </c>
      <c r="I289" s="15">
        <f ca="1">AVERAGEIF(Table5[Period],"Before",Table5[[#This Row],[Engagement_Rate]])</f>
        <v>0.12183677002249567</v>
      </c>
      <c r="J289" s="15">
        <f ca="1">AVERAGEIF(Table5[Period],"During",Table5[[#This Row],[Engagement_Rate]])</f>
        <v>8.4203612479474554E-2</v>
      </c>
      <c r="K289" s="47">
        <f ca="1">((Table5[[#This Row],[Avg_During]]-Table5[[#This Row],[Avg_Before]])/I289)</f>
        <v>-0.30888177301542558</v>
      </c>
    </row>
    <row r="290" spans="1:11" x14ac:dyDescent="0.3">
      <c r="A290" t="s">
        <v>279</v>
      </c>
      <c r="B290">
        <v>1226</v>
      </c>
      <c r="C290">
        <v>119</v>
      </c>
      <c r="D290">
        <v>7</v>
      </c>
      <c r="E290">
        <v>14712</v>
      </c>
      <c r="F290" t="s">
        <v>34</v>
      </c>
      <c r="G290" s="47">
        <f t="shared" si="4"/>
        <v>9.1897770527460579E-2</v>
      </c>
      <c r="H290" t="str">
        <f>IF(AND(A290&gt;=$N$8,A290&lt;=$O$8),"During","Before")</f>
        <v>Before</v>
      </c>
      <c r="I290" s="15">
        <f ca="1">AVERAGEIF(Table5[Period],"Before",Table5[[#This Row],[Engagement_Rate]])</f>
        <v>9.3520874468296045E-2</v>
      </c>
      <c r="J290" s="15">
        <f ca="1">AVERAGEIF(Table5[Period],"During",Table5[[#This Row],[Engagement_Rate]])</f>
        <v>0.32083531086853345</v>
      </c>
      <c r="K290" s="47">
        <f ca="1">((Table5[[#This Row],[Avg_During]]-Table5[[#This Row],[Avg_Before]])/I290)</f>
        <v>2.4306277897059005</v>
      </c>
    </row>
    <row r="291" spans="1:11" x14ac:dyDescent="0.3">
      <c r="A291" t="s">
        <v>76</v>
      </c>
      <c r="B291">
        <v>3813</v>
      </c>
      <c r="C291">
        <v>935</v>
      </c>
      <c r="D291">
        <v>274</v>
      </c>
      <c r="E291">
        <v>68634</v>
      </c>
      <c r="F291" t="s">
        <v>603</v>
      </c>
      <c r="G291" s="47">
        <f t="shared" si="4"/>
        <v>7.3170731707317069E-2</v>
      </c>
      <c r="H291" t="s">
        <v>603</v>
      </c>
      <c r="I291" s="15">
        <f ca="1">AVERAGEIF(Table5[Period],"Before",Table5[[#This Row],[Engagement_Rate]])</f>
        <v>0.1496106680998808</v>
      </c>
      <c r="J291" s="15">
        <f ca="1">AVERAGEIF(Table5[Period],"During",Table5[[#This Row],[Engagement_Rate]])</f>
        <v>0.19156491900087783</v>
      </c>
      <c r="K291" s="47">
        <f ca="1">((Table5[[#This Row],[Avg_During]]-Table5[[#This Row],[Avg_Before]])/I291)</f>
        <v>0.28042285643018561</v>
      </c>
    </row>
    <row r="292" spans="1:11" x14ac:dyDescent="0.3">
      <c r="A292" t="s">
        <v>327</v>
      </c>
      <c r="B292">
        <v>4350</v>
      </c>
      <c r="C292">
        <v>771</v>
      </c>
      <c r="D292">
        <v>7</v>
      </c>
      <c r="E292">
        <v>60900</v>
      </c>
      <c r="F292" t="s">
        <v>17</v>
      </c>
      <c r="G292" s="47">
        <f t="shared" si="4"/>
        <v>8.4203612479474554E-2</v>
      </c>
      <c r="H292" t="str">
        <f>IF(AND(A292&gt;=$N$5,A292&lt;=$O$5),"During","Before")</f>
        <v>Before</v>
      </c>
      <c r="I292" s="15">
        <f ca="1">AVERAGEIF(Table5[Period],"Before",Table5[[#This Row],[Engagement_Rate]])</f>
        <v>0.12931741320167292</v>
      </c>
      <c r="J292" s="15">
        <f ca="1">AVERAGEIF(Table5[Period],"During",Table5[[#This Row],[Engagement_Rate]])</f>
        <v>8.4946236559139784E-2</v>
      </c>
      <c r="K292" s="47">
        <f ca="1">((Table5[[#This Row],[Avg_During]]-Table5[[#This Row],[Avg_Before]])/I292)</f>
        <v>-0.34311834380212552</v>
      </c>
    </row>
    <row r="293" spans="1:11" x14ac:dyDescent="0.3">
      <c r="A293" t="s">
        <v>123</v>
      </c>
      <c r="B293">
        <v>602</v>
      </c>
      <c r="C293">
        <v>594</v>
      </c>
      <c r="D293">
        <v>156</v>
      </c>
      <c r="E293">
        <v>4214</v>
      </c>
      <c r="F293" t="s">
        <v>27</v>
      </c>
      <c r="G293" s="47">
        <f t="shared" si="4"/>
        <v>0.32083531086853345</v>
      </c>
      <c r="H293" t="str">
        <f>IF(AND(A293&gt;=$N$7,A293&lt;=$O$7),"During","Before")</f>
        <v>Before</v>
      </c>
      <c r="I293" s="15">
        <f ca="1">AVERAGEIF(Table5[Period],"Before",Table5[[#This Row],[Engagement_Rate]])</f>
        <v>0.16129019357753355</v>
      </c>
      <c r="J293" s="15">
        <f ca="1">AVERAGEIF(Table5[Period],"During",Table5[[#This Row],[Engagement_Rate]])</f>
        <v>0.19864505202032423</v>
      </c>
      <c r="K293" s="47">
        <f ca="1">((Table5[[#This Row],[Avg_During]]-Table5[[#This Row],[Avg_Before]])/I293)</f>
        <v>0.23160030758369629</v>
      </c>
    </row>
    <row r="294" spans="1:11" x14ac:dyDescent="0.3">
      <c r="A294" t="s">
        <v>142</v>
      </c>
      <c r="B294">
        <v>4177</v>
      </c>
      <c r="C294">
        <v>569</v>
      </c>
      <c r="D294">
        <v>55</v>
      </c>
      <c r="E294">
        <v>25062</v>
      </c>
      <c r="F294" t="s">
        <v>17</v>
      </c>
      <c r="G294" s="47">
        <f t="shared" si="4"/>
        <v>0.19156491900087783</v>
      </c>
      <c r="H294" t="str">
        <f>IF(AND(A294&gt;=$N$5,A294&lt;=$O$5),"During","Before")</f>
        <v>Before</v>
      </c>
      <c r="I294" s="15">
        <f ca="1">AVERAGEIF(Table5[Period],"Before",Table5[[#This Row],[Engagement_Rate]])</f>
        <v>0.13298864275992006</v>
      </c>
      <c r="J294" s="15">
        <f ca="1">AVERAGEIF(Table5[Period],"During",Table5[[#This Row],[Engagement_Rate]])</f>
        <v>6.3947934081681396E-2</v>
      </c>
      <c r="K294" s="47">
        <f ca="1">((Table5[[#This Row],[Avg_During]]-Table5[[#This Row],[Avg_Before]])/I294)</f>
        <v>-0.51914740421011396</v>
      </c>
    </row>
    <row r="295" spans="1:11" x14ac:dyDescent="0.3">
      <c r="A295" t="s">
        <v>15</v>
      </c>
      <c r="B295">
        <v>2728</v>
      </c>
      <c r="C295">
        <v>533</v>
      </c>
      <c r="D295">
        <v>215</v>
      </c>
      <c r="E295">
        <v>40920</v>
      </c>
      <c r="F295" t="s">
        <v>21</v>
      </c>
      <c r="G295" s="47">
        <f t="shared" si="4"/>
        <v>8.4946236559139784E-2</v>
      </c>
      <c r="H295" t="str">
        <f>IF(AND(A295&gt;=$N$6,A295&lt;=$O$6),"During","Before")</f>
        <v>Before</v>
      </c>
      <c r="I295" s="15">
        <f ca="1">AVERAGEIF(Table5[Period],"Before",Table5[[#This Row],[Engagement_Rate]])</f>
        <v>0.10447476040973588</v>
      </c>
      <c r="J295" s="15">
        <f ca="1">AVERAGEIF(Table5[Period],"During",Table5[[#This Row],[Engagement_Rate]])</f>
        <v>0.16118220597196831</v>
      </c>
      <c r="K295" s="47">
        <f ca="1">((Table5[[#This Row],[Avg_During]]-Table5[[#This Row],[Avg_Before]])/I295)</f>
        <v>0.54278607904754683</v>
      </c>
    </row>
    <row r="296" spans="1:11" x14ac:dyDescent="0.3">
      <c r="A296" t="s">
        <v>68</v>
      </c>
      <c r="B296">
        <v>4133</v>
      </c>
      <c r="C296">
        <v>466</v>
      </c>
      <c r="D296">
        <v>327</v>
      </c>
      <c r="E296">
        <v>24798</v>
      </c>
      <c r="F296" t="s">
        <v>34</v>
      </c>
      <c r="G296" s="47">
        <f t="shared" si="4"/>
        <v>0.19864505202032423</v>
      </c>
      <c r="H296" t="str">
        <f>IF(AND(A296&gt;=$N$8,A296&lt;=$O$8),"During","Before")</f>
        <v>Before</v>
      </c>
      <c r="I296" s="15">
        <f ca="1">AVERAGEIF(Table5[Period],"Before",Table5[[#This Row],[Engagement_Rate]])</f>
        <v>0.11841696610567205</v>
      </c>
      <c r="J296" s="15">
        <f ca="1">AVERAGEIF(Table5[Period],"During",Table5[[#This Row],[Engagement_Rate]])</f>
        <v>5.6653298485940883E-2</v>
      </c>
      <c r="K296" s="47">
        <f ca="1">((Table5[[#This Row],[Avg_During]]-Table5[[#This Row],[Avg_Before]])/I296)</f>
        <v>-0.52157785873871287</v>
      </c>
    </row>
    <row r="297" spans="1:11" x14ac:dyDescent="0.3">
      <c r="A297" t="s">
        <v>402</v>
      </c>
      <c r="B297">
        <v>4187</v>
      </c>
      <c r="C297">
        <v>66</v>
      </c>
      <c r="D297">
        <v>31</v>
      </c>
      <c r="E297">
        <v>66992</v>
      </c>
      <c r="F297" t="s">
        <v>603</v>
      </c>
      <c r="G297" s="47">
        <f t="shared" si="4"/>
        <v>6.3947934081681396E-2</v>
      </c>
      <c r="H297" t="s">
        <v>603</v>
      </c>
      <c r="I297" s="15">
        <f ca="1">AVERAGEIF(Table5[Period],"Before",Table5[[#This Row],[Engagement_Rate]])</f>
        <v>0.11352259361472879</v>
      </c>
      <c r="J297" s="15">
        <f ca="1">AVERAGEIF(Table5[Period],"During",Table5[[#This Row],[Engagement_Rate]])</f>
        <v>8.2108498129342594E-2</v>
      </c>
      <c r="K297" s="47">
        <f ca="1">((Table5[[#This Row],[Avg_During]]-Table5[[#This Row],[Avg_Before]])/I297)</f>
        <v>-0.27672108683491553</v>
      </c>
    </row>
    <row r="298" spans="1:11" x14ac:dyDescent="0.3">
      <c r="A298" t="s">
        <v>188</v>
      </c>
      <c r="B298">
        <v>1094</v>
      </c>
      <c r="C298">
        <v>472</v>
      </c>
      <c r="D298">
        <v>21</v>
      </c>
      <c r="E298">
        <v>9846</v>
      </c>
      <c r="F298" t="s">
        <v>603</v>
      </c>
      <c r="G298" s="47">
        <f t="shared" si="4"/>
        <v>0.16118220597196831</v>
      </c>
      <c r="H298" t="s">
        <v>603</v>
      </c>
      <c r="I298" s="15">
        <f ca="1">AVERAGEIF(Table5[Period],"Before",Table5[[#This Row],[Engagement_Rate]])</f>
        <v>9.8808684706065658E-2</v>
      </c>
      <c r="J298" s="15">
        <f ca="1">AVERAGEIF(Table5[Period],"During",Table5[[#This Row],[Engagement_Rate]])</f>
        <v>7.3018902217375503E-2</v>
      </c>
      <c r="K298" s="47">
        <f ca="1">((Table5[[#This Row],[Avg_During]]-Table5[[#This Row],[Avg_Before]])/I298)</f>
        <v>-0.26100724410419135</v>
      </c>
    </row>
    <row r="299" spans="1:11" x14ac:dyDescent="0.3">
      <c r="A299" t="s">
        <v>139</v>
      </c>
      <c r="B299">
        <v>4672</v>
      </c>
      <c r="C299">
        <v>325</v>
      </c>
      <c r="D299">
        <v>32</v>
      </c>
      <c r="E299">
        <v>88768</v>
      </c>
      <c r="F299" t="s">
        <v>603</v>
      </c>
      <c r="G299" s="47">
        <f t="shared" si="4"/>
        <v>5.6653298485940883E-2</v>
      </c>
      <c r="H299" t="s">
        <v>603</v>
      </c>
      <c r="I299" s="15">
        <f ca="1">AVERAGEIF(Table5[Period],"Before",Table5[[#This Row],[Engagement_Rate]])</f>
        <v>0.10122103677713026</v>
      </c>
      <c r="J299" s="15">
        <f ca="1">AVERAGEIF(Table5[Period],"During",Table5[[#This Row],[Engagement_Rate]])</f>
        <v>9.2726081258191345E-2</v>
      </c>
      <c r="K299" s="47">
        <f ca="1">((Table5[[#This Row],[Avg_During]]-Table5[[#This Row],[Avg_Before]])/I299)</f>
        <v>-8.3924802485902381E-2</v>
      </c>
    </row>
    <row r="300" spans="1:11" x14ac:dyDescent="0.3">
      <c r="A300" t="s">
        <v>348</v>
      </c>
      <c r="B300">
        <v>1871</v>
      </c>
      <c r="C300">
        <v>252</v>
      </c>
      <c r="D300">
        <v>335</v>
      </c>
      <c r="E300">
        <v>29936</v>
      </c>
      <c r="F300" t="s">
        <v>27</v>
      </c>
      <c r="G300" s="47">
        <f t="shared" si="4"/>
        <v>8.2108498129342594E-2</v>
      </c>
      <c r="H300" t="str">
        <f>IF(AND(A300&gt;=$N$7,A300&lt;=$O$7),"During","Before")</f>
        <v>Before</v>
      </c>
      <c r="I300" s="15">
        <f ca="1">AVERAGEIF(Table5[Period],"Before",Table5[[#This Row],[Engagement_Rate]])</f>
        <v>8.2617827201636476E-2</v>
      </c>
      <c r="J300" s="15">
        <f ca="1">AVERAGEIF(Table5[Period],"During",Table5[[#This Row],[Engagement_Rate]])</f>
        <v>9.5290736237010829E-2</v>
      </c>
      <c r="K300" s="47">
        <f ca="1">((Table5[[#This Row],[Avg_During]]-Table5[[#This Row],[Avg_Before]])/I300)</f>
        <v>0.153391942933151</v>
      </c>
    </row>
    <row r="301" spans="1:11" x14ac:dyDescent="0.3">
      <c r="A301" t="s">
        <v>303</v>
      </c>
      <c r="B301">
        <v>2751</v>
      </c>
      <c r="C301">
        <v>33</v>
      </c>
      <c r="D301">
        <v>430</v>
      </c>
      <c r="E301">
        <v>44016</v>
      </c>
      <c r="F301" t="s">
        <v>603</v>
      </c>
      <c r="G301" s="47">
        <f t="shared" si="4"/>
        <v>7.3018902217375503E-2</v>
      </c>
      <c r="H301" t="s">
        <v>603</v>
      </c>
      <c r="I301" s="15">
        <f ca="1">AVERAGEIF(Table5[Period],"Before",Table5[[#This Row],[Engagement_Rate]])</f>
        <v>8.7011906570859221E-2</v>
      </c>
      <c r="J301" s="15">
        <f ca="1">AVERAGEIF(Table5[Period],"During",Table5[[#This Row],[Engagement_Rate]])</f>
        <v>0.19310344827586207</v>
      </c>
      <c r="K301" s="47">
        <f ca="1">((Table5[[#This Row],[Avg_During]]-Table5[[#This Row],[Avg_Before]])/I301)</f>
        <v>1.2192761414623858</v>
      </c>
    </row>
    <row r="302" spans="1:11" x14ac:dyDescent="0.3">
      <c r="A302" t="s">
        <v>262</v>
      </c>
      <c r="B302">
        <v>2180</v>
      </c>
      <c r="C302">
        <v>263</v>
      </c>
      <c r="D302">
        <v>387</v>
      </c>
      <c r="E302">
        <v>30520</v>
      </c>
      <c r="F302" t="s">
        <v>603</v>
      </c>
      <c r="G302" s="47">
        <f t="shared" si="4"/>
        <v>9.2726081258191345E-2</v>
      </c>
      <c r="H302" t="s">
        <v>603</v>
      </c>
      <c r="I302" s="15">
        <f ca="1">AVERAGEIF(Table5[Period],"Before",Table5[[#This Row],[Engagement_Rate]])</f>
        <v>0.12704008859035473</v>
      </c>
      <c r="J302" s="15" t="e">
        <f ca="1">AVERAGEIF(Table5[Period],"During",Table5[[#This Row],[Engagement_Rate]])</f>
        <v>#DIV/0!</v>
      </c>
      <c r="K302" s="47" t="e">
        <f ca="1">((Table5[[#This Row],[Avg_During]]-Table5[[#This Row],[Avg_Before]])/I302)</f>
        <v>#DIV/0!</v>
      </c>
    </row>
    <row r="303" spans="1:11" x14ac:dyDescent="0.3">
      <c r="A303" t="s">
        <v>123</v>
      </c>
      <c r="B303">
        <v>4523</v>
      </c>
      <c r="C303">
        <v>61</v>
      </c>
      <c r="D303">
        <v>157</v>
      </c>
      <c r="E303">
        <v>49753</v>
      </c>
      <c r="F303" t="s">
        <v>603</v>
      </c>
      <c r="G303" s="47">
        <f t="shared" si="4"/>
        <v>9.5290736237010829E-2</v>
      </c>
      <c r="H303" t="s">
        <v>603</v>
      </c>
      <c r="I303" s="15">
        <f ca="1">AVERAGEIF(Table5[Period],"Before",Table5[[#This Row],[Engagement_Rate]])</f>
        <v>0.14419709225643645</v>
      </c>
      <c r="J303" s="15" t="e">
        <f ca="1">AVERAGEIF(Table5[Period],"During",Table5[[#This Row],[Engagement_Rate]])</f>
        <v>#DIV/0!</v>
      </c>
      <c r="K303" s="47" t="e">
        <f ca="1">((Table5[[#This Row],[Avg_During]]-Table5[[#This Row],[Avg_Before]])/I303)</f>
        <v>#DIV/0!</v>
      </c>
    </row>
    <row r="304" spans="1:11" x14ac:dyDescent="0.3">
      <c r="A304" t="s">
        <v>485</v>
      </c>
      <c r="B304">
        <v>2610</v>
      </c>
      <c r="C304">
        <v>126</v>
      </c>
      <c r="D304">
        <v>288</v>
      </c>
      <c r="E304">
        <v>15660</v>
      </c>
      <c r="F304" t="s">
        <v>603</v>
      </c>
      <c r="G304" s="47">
        <f t="shared" si="4"/>
        <v>0.19310344827586207</v>
      </c>
      <c r="H304" t="s">
        <v>603</v>
      </c>
      <c r="I304" s="15">
        <f ca="1">AVERAGEIF(Table5[Period],"Before",Table5[[#This Row],[Engagement_Rate]])</f>
        <v>0.19310344827586207</v>
      </c>
      <c r="J304" s="15" t="e">
        <f ca="1">AVERAGEIF(Table5[Period],"During",Table5[[#This Row],[Engagement_Rate]])</f>
        <v>#DIV/0!</v>
      </c>
      <c r="K304" s="47" t="e">
        <f ca="1">((Table5[[#This Row],[Avg_During]]-Table5[[#This Row],[Avg_Before]])/I304)</f>
        <v>#DIV/0!</v>
      </c>
    </row>
    <row r="305" spans="11:11" x14ac:dyDescent="0.3">
      <c r="K305" s="47"/>
    </row>
  </sheetData>
  <pageMargins left="0.7" right="0.7" top="0.75" bottom="0.75" header="0.3" footer="0.3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EB11E-8FBC-4142-BE0C-1D45D2A86C35}">
  <sheetPr>
    <tabColor theme="6" tint="0.39997558519241921"/>
  </sheetPr>
  <dimension ref="A1:X301"/>
  <sheetViews>
    <sheetView topLeftCell="E1" zoomScale="116" workbookViewId="0">
      <selection activeCell="H3" sqref="H3"/>
    </sheetView>
  </sheetViews>
  <sheetFormatPr defaultRowHeight="14.4" x14ac:dyDescent="0.3"/>
  <cols>
    <col min="1" max="1" width="18.88671875" customWidth="1"/>
    <col min="4" max="4" width="12" customWidth="1"/>
    <col min="5" max="5" width="12.88671875" customWidth="1"/>
    <col min="6" max="6" width="13.5546875" customWidth="1"/>
    <col min="7" max="7" width="17.77734375" customWidth="1"/>
    <col min="8" max="8" width="12" bestFit="1" customWidth="1"/>
    <col min="11" max="11" width="24.5546875" customWidth="1"/>
    <col min="12" max="12" width="22" customWidth="1"/>
    <col min="13" max="13" width="8.77734375" customWidth="1"/>
  </cols>
  <sheetData>
    <row r="1" spans="1:24" x14ac:dyDescent="0.3">
      <c r="A1" t="s">
        <v>12</v>
      </c>
      <c r="B1" t="s">
        <v>5</v>
      </c>
      <c r="C1" t="s">
        <v>6</v>
      </c>
      <c r="D1" t="s">
        <v>7</v>
      </c>
      <c r="E1" t="s">
        <v>8</v>
      </c>
      <c r="F1" s="154" t="s">
        <v>684</v>
      </c>
      <c r="G1" s="154" t="s">
        <v>685</v>
      </c>
      <c r="H1" s="46" t="s">
        <v>686</v>
      </c>
    </row>
    <row r="2" spans="1:24" ht="18" x14ac:dyDescent="0.35">
      <c r="A2" t="s">
        <v>27</v>
      </c>
      <c r="B2">
        <v>1644</v>
      </c>
      <c r="C2">
        <v>546</v>
      </c>
      <c r="D2">
        <v>150</v>
      </c>
      <c r="E2">
        <v>27948</v>
      </c>
      <c r="F2" s="154">
        <v>250000</v>
      </c>
      <c r="G2" s="154">
        <f>((B2+C2+D2)/E2)</f>
        <v>8.3726921425504502E-2</v>
      </c>
      <c r="H2" s="154">
        <f>((B2+C2+D2)/F2)</f>
        <v>9.3600000000000003E-3</v>
      </c>
      <c r="K2" s="45" t="s">
        <v>12</v>
      </c>
      <c r="L2" t="s">
        <v>687</v>
      </c>
      <c r="R2" s="174" t="s">
        <v>677</v>
      </c>
      <c r="S2" s="175"/>
      <c r="T2" s="175"/>
    </row>
    <row r="3" spans="1:24" x14ac:dyDescent="0.3">
      <c r="A3" t="s">
        <v>34</v>
      </c>
      <c r="B3">
        <v>4750</v>
      </c>
      <c r="C3">
        <v>151</v>
      </c>
      <c r="D3">
        <v>415</v>
      </c>
      <c r="E3">
        <v>38000</v>
      </c>
      <c r="F3" s="154">
        <v>180000</v>
      </c>
      <c r="G3" s="154">
        <f t="shared" ref="G3:G66" si="0">((B3+C3+D3)/E3)</f>
        <v>0.13989473684210527</v>
      </c>
      <c r="H3" s="154">
        <f t="shared" ref="H3:H8" si="1">((B3+C3+D3)/F3)</f>
        <v>2.9533333333333335E-2</v>
      </c>
      <c r="K3" s="46" t="s">
        <v>34</v>
      </c>
      <c r="L3" s="153">
        <v>1.8817136150234746E-2</v>
      </c>
    </row>
    <row r="4" spans="1:24" x14ac:dyDescent="0.3">
      <c r="A4" t="s">
        <v>34</v>
      </c>
      <c r="B4">
        <v>4619</v>
      </c>
      <c r="C4">
        <v>821</v>
      </c>
      <c r="D4">
        <v>499</v>
      </c>
      <c r="E4">
        <v>69285</v>
      </c>
      <c r="F4" s="154">
        <v>180000</v>
      </c>
      <c r="G4" s="154">
        <f t="shared" si="0"/>
        <v>8.5718409468138843E-2</v>
      </c>
      <c r="H4" s="154">
        <f t="shared" si="1"/>
        <v>3.2994444444444444E-2</v>
      </c>
      <c r="K4" s="46" t="s">
        <v>21</v>
      </c>
      <c r="L4" s="153">
        <v>1.7391293103448273E-2</v>
      </c>
      <c r="R4" s="176" t="s">
        <v>710</v>
      </c>
      <c r="S4" s="65"/>
      <c r="T4" s="65"/>
      <c r="U4" s="65"/>
      <c r="V4" s="65"/>
      <c r="W4" s="65"/>
      <c r="X4" s="65"/>
    </row>
    <row r="5" spans="1:24" x14ac:dyDescent="0.3">
      <c r="A5" t="s">
        <v>27</v>
      </c>
      <c r="B5">
        <v>1957</v>
      </c>
      <c r="C5">
        <v>877</v>
      </c>
      <c r="D5">
        <v>238</v>
      </c>
      <c r="E5">
        <v>17613</v>
      </c>
      <c r="F5" s="154">
        <v>250000</v>
      </c>
      <c r="G5" s="154">
        <f t="shared" si="0"/>
        <v>0.17441662408448305</v>
      </c>
      <c r="H5" s="154">
        <f t="shared" si="1"/>
        <v>1.2288E-2</v>
      </c>
      <c r="K5" s="46" t="s">
        <v>27</v>
      </c>
      <c r="L5" s="153">
        <v>1.3899761194029853E-2</v>
      </c>
      <c r="R5" s="65"/>
      <c r="S5" s="65"/>
      <c r="T5" s="65"/>
      <c r="U5" s="65"/>
      <c r="V5" s="65"/>
      <c r="W5" s="65"/>
      <c r="X5" s="65"/>
    </row>
    <row r="6" spans="1:24" x14ac:dyDescent="0.3">
      <c r="A6" t="s">
        <v>34</v>
      </c>
      <c r="B6">
        <v>3861</v>
      </c>
      <c r="C6">
        <v>960</v>
      </c>
      <c r="D6">
        <v>101</v>
      </c>
      <c r="E6">
        <v>69498</v>
      </c>
      <c r="F6" s="154">
        <v>180000</v>
      </c>
      <c r="G6" s="154">
        <f t="shared" si="0"/>
        <v>7.0822181933293038E-2</v>
      </c>
      <c r="H6" s="154">
        <f t="shared" si="1"/>
        <v>2.7344444444444446E-2</v>
      </c>
      <c r="K6" s="46" t="s">
        <v>17</v>
      </c>
      <c r="L6" s="153">
        <v>2.404936170212766E-2</v>
      </c>
      <c r="R6" s="65"/>
      <c r="S6" s="65"/>
      <c r="T6" s="65"/>
      <c r="U6" s="65"/>
      <c r="V6" s="65"/>
      <c r="W6" s="65"/>
      <c r="X6" s="65"/>
    </row>
    <row r="7" spans="1:24" x14ac:dyDescent="0.3">
      <c r="A7" t="s">
        <v>34</v>
      </c>
      <c r="B7">
        <v>3641</v>
      </c>
      <c r="C7">
        <v>226</v>
      </c>
      <c r="D7">
        <v>46</v>
      </c>
      <c r="E7">
        <v>40051</v>
      </c>
      <c r="F7" s="154">
        <v>180000</v>
      </c>
      <c r="G7" s="154">
        <f t="shared" si="0"/>
        <v>9.7700431949264685E-2</v>
      </c>
      <c r="H7" s="154">
        <f t="shared" si="1"/>
        <v>2.1738888888888887E-2</v>
      </c>
    </row>
    <row r="8" spans="1:24" x14ac:dyDescent="0.3">
      <c r="A8" t="s">
        <v>21</v>
      </c>
      <c r="B8">
        <v>59</v>
      </c>
      <c r="C8">
        <v>163</v>
      </c>
      <c r="D8">
        <v>93</v>
      </c>
      <c r="E8">
        <v>590</v>
      </c>
      <c r="F8" s="154">
        <v>200000</v>
      </c>
      <c r="G8" s="154">
        <f t="shared" si="0"/>
        <v>0.53389830508474578</v>
      </c>
      <c r="H8" s="154">
        <f t="shared" si="1"/>
        <v>1.575E-3</v>
      </c>
      <c r="K8" s="155" t="s">
        <v>688</v>
      </c>
      <c r="L8" s="155"/>
      <c r="M8" s="155"/>
    </row>
    <row r="9" spans="1:24" x14ac:dyDescent="0.3">
      <c r="A9" t="s">
        <v>603</v>
      </c>
      <c r="B9">
        <v>3796</v>
      </c>
      <c r="C9">
        <v>667</v>
      </c>
      <c r="D9">
        <v>395</v>
      </c>
      <c r="E9">
        <v>64532</v>
      </c>
      <c r="F9" s="154" t="s">
        <v>603</v>
      </c>
      <c r="G9" s="154" t="s">
        <v>603</v>
      </c>
      <c r="H9" s="154" t="s">
        <v>603</v>
      </c>
      <c r="K9" s="156" t="s">
        <v>689</v>
      </c>
      <c r="L9" s="155"/>
      <c r="M9" s="155"/>
    </row>
    <row r="10" spans="1:24" x14ac:dyDescent="0.3">
      <c r="A10" t="s">
        <v>34</v>
      </c>
      <c r="B10">
        <v>4295</v>
      </c>
      <c r="C10">
        <v>853</v>
      </c>
      <c r="D10">
        <v>325</v>
      </c>
      <c r="E10">
        <v>85900</v>
      </c>
      <c r="F10" s="154">
        <v>180000</v>
      </c>
      <c r="G10" s="154">
        <f t="shared" si="0"/>
        <v>6.3713620488940623E-2</v>
      </c>
      <c r="H10" s="154">
        <f>((B10+C10+D10)/F10)</f>
        <v>3.0405555555555557E-2</v>
      </c>
      <c r="K10" s="46"/>
    </row>
    <row r="11" spans="1:24" x14ac:dyDescent="0.3">
      <c r="A11" t="s">
        <v>603</v>
      </c>
      <c r="B11">
        <v>1881</v>
      </c>
      <c r="C11">
        <v>501</v>
      </c>
      <c r="D11">
        <v>99</v>
      </c>
      <c r="E11">
        <v>20691</v>
      </c>
      <c r="F11" s="154" t="s">
        <v>603</v>
      </c>
      <c r="G11" s="154">
        <f t="shared" si="0"/>
        <v>0.11990720603160794</v>
      </c>
      <c r="H11" s="154" t="s">
        <v>603</v>
      </c>
    </row>
    <row r="12" spans="1:24" x14ac:dyDescent="0.3">
      <c r="A12" t="s">
        <v>27</v>
      </c>
      <c r="B12">
        <v>1871</v>
      </c>
      <c r="C12">
        <v>252</v>
      </c>
      <c r="D12">
        <v>335</v>
      </c>
      <c r="E12">
        <v>29936</v>
      </c>
      <c r="F12" s="154">
        <v>250000</v>
      </c>
      <c r="G12" s="154">
        <f t="shared" si="0"/>
        <v>8.2108498129342594E-2</v>
      </c>
      <c r="H12" s="154">
        <f t="shared" ref="H12:H66" si="2">((B12+C12+D12)/F12)</f>
        <v>9.8320000000000005E-3</v>
      </c>
    </row>
    <row r="13" spans="1:24" x14ac:dyDescent="0.3">
      <c r="A13" t="s">
        <v>17</v>
      </c>
      <c r="B13">
        <v>257</v>
      </c>
      <c r="C13">
        <v>966</v>
      </c>
      <c r="D13">
        <v>398</v>
      </c>
      <c r="E13">
        <v>3341</v>
      </c>
      <c r="F13" s="154">
        <v>150000</v>
      </c>
      <c r="G13" s="154">
        <f t="shared" si="0"/>
        <v>0.48518407662376534</v>
      </c>
      <c r="H13" s="154">
        <f t="shared" si="2"/>
        <v>1.0806666666666666E-2</v>
      </c>
    </row>
    <row r="14" spans="1:24" x14ac:dyDescent="0.3">
      <c r="A14" t="s">
        <v>17</v>
      </c>
      <c r="B14">
        <v>3773</v>
      </c>
      <c r="C14">
        <v>299</v>
      </c>
      <c r="D14">
        <v>38</v>
      </c>
      <c r="E14">
        <v>71687</v>
      </c>
      <c r="F14" s="154">
        <v>150000</v>
      </c>
      <c r="G14" s="154">
        <f t="shared" si="0"/>
        <v>5.7332570758993957E-2</v>
      </c>
      <c r="H14" s="154">
        <f t="shared" si="2"/>
        <v>2.7400000000000001E-2</v>
      </c>
    </row>
    <row r="15" spans="1:24" x14ac:dyDescent="0.3">
      <c r="A15" t="s">
        <v>27</v>
      </c>
      <c r="B15">
        <v>1816</v>
      </c>
      <c r="C15">
        <v>29</v>
      </c>
      <c r="D15">
        <v>41</v>
      </c>
      <c r="E15">
        <v>19976</v>
      </c>
      <c r="F15" s="154">
        <v>250000</v>
      </c>
      <c r="G15" s="154">
        <f t="shared" si="0"/>
        <v>9.4413295955146179E-2</v>
      </c>
      <c r="H15" s="154">
        <f t="shared" si="2"/>
        <v>7.5440000000000004E-3</v>
      </c>
    </row>
    <row r="16" spans="1:24" x14ac:dyDescent="0.3">
      <c r="A16" t="s">
        <v>21</v>
      </c>
      <c r="B16">
        <v>521</v>
      </c>
      <c r="C16">
        <v>746</v>
      </c>
      <c r="D16">
        <v>315</v>
      </c>
      <c r="E16">
        <v>4168</v>
      </c>
      <c r="F16" s="154">
        <v>200000</v>
      </c>
      <c r="G16" s="154">
        <f t="shared" si="0"/>
        <v>0.37955854126679461</v>
      </c>
      <c r="H16" s="154">
        <f t="shared" si="2"/>
        <v>7.9100000000000004E-3</v>
      </c>
    </row>
    <row r="17" spans="1:8" x14ac:dyDescent="0.3">
      <c r="A17" t="s">
        <v>21</v>
      </c>
      <c r="B17">
        <v>438</v>
      </c>
      <c r="C17">
        <v>153</v>
      </c>
      <c r="D17">
        <v>275</v>
      </c>
      <c r="E17">
        <v>3066</v>
      </c>
      <c r="F17" s="154">
        <v>200000</v>
      </c>
      <c r="G17" s="154">
        <f t="shared" si="0"/>
        <v>0.28245270711024134</v>
      </c>
      <c r="H17" s="154">
        <f t="shared" si="2"/>
        <v>4.3299999999999996E-3</v>
      </c>
    </row>
    <row r="18" spans="1:8" x14ac:dyDescent="0.3">
      <c r="A18" t="s">
        <v>34</v>
      </c>
      <c r="B18">
        <v>914</v>
      </c>
      <c r="C18">
        <v>464</v>
      </c>
      <c r="D18">
        <v>246</v>
      </c>
      <c r="E18">
        <v>11882</v>
      </c>
      <c r="F18" s="154">
        <v>180000</v>
      </c>
      <c r="G18" s="154">
        <f t="shared" si="0"/>
        <v>0.13667732704931829</v>
      </c>
      <c r="H18" s="154">
        <f t="shared" si="2"/>
        <v>9.0222222222222214E-3</v>
      </c>
    </row>
    <row r="19" spans="1:8" x14ac:dyDescent="0.3">
      <c r="A19" t="s">
        <v>34</v>
      </c>
      <c r="B19">
        <v>4516</v>
      </c>
      <c r="C19">
        <v>836</v>
      </c>
      <c r="D19">
        <v>169</v>
      </c>
      <c r="E19">
        <v>49676</v>
      </c>
      <c r="F19" s="154">
        <v>180000</v>
      </c>
      <c r="G19" s="154">
        <f t="shared" si="0"/>
        <v>0.11114018842096787</v>
      </c>
      <c r="H19" s="154">
        <f t="shared" si="2"/>
        <v>3.0672222222222222E-2</v>
      </c>
    </row>
    <row r="20" spans="1:8" x14ac:dyDescent="0.3">
      <c r="A20" t="s">
        <v>21</v>
      </c>
      <c r="B20">
        <v>4905</v>
      </c>
      <c r="C20">
        <v>845</v>
      </c>
      <c r="D20">
        <v>129</v>
      </c>
      <c r="E20">
        <v>98100</v>
      </c>
      <c r="F20" s="154">
        <v>200000</v>
      </c>
      <c r="G20" s="154">
        <f t="shared" si="0"/>
        <v>5.9928644240570844E-2</v>
      </c>
      <c r="H20" s="154">
        <f t="shared" si="2"/>
        <v>2.9395000000000001E-2</v>
      </c>
    </row>
    <row r="21" spans="1:8" x14ac:dyDescent="0.3">
      <c r="A21" t="s">
        <v>603</v>
      </c>
      <c r="B21">
        <v>3008</v>
      </c>
      <c r="C21">
        <v>94</v>
      </c>
      <c r="D21">
        <v>37</v>
      </c>
      <c r="E21">
        <v>15040</v>
      </c>
      <c r="F21" s="154" t="s">
        <v>603</v>
      </c>
      <c r="G21" s="154" t="s">
        <v>603</v>
      </c>
      <c r="H21" s="154" t="s">
        <v>603</v>
      </c>
    </row>
    <row r="22" spans="1:8" x14ac:dyDescent="0.3">
      <c r="A22" t="s">
        <v>17</v>
      </c>
      <c r="B22">
        <v>2634</v>
      </c>
      <c r="C22">
        <v>726</v>
      </c>
      <c r="D22">
        <v>241</v>
      </c>
      <c r="E22">
        <v>28974</v>
      </c>
      <c r="F22" s="154">
        <v>150000</v>
      </c>
      <c r="G22" s="154">
        <f t="shared" si="0"/>
        <v>0.12428384068475185</v>
      </c>
      <c r="H22" s="154">
        <f t="shared" si="2"/>
        <v>2.4006666666666666E-2</v>
      </c>
    </row>
    <row r="23" spans="1:8" x14ac:dyDescent="0.3">
      <c r="A23" t="s">
        <v>21</v>
      </c>
      <c r="B23">
        <v>2509</v>
      </c>
      <c r="C23">
        <v>324</v>
      </c>
      <c r="D23">
        <v>171</v>
      </c>
      <c r="E23">
        <v>35126</v>
      </c>
      <c r="F23" s="154">
        <v>200000</v>
      </c>
      <c r="G23" s="154">
        <f t="shared" si="0"/>
        <v>8.5520696919660646E-2</v>
      </c>
      <c r="H23" s="154">
        <f t="shared" si="2"/>
        <v>1.502E-2</v>
      </c>
    </row>
    <row r="24" spans="1:8" x14ac:dyDescent="0.3">
      <c r="A24" t="s">
        <v>17</v>
      </c>
      <c r="B24">
        <v>2278</v>
      </c>
      <c r="C24">
        <v>10</v>
      </c>
      <c r="D24">
        <v>321</v>
      </c>
      <c r="E24">
        <v>13668</v>
      </c>
      <c r="F24" s="154">
        <v>150000</v>
      </c>
      <c r="G24" s="154">
        <f t="shared" si="0"/>
        <v>0.19088381621305239</v>
      </c>
      <c r="H24" s="154">
        <f t="shared" si="2"/>
        <v>1.7393333333333334E-2</v>
      </c>
    </row>
    <row r="25" spans="1:8" x14ac:dyDescent="0.3">
      <c r="A25" t="s">
        <v>34</v>
      </c>
      <c r="B25">
        <v>1869</v>
      </c>
      <c r="C25">
        <v>453</v>
      </c>
      <c r="D25">
        <v>490</v>
      </c>
      <c r="E25">
        <v>14952</v>
      </c>
      <c r="F25" s="154">
        <v>180000</v>
      </c>
      <c r="G25" s="154">
        <f t="shared" si="0"/>
        <v>0.18806848582129482</v>
      </c>
      <c r="H25" s="154">
        <f t="shared" si="2"/>
        <v>1.5622222222222221E-2</v>
      </c>
    </row>
    <row r="26" spans="1:8" x14ac:dyDescent="0.3">
      <c r="A26" t="s">
        <v>603</v>
      </c>
      <c r="B26">
        <v>1176</v>
      </c>
      <c r="C26">
        <v>464</v>
      </c>
      <c r="D26">
        <v>394</v>
      </c>
      <c r="E26">
        <v>14112</v>
      </c>
      <c r="F26" s="154" t="s">
        <v>603</v>
      </c>
      <c r="G26" s="154">
        <f t="shared" si="0"/>
        <v>0.1441326530612245</v>
      </c>
      <c r="H26" s="154" t="s">
        <v>603</v>
      </c>
    </row>
    <row r="27" spans="1:8" x14ac:dyDescent="0.3">
      <c r="A27" t="s">
        <v>34</v>
      </c>
      <c r="B27">
        <v>4213</v>
      </c>
      <c r="C27">
        <v>253</v>
      </c>
      <c r="D27">
        <v>434</v>
      </c>
      <c r="E27">
        <v>75834</v>
      </c>
      <c r="F27" s="154">
        <v>180000</v>
      </c>
      <c r="G27" s="154">
        <f t="shared" si="0"/>
        <v>6.461481657304112E-2</v>
      </c>
      <c r="H27" s="154">
        <f t="shared" si="2"/>
        <v>2.7222222222222221E-2</v>
      </c>
    </row>
    <row r="28" spans="1:8" x14ac:dyDescent="0.3">
      <c r="A28" t="s">
        <v>21</v>
      </c>
      <c r="B28">
        <v>3775</v>
      </c>
      <c r="C28">
        <v>16</v>
      </c>
      <c r="D28">
        <v>239</v>
      </c>
      <c r="E28">
        <v>33975</v>
      </c>
      <c r="F28" s="154">
        <v>200000</v>
      </c>
      <c r="G28" s="154">
        <f t="shared" si="0"/>
        <v>0.11861662987490802</v>
      </c>
      <c r="H28" s="154">
        <f t="shared" si="2"/>
        <v>2.0150000000000001E-2</v>
      </c>
    </row>
    <row r="29" spans="1:8" x14ac:dyDescent="0.3">
      <c r="A29" t="s">
        <v>34</v>
      </c>
      <c r="B29">
        <v>1188</v>
      </c>
      <c r="C29">
        <v>470</v>
      </c>
      <c r="D29">
        <v>174</v>
      </c>
      <c r="E29">
        <v>7128</v>
      </c>
      <c r="F29" s="154">
        <v>180000</v>
      </c>
      <c r="G29" s="154">
        <f t="shared" si="0"/>
        <v>0.25701459034792368</v>
      </c>
      <c r="H29" s="154">
        <f t="shared" si="2"/>
        <v>1.0177777777777779E-2</v>
      </c>
    </row>
    <row r="30" spans="1:8" x14ac:dyDescent="0.3">
      <c r="A30" t="s">
        <v>21</v>
      </c>
      <c r="B30">
        <v>3523</v>
      </c>
      <c r="C30">
        <v>753</v>
      </c>
      <c r="D30">
        <v>482</v>
      </c>
      <c r="E30">
        <v>38753</v>
      </c>
      <c r="F30" s="154">
        <v>200000</v>
      </c>
      <c r="G30" s="154">
        <f t="shared" si="0"/>
        <v>0.12277759141227776</v>
      </c>
      <c r="H30" s="154">
        <f t="shared" si="2"/>
        <v>2.3789999999999999E-2</v>
      </c>
    </row>
    <row r="31" spans="1:8" x14ac:dyDescent="0.3">
      <c r="A31" t="s">
        <v>17</v>
      </c>
      <c r="B31">
        <v>4579</v>
      </c>
      <c r="C31">
        <v>125</v>
      </c>
      <c r="D31">
        <v>300</v>
      </c>
      <c r="E31">
        <v>59527</v>
      </c>
      <c r="F31" s="154">
        <v>150000</v>
      </c>
      <c r="G31" s="154">
        <f t="shared" si="0"/>
        <v>8.4062694239588759E-2</v>
      </c>
      <c r="H31" s="154">
        <f t="shared" si="2"/>
        <v>3.3360000000000001E-2</v>
      </c>
    </row>
    <row r="32" spans="1:8" x14ac:dyDescent="0.3">
      <c r="A32" t="s">
        <v>21</v>
      </c>
      <c r="B32">
        <v>3068</v>
      </c>
      <c r="C32">
        <v>137</v>
      </c>
      <c r="D32">
        <v>329</v>
      </c>
      <c r="E32">
        <v>39884</v>
      </c>
      <c r="F32" s="154">
        <v>200000</v>
      </c>
      <c r="G32" s="154">
        <f t="shared" si="0"/>
        <v>8.860696018453515E-2</v>
      </c>
      <c r="H32" s="154">
        <f t="shared" si="2"/>
        <v>1.7670000000000002E-2</v>
      </c>
    </row>
    <row r="33" spans="1:8" x14ac:dyDescent="0.3">
      <c r="A33" t="s">
        <v>17</v>
      </c>
      <c r="B33">
        <v>3798</v>
      </c>
      <c r="C33">
        <v>31</v>
      </c>
      <c r="D33">
        <v>279</v>
      </c>
      <c r="E33">
        <v>75960</v>
      </c>
      <c r="F33" s="154">
        <v>150000</v>
      </c>
      <c r="G33" s="154">
        <f t="shared" si="0"/>
        <v>5.4081095313322801E-2</v>
      </c>
      <c r="H33" s="154">
        <f t="shared" si="2"/>
        <v>2.7386666666666667E-2</v>
      </c>
    </row>
    <row r="34" spans="1:8" x14ac:dyDescent="0.3">
      <c r="A34" t="s">
        <v>603</v>
      </c>
      <c r="B34">
        <v>4242</v>
      </c>
      <c r="C34">
        <v>555</v>
      </c>
      <c r="D34">
        <v>131</v>
      </c>
      <c r="E34">
        <v>33936</v>
      </c>
      <c r="F34" s="154" t="s">
        <v>603</v>
      </c>
      <c r="G34" s="154">
        <f t="shared" si="0"/>
        <v>0.14521452145214522</v>
      </c>
      <c r="H34" s="154" t="s">
        <v>603</v>
      </c>
    </row>
    <row r="35" spans="1:8" x14ac:dyDescent="0.3">
      <c r="A35" t="s">
        <v>27</v>
      </c>
      <c r="B35">
        <v>4292</v>
      </c>
      <c r="C35">
        <v>51</v>
      </c>
      <c r="D35">
        <v>392</v>
      </c>
      <c r="E35">
        <v>55796</v>
      </c>
      <c r="F35" s="154">
        <v>250000</v>
      </c>
      <c r="G35" s="154">
        <f t="shared" si="0"/>
        <v>8.4862714173059003E-2</v>
      </c>
      <c r="H35" s="154">
        <f t="shared" si="2"/>
        <v>1.8939999999999999E-2</v>
      </c>
    </row>
    <row r="36" spans="1:8" x14ac:dyDescent="0.3">
      <c r="A36" t="s">
        <v>21</v>
      </c>
      <c r="B36">
        <v>3432</v>
      </c>
      <c r="C36">
        <v>869</v>
      </c>
      <c r="D36">
        <v>123</v>
      </c>
      <c r="E36">
        <v>54912</v>
      </c>
      <c r="F36" s="154">
        <v>200000</v>
      </c>
      <c r="G36" s="154">
        <f t="shared" si="0"/>
        <v>8.0565268065268064E-2</v>
      </c>
      <c r="H36" s="154">
        <f t="shared" si="2"/>
        <v>2.2120000000000001E-2</v>
      </c>
    </row>
    <row r="37" spans="1:8" x14ac:dyDescent="0.3">
      <c r="A37" t="s">
        <v>34</v>
      </c>
      <c r="B37">
        <v>103</v>
      </c>
      <c r="C37">
        <v>770</v>
      </c>
      <c r="D37">
        <v>19</v>
      </c>
      <c r="E37">
        <v>1030</v>
      </c>
      <c r="F37" s="154">
        <v>180000</v>
      </c>
      <c r="G37" s="154">
        <f t="shared" si="0"/>
        <v>0.86601941747572819</v>
      </c>
      <c r="H37" s="154">
        <f t="shared" si="2"/>
        <v>4.9555555555555559E-3</v>
      </c>
    </row>
    <row r="38" spans="1:8" x14ac:dyDescent="0.3">
      <c r="A38" t="s">
        <v>27</v>
      </c>
      <c r="B38">
        <v>4780</v>
      </c>
      <c r="C38">
        <v>691</v>
      </c>
      <c r="D38">
        <v>380</v>
      </c>
      <c r="E38">
        <v>86040</v>
      </c>
      <c r="F38" s="154">
        <v>250000</v>
      </c>
      <c r="G38" s="154">
        <f t="shared" si="0"/>
        <v>6.800325430032543E-2</v>
      </c>
      <c r="H38" s="154">
        <f t="shared" si="2"/>
        <v>2.3404000000000001E-2</v>
      </c>
    </row>
    <row r="39" spans="1:8" x14ac:dyDescent="0.3">
      <c r="A39" t="s">
        <v>21</v>
      </c>
      <c r="B39">
        <v>2945</v>
      </c>
      <c r="C39">
        <v>930</v>
      </c>
      <c r="D39">
        <v>355</v>
      </c>
      <c r="E39">
        <v>23560</v>
      </c>
      <c r="F39" s="154">
        <v>200000</v>
      </c>
      <c r="G39" s="154">
        <f t="shared" si="0"/>
        <v>0.17954159592529711</v>
      </c>
      <c r="H39" s="154">
        <f t="shared" si="2"/>
        <v>2.1149999999999999E-2</v>
      </c>
    </row>
    <row r="40" spans="1:8" x14ac:dyDescent="0.3">
      <c r="A40" t="s">
        <v>34</v>
      </c>
      <c r="B40">
        <v>1674</v>
      </c>
      <c r="C40">
        <v>929</v>
      </c>
      <c r="D40">
        <v>37</v>
      </c>
      <c r="E40">
        <v>21762</v>
      </c>
      <c r="F40" s="154">
        <v>180000</v>
      </c>
      <c r="G40" s="154">
        <f t="shared" si="0"/>
        <v>0.12131237937689551</v>
      </c>
      <c r="H40" s="154">
        <f t="shared" si="2"/>
        <v>1.4666666666666666E-2</v>
      </c>
    </row>
    <row r="41" spans="1:8" x14ac:dyDescent="0.3">
      <c r="A41" t="s">
        <v>34</v>
      </c>
      <c r="B41">
        <v>1841</v>
      </c>
      <c r="C41">
        <v>851</v>
      </c>
      <c r="D41">
        <v>342</v>
      </c>
      <c r="E41">
        <v>34979</v>
      </c>
      <c r="F41" s="154">
        <v>180000</v>
      </c>
      <c r="G41" s="154">
        <f t="shared" si="0"/>
        <v>8.6737756939878216E-2</v>
      </c>
      <c r="H41" s="154">
        <f t="shared" si="2"/>
        <v>1.6855555555555554E-2</v>
      </c>
    </row>
    <row r="42" spans="1:8" x14ac:dyDescent="0.3">
      <c r="A42" t="s">
        <v>21</v>
      </c>
      <c r="B42">
        <v>827</v>
      </c>
      <c r="C42">
        <v>77</v>
      </c>
      <c r="D42">
        <v>402</v>
      </c>
      <c r="E42">
        <v>14886</v>
      </c>
      <c r="F42" s="154">
        <v>200000</v>
      </c>
      <c r="G42" s="154">
        <f t="shared" si="0"/>
        <v>8.7733440816874911E-2</v>
      </c>
      <c r="H42" s="154">
        <f t="shared" si="2"/>
        <v>6.5300000000000002E-3</v>
      </c>
    </row>
    <row r="43" spans="1:8" x14ac:dyDescent="0.3">
      <c r="A43" t="s">
        <v>603</v>
      </c>
      <c r="B43">
        <v>3338</v>
      </c>
      <c r="C43">
        <v>277</v>
      </c>
      <c r="D43">
        <v>118</v>
      </c>
      <c r="E43">
        <v>60084</v>
      </c>
      <c r="F43" s="154" t="s">
        <v>603</v>
      </c>
      <c r="G43" s="154">
        <f t="shared" si="0"/>
        <v>6.2129685107516146E-2</v>
      </c>
      <c r="H43" s="154" t="s">
        <v>603</v>
      </c>
    </row>
    <row r="44" spans="1:8" x14ac:dyDescent="0.3">
      <c r="A44" t="s">
        <v>17</v>
      </c>
      <c r="B44">
        <v>3215</v>
      </c>
      <c r="C44">
        <v>960</v>
      </c>
      <c r="D44">
        <v>202</v>
      </c>
      <c r="E44">
        <v>32150</v>
      </c>
      <c r="F44" s="154">
        <v>150000</v>
      </c>
      <c r="G44" s="154">
        <f t="shared" si="0"/>
        <v>0.13614307931570763</v>
      </c>
      <c r="H44" s="154">
        <f t="shared" si="2"/>
        <v>2.9180000000000001E-2</v>
      </c>
    </row>
    <row r="45" spans="1:8" x14ac:dyDescent="0.3">
      <c r="A45" t="s">
        <v>17</v>
      </c>
      <c r="B45">
        <v>1430</v>
      </c>
      <c r="C45">
        <v>376</v>
      </c>
      <c r="D45">
        <v>33</v>
      </c>
      <c r="E45">
        <v>21450</v>
      </c>
      <c r="F45" s="154">
        <v>150000</v>
      </c>
      <c r="G45" s="154">
        <f t="shared" si="0"/>
        <v>8.5734265734265735E-2</v>
      </c>
      <c r="H45" s="154">
        <f t="shared" si="2"/>
        <v>1.226E-2</v>
      </c>
    </row>
    <row r="46" spans="1:8" x14ac:dyDescent="0.3">
      <c r="A46" t="s">
        <v>603</v>
      </c>
      <c r="B46">
        <v>3813</v>
      </c>
      <c r="C46">
        <v>935</v>
      </c>
      <c r="D46">
        <v>274</v>
      </c>
      <c r="E46">
        <v>68634</v>
      </c>
      <c r="F46" s="154" t="s">
        <v>603</v>
      </c>
      <c r="G46" s="154">
        <f t="shared" si="0"/>
        <v>7.3170731707317069E-2</v>
      </c>
      <c r="H46" s="154" t="s">
        <v>603</v>
      </c>
    </row>
    <row r="47" spans="1:8" x14ac:dyDescent="0.3">
      <c r="A47" t="s">
        <v>34</v>
      </c>
      <c r="B47">
        <v>2382</v>
      </c>
      <c r="C47">
        <v>265</v>
      </c>
      <c r="D47">
        <v>134</v>
      </c>
      <c r="E47">
        <v>38112</v>
      </c>
      <c r="F47" s="154">
        <v>180000</v>
      </c>
      <c r="G47" s="154">
        <f t="shared" si="0"/>
        <v>7.2969143576826198E-2</v>
      </c>
      <c r="H47" s="154">
        <f t="shared" si="2"/>
        <v>1.545E-2</v>
      </c>
    </row>
    <row r="48" spans="1:8" x14ac:dyDescent="0.3">
      <c r="A48" t="s">
        <v>34</v>
      </c>
      <c r="B48">
        <v>2696</v>
      </c>
      <c r="C48">
        <v>628</v>
      </c>
      <c r="D48">
        <v>443</v>
      </c>
      <c r="E48">
        <v>45832</v>
      </c>
      <c r="F48" s="154">
        <v>180000</v>
      </c>
      <c r="G48" s="154">
        <f t="shared" si="0"/>
        <v>8.21914819340199E-2</v>
      </c>
      <c r="H48" s="154">
        <f t="shared" si="2"/>
        <v>2.0927777777777778E-2</v>
      </c>
    </row>
    <row r="49" spans="1:8" x14ac:dyDescent="0.3">
      <c r="A49" t="s">
        <v>21</v>
      </c>
      <c r="B49">
        <v>2143</v>
      </c>
      <c r="C49">
        <v>12</v>
      </c>
      <c r="D49">
        <v>204</v>
      </c>
      <c r="E49">
        <v>40717</v>
      </c>
      <c r="F49" s="154">
        <v>200000</v>
      </c>
      <c r="G49" s="154">
        <f t="shared" si="0"/>
        <v>5.7936488444630008E-2</v>
      </c>
      <c r="H49" s="154">
        <f t="shared" si="2"/>
        <v>1.1795E-2</v>
      </c>
    </row>
    <row r="50" spans="1:8" x14ac:dyDescent="0.3">
      <c r="A50" t="s">
        <v>27</v>
      </c>
      <c r="B50">
        <v>3073</v>
      </c>
      <c r="C50">
        <v>553</v>
      </c>
      <c r="D50">
        <v>174</v>
      </c>
      <c r="E50">
        <v>52241</v>
      </c>
      <c r="F50" s="154">
        <v>250000</v>
      </c>
      <c r="G50" s="154">
        <f t="shared" si="0"/>
        <v>7.2739802071170159E-2</v>
      </c>
      <c r="H50" s="154">
        <f t="shared" si="2"/>
        <v>1.52E-2</v>
      </c>
    </row>
    <row r="51" spans="1:8" x14ac:dyDescent="0.3">
      <c r="A51" t="s">
        <v>34</v>
      </c>
      <c r="B51">
        <v>4671</v>
      </c>
      <c r="C51">
        <v>876</v>
      </c>
      <c r="D51">
        <v>366</v>
      </c>
      <c r="E51">
        <v>51381</v>
      </c>
      <c r="F51" s="154">
        <v>180000</v>
      </c>
      <c r="G51" s="154">
        <f t="shared" si="0"/>
        <v>0.11508145034156594</v>
      </c>
      <c r="H51" s="154">
        <f t="shared" si="2"/>
        <v>3.2849999999999997E-2</v>
      </c>
    </row>
    <row r="52" spans="1:8" x14ac:dyDescent="0.3">
      <c r="A52" t="s">
        <v>34</v>
      </c>
      <c r="B52">
        <v>3428</v>
      </c>
      <c r="C52">
        <v>305</v>
      </c>
      <c r="D52">
        <v>85</v>
      </c>
      <c r="E52">
        <v>58276</v>
      </c>
      <c r="F52" s="154">
        <v>180000</v>
      </c>
      <c r="G52" s="154">
        <f t="shared" si="0"/>
        <v>6.5515821264328367E-2</v>
      </c>
      <c r="H52" s="154">
        <f t="shared" si="2"/>
        <v>2.1211111111111111E-2</v>
      </c>
    </row>
    <row r="53" spans="1:8" x14ac:dyDescent="0.3">
      <c r="A53" t="s">
        <v>34</v>
      </c>
      <c r="B53">
        <v>2493</v>
      </c>
      <c r="C53">
        <v>97</v>
      </c>
      <c r="D53">
        <v>44</v>
      </c>
      <c r="E53">
        <v>42381</v>
      </c>
      <c r="F53" s="154">
        <v>180000</v>
      </c>
      <c r="G53" s="154">
        <f t="shared" si="0"/>
        <v>6.2150491965739366E-2</v>
      </c>
      <c r="H53" s="154">
        <f t="shared" si="2"/>
        <v>1.4633333333333333E-2</v>
      </c>
    </row>
    <row r="54" spans="1:8" x14ac:dyDescent="0.3">
      <c r="A54" t="s">
        <v>603</v>
      </c>
      <c r="B54">
        <v>1543</v>
      </c>
      <c r="C54">
        <v>820</v>
      </c>
      <c r="D54">
        <v>333</v>
      </c>
      <c r="E54">
        <v>12344</v>
      </c>
      <c r="F54" s="154" t="s">
        <v>603</v>
      </c>
      <c r="G54" s="154">
        <f t="shared" si="0"/>
        <v>0.21840570317563188</v>
      </c>
      <c r="H54" s="154" t="s">
        <v>603</v>
      </c>
    </row>
    <row r="55" spans="1:8" x14ac:dyDescent="0.3">
      <c r="A55" t="s">
        <v>27</v>
      </c>
      <c r="B55">
        <v>3196</v>
      </c>
      <c r="C55">
        <v>941</v>
      </c>
      <c r="D55">
        <v>376</v>
      </c>
      <c r="E55">
        <v>35156</v>
      </c>
      <c r="F55" s="154">
        <v>250000</v>
      </c>
      <c r="G55" s="154">
        <f t="shared" si="0"/>
        <v>0.1283706906360223</v>
      </c>
      <c r="H55" s="154">
        <f t="shared" si="2"/>
        <v>1.8051999999999999E-2</v>
      </c>
    </row>
    <row r="56" spans="1:8" x14ac:dyDescent="0.3">
      <c r="A56" t="s">
        <v>27</v>
      </c>
      <c r="B56">
        <v>3774</v>
      </c>
      <c r="C56">
        <v>239</v>
      </c>
      <c r="D56">
        <v>39</v>
      </c>
      <c r="E56">
        <v>60384</v>
      </c>
      <c r="F56" s="154">
        <v>250000</v>
      </c>
      <c r="G56" s="154">
        <f t="shared" si="0"/>
        <v>6.7103868574456813E-2</v>
      </c>
      <c r="H56" s="154">
        <f t="shared" si="2"/>
        <v>1.6208E-2</v>
      </c>
    </row>
    <row r="57" spans="1:8" x14ac:dyDescent="0.3">
      <c r="A57" t="s">
        <v>603</v>
      </c>
      <c r="B57">
        <v>3170</v>
      </c>
      <c r="C57">
        <v>857</v>
      </c>
      <c r="D57">
        <v>379</v>
      </c>
      <c r="E57">
        <v>19020</v>
      </c>
      <c r="F57" s="154" t="s">
        <v>603</v>
      </c>
      <c r="G57" s="154">
        <f t="shared" si="0"/>
        <v>0.2316508937960042</v>
      </c>
      <c r="H57" s="154" t="s">
        <v>603</v>
      </c>
    </row>
    <row r="58" spans="1:8" x14ac:dyDescent="0.3">
      <c r="A58" t="s">
        <v>21</v>
      </c>
      <c r="B58">
        <v>3352</v>
      </c>
      <c r="C58">
        <v>941</v>
      </c>
      <c r="D58">
        <v>482</v>
      </c>
      <c r="E58">
        <v>43576</v>
      </c>
      <c r="F58" s="154">
        <v>200000</v>
      </c>
      <c r="G58" s="154">
        <f t="shared" si="0"/>
        <v>0.1095786671562328</v>
      </c>
      <c r="H58" s="154">
        <f t="shared" si="2"/>
        <v>2.3875E-2</v>
      </c>
    </row>
    <row r="59" spans="1:8" x14ac:dyDescent="0.3">
      <c r="A59" t="s">
        <v>27</v>
      </c>
      <c r="B59">
        <v>606</v>
      </c>
      <c r="C59">
        <v>789</v>
      </c>
      <c r="D59">
        <v>470</v>
      </c>
      <c r="E59">
        <v>7878</v>
      </c>
      <c r="F59" s="154">
        <v>250000</v>
      </c>
      <c r="G59" s="154">
        <f t="shared" si="0"/>
        <v>0.23673521198273673</v>
      </c>
      <c r="H59" s="154">
        <f t="shared" si="2"/>
        <v>7.4599999999999996E-3</v>
      </c>
    </row>
    <row r="60" spans="1:8" x14ac:dyDescent="0.3">
      <c r="A60" t="s">
        <v>34</v>
      </c>
      <c r="B60">
        <v>129</v>
      </c>
      <c r="C60">
        <v>643</v>
      </c>
      <c r="D60">
        <v>136</v>
      </c>
      <c r="E60">
        <v>1290</v>
      </c>
      <c r="F60" s="154">
        <v>180000</v>
      </c>
      <c r="G60" s="154">
        <f t="shared" si="0"/>
        <v>0.70387596899224802</v>
      </c>
      <c r="H60" s="154">
        <f t="shared" si="2"/>
        <v>5.0444444444444443E-3</v>
      </c>
    </row>
    <row r="61" spans="1:8" x14ac:dyDescent="0.3">
      <c r="A61" t="s">
        <v>17</v>
      </c>
      <c r="B61">
        <v>4236</v>
      </c>
      <c r="C61">
        <v>711</v>
      </c>
      <c r="D61">
        <v>298</v>
      </c>
      <c r="E61">
        <v>21180</v>
      </c>
      <c r="F61" s="154">
        <v>150000</v>
      </c>
      <c r="G61" s="154">
        <f t="shared" si="0"/>
        <v>0.24763928234183191</v>
      </c>
      <c r="H61" s="154">
        <f t="shared" si="2"/>
        <v>3.4966666666666667E-2</v>
      </c>
    </row>
    <row r="62" spans="1:8" x14ac:dyDescent="0.3">
      <c r="A62" t="s">
        <v>603</v>
      </c>
      <c r="B62">
        <v>880</v>
      </c>
      <c r="C62">
        <v>297</v>
      </c>
      <c r="D62">
        <v>345</v>
      </c>
      <c r="E62">
        <v>12320</v>
      </c>
      <c r="F62" s="154" t="s">
        <v>603</v>
      </c>
      <c r="G62" s="154">
        <f t="shared" si="0"/>
        <v>0.12353896103896105</v>
      </c>
      <c r="H62" s="154" t="s">
        <v>603</v>
      </c>
    </row>
    <row r="63" spans="1:8" x14ac:dyDescent="0.3">
      <c r="A63" t="s">
        <v>603</v>
      </c>
      <c r="B63">
        <v>3128</v>
      </c>
      <c r="C63">
        <v>211</v>
      </c>
      <c r="D63">
        <v>197</v>
      </c>
      <c r="E63">
        <v>59432</v>
      </c>
      <c r="F63" s="154" t="s">
        <v>603</v>
      </c>
      <c r="G63" s="154">
        <f t="shared" si="0"/>
        <v>5.9496567505720827E-2</v>
      </c>
      <c r="H63" s="154" t="s">
        <v>603</v>
      </c>
    </row>
    <row r="64" spans="1:8" x14ac:dyDescent="0.3">
      <c r="A64" t="s">
        <v>603</v>
      </c>
      <c r="B64">
        <v>1206</v>
      </c>
      <c r="C64">
        <v>238</v>
      </c>
      <c r="D64">
        <v>36</v>
      </c>
      <c r="E64">
        <v>9648</v>
      </c>
      <c r="F64" s="154" t="s">
        <v>603</v>
      </c>
      <c r="G64" s="154">
        <f t="shared" si="0"/>
        <v>0.15339966832504145</v>
      </c>
      <c r="H64" s="154" t="s">
        <v>603</v>
      </c>
    </row>
    <row r="65" spans="1:8" x14ac:dyDescent="0.3">
      <c r="A65" t="s">
        <v>27</v>
      </c>
      <c r="B65">
        <v>3801</v>
      </c>
      <c r="C65">
        <v>967</v>
      </c>
      <c r="D65">
        <v>401</v>
      </c>
      <c r="E65">
        <v>38010</v>
      </c>
      <c r="F65" s="154">
        <v>250000</v>
      </c>
      <c r="G65" s="154">
        <f t="shared" si="0"/>
        <v>0.13599052880820836</v>
      </c>
      <c r="H65" s="154">
        <f t="shared" si="2"/>
        <v>2.0676E-2</v>
      </c>
    </row>
    <row r="66" spans="1:8" x14ac:dyDescent="0.3">
      <c r="A66" t="s">
        <v>21</v>
      </c>
      <c r="B66">
        <v>1952</v>
      </c>
      <c r="C66">
        <v>344</v>
      </c>
      <c r="D66">
        <v>287</v>
      </c>
      <c r="E66">
        <v>15616</v>
      </c>
      <c r="F66" s="154">
        <v>200000</v>
      </c>
      <c r="G66" s="154">
        <f t="shared" si="0"/>
        <v>0.16540727459016394</v>
      </c>
      <c r="H66" s="154">
        <f t="shared" si="2"/>
        <v>1.2914999999999999E-2</v>
      </c>
    </row>
    <row r="67" spans="1:8" x14ac:dyDescent="0.3">
      <c r="A67" t="s">
        <v>603</v>
      </c>
      <c r="B67">
        <v>3828</v>
      </c>
      <c r="C67">
        <v>148</v>
      </c>
      <c r="D67">
        <v>253</v>
      </c>
      <c r="E67">
        <v>30624</v>
      </c>
      <c r="F67" s="154" t="s">
        <v>603</v>
      </c>
      <c r="G67" s="154">
        <f t="shared" ref="G67:G130" si="3">((B67+C67+D67)/E67)</f>
        <v>0.13809430512016718</v>
      </c>
      <c r="H67" s="154" t="s">
        <v>603</v>
      </c>
    </row>
    <row r="68" spans="1:8" x14ac:dyDescent="0.3">
      <c r="A68" t="s">
        <v>21</v>
      </c>
      <c r="B68">
        <v>3860</v>
      </c>
      <c r="C68">
        <v>201</v>
      </c>
      <c r="D68">
        <v>279</v>
      </c>
      <c r="E68">
        <v>61760</v>
      </c>
      <c r="F68" s="154">
        <v>200000</v>
      </c>
      <c r="G68" s="154">
        <f t="shared" si="3"/>
        <v>7.0272020725388601E-2</v>
      </c>
      <c r="H68" s="154">
        <f t="shared" ref="H68:H129" si="4">((B68+C68+D68)/F68)</f>
        <v>2.1700000000000001E-2</v>
      </c>
    </row>
    <row r="69" spans="1:8" x14ac:dyDescent="0.3">
      <c r="A69" t="s">
        <v>27</v>
      </c>
      <c r="B69">
        <v>305</v>
      </c>
      <c r="C69">
        <v>187</v>
      </c>
      <c r="D69">
        <v>243</v>
      </c>
      <c r="E69">
        <v>4575</v>
      </c>
      <c r="F69" s="154">
        <v>250000</v>
      </c>
      <c r="G69" s="154">
        <f t="shared" si="3"/>
        <v>0.16065573770491803</v>
      </c>
      <c r="H69" s="154">
        <f t="shared" si="4"/>
        <v>2.9399999999999999E-3</v>
      </c>
    </row>
    <row r="70" spans="1:8" x14ac:dyDescent="0.3">
      <c r="A70" t="s">
        <v>34</v>
      </c>
      <c r="B70">
        <v>3811</v>
      </c>
      <c r="C70">
        <v>866</v>
      </c>
      <c r="D70">
        <v>216</v>
      </c>
      <c r="E70">
        <v>34299</v>
      </c>
      <c r="F70" s="154">
        <v>180000</v>
      </c>
      <c r="G70" s="154">
        <f t="shared" si="3"/>
        <v>0.14265722032712325</v>
      </c>
      <c r="H70" s="154">
        <f t="shared" si="4"/>
        <v>2.7183333333333334E-2</v>
      </c>
    </row>
    <row r="71" spans="1:8" x14ac:dyDescent="0.3">
      <c r="A71" t="s">
        <v>21</v>
      </c>
      <c r="B71">
        <v>3718</v>
      </c>
      <c r="C71">
        <v>385</v>
      </c>
      <c r="D71">
        <v>310</v>
      </c>
      <c r="E71">
        <v>70642</v>
      </c>
      <c r="F71" s="154">
        <v>200000</v>
      </c>
      <c r="G71" s="154">
        <f t="shared" si="3"/>
        <v>6.246991874522239E-2</v>
      </c>
      <c r="H71" s="154">
        <f t="shared" si="4"/>
        <v>2.2065000000000001E-2</v>
      </c>
    </row>
    <row r="72" spans="1:8" x14ac:dyDescent="0.3">
      <c r="A72" t="s">
        <v>34</v>
      </c>
      <c r="B72">
        <v>571</v>
      </c>
      <c r="C72">
        <v>190</v>
      </c>
      <c r="D72">
        <v>352</v>
      </c>
      <c r="E72">
        <v>9707</v>
      </c>
      <c r="F72" s="154">
        <v>180000</v>
      </c>
      <c r="G72" s="154">
        <f t="shared" si="3"/>
        <v>0.11465952405480581</v>
      </c>
      <c r="H72" s="154">
        <f t="shared" si="4"/>
        <v>6.1833333333333332E-3</v>
      </c>
    </row>
    <row r="73" spans="1:8" x14ac:dyDescent="0.3">
      <c r="A73" t="s">
        <v>17</v>
      </c>
      <c r="B73">
        <v>4177</v>
      </c>
      <c r="C73">
        <v>569</v>
      </c>
      <c r="D73">
        <v>55</v>
      </c>
      <c r="E73">
        <v>25062</v>
      </c>
      <c r="F73" s="154">
        <v>150000</v>
      </c>
      <c r="G73" s="154">
        <f t="shared" si="3"/>
        <v>0.19156491900087783</v>
      </c>
      <c r="H73" s="154">
        <f t="shared" si="4"/>
        <v>3.2006666666666669E-2</v>
      </c>
    </row>
    <row r="74" spans="1:8" x14ac:dyDescent="0.3">
      <c r="A74" t="s">
        <v>21</v>
      </c>
      <c r="B74">
        <v>3239</v>
      </c>
      <c r="C74">
        <v>43</v>
      </c>
      <c r="D74">
        <v>211</v>
      </c>
      <c r="E74">
        <v>22673</v>
      </c>
      <c r="F74" s="154">
        <v>200000</v>
      </c>
      <c r="G74" s="154">
        <f t="shared" si="3"/>
        <v>0.15405989502933004</v>
      </c>
      <c r="H74" s="154">
        <f t="shared" si="4"/>
        <v>1.7465000000000001E-2</v>
      </c>
    </row>
    <row r="75" spans="1:8" x14ac:dyDescent="0.3">
      <c r="A75" t="s">
        <v>27</v>
      </c>
      <c r="B75">
        <v>1330</v>
      </c>
      <c r="C75">
        <v>925</v>
      </c>
      <c r="D75">
        <v>35</v>
      </c>
      <c r="E75">
        <v>15960</v>
      </c>
      <c r="F75" s="154">
        <v>250000</v>
      </c>
      <c r="G75" s="154">
        <f t="shared" si="3"/>
        <v>0.14348370927318296</v>
      </c>
      <c r="H75" s="154">
        <f t="shared" si="4"/>
        <v>9.1599999999999997E-3</v>
      </c>
    </row>
    <row r="76" spans="1:8" x14ac:dyDescent="0.3">
      <c r="A76" t="s">
        <v>27</v>
      </c>
      <c r="B76">
        <v>3389</v>
      </c>
      <c r="C76">
        <v>344</v>
      </c>
      <c r="D76">
        <v>229</v>
      </c>
      <c r="E76">
        <v>20334</v>
      </c>
      <c r="F76" s="154">
        <v>250000</v>
      </c>
      <c r="G76" s="154">
        <f t="shared" si="3"/>
        <v>0.19484607062063539</v>
      </c>
      <c r="H76" s="154">
        <f t="shared" si="4"/>
        <v>1.5848000000000001E-2</v>
      </c>
    </row>
    <row r="77" spans="1:8" x14ac:dyDescent="0.3">
      <c r="A77" t="s">
        <v>21</v>
      </c>
      <c r="B77">
        <v>2551</v>
      </c>
      <c r="C77">
        <v>915</v>
      </c>
      <c r="D77">
        <v>205</v>
      </c>
      <c r="E77">
        <v>30612</v>
      </c>
      <c r="F77" s="154">
        <v>200000</v>
      </c>
      <c r="G77" s="154">
        <f t="shared" si="3"/>
        <v>0.1199202926956749</v>
      </c>
      <c r="H77" s="154">
        <f t="shared" si="4"/>
        <v>1.8355E-2</v>
      </c>
    </row>
    <row r="78" spans="1:8" x14ac:dyDescent="0.3">
      <c r="A78" t="s">
        <v>34</v>
      </c>
      <c r="B78">
        <v>3767</v>
      </c>
      <c r="C78">
        <v>514</v>
      </c>
      <c r="D78">
        <v>238</v>
      </c>
      <c r="E78">
        <v>37670</v>
      </c>
      <c r="F78" s="154">
        <v>180000</v>
      </c>
      <c r="G78" s="154">
        <f t="shared" si="3"/>
        <v>0.11996283514733209</v>
      </c>
      <c r="H78" s="154">
        <f t="shared" si="4"/>
        <v>2.5105555555555555E-2</v>
      </c>
    </row>
    <row r="79" spans="1:8" x14ac:dyDescent="0.3">
      <c r="A79" t="s">
        <v>21</v>
      </c>
      <c r="B79">
        <v>2200</v>
      </c>
      <c r="C79">
        <v>504</v>
      </c>
      <c r="D79">
        <v>239</v>
      </c>
      <c r="E79">
        <v>37400</v>
      </c>
      <c r="F79" s="154">
        <v>200000</v>
      </c>
      <c r="G79" s="154">
        <f t="shared" si="3"/>
        <v>7.8689839572192513E-2</v>
      </c>
      <c r="H79" s="154">
        <f t="shared" si="4"/>
        <v>1.4715000000000001E-2</v>
      </c>
    </row>
    <row r="80" spans="1:8" x14ac:dyDescent="0.3">
      <c r="A80" t="s">
        <v>21</v>
      </c>
      <c r="B80">
        <v>1606</v>
      </c>
      <c r="C80">
        <v>547</v>
      </c>
      <c r="D80">
        <v>316</v>
      </c>
      <c r="E80">
        <v>32120</v>
      </c>
      <c r="F80" s="154">
        <v>200000</v>
      </c>
      <c r="G80" s="154">
        <f t="shared" si="3"/>
        <v>7.6867995018679955E-2</v>
      </c>
      <c r="H80" s="154">
        <f t="shared" si="4"/>
        <v>1.2345E-2</v>
      </c>
    </row>
    <row r="81" spans="1:8" x14ac:dyDescent="0.3">
      <c r="A81" t="s">
        <v>21</v>
      </c>
      <c r="B81">
        <v>2692</v>
      </c>
      <c r="C81">
        <v>115</v>
      </c>
      <c r="D81">
        <v>64</v>
      </c>
      <c r="E81">
        <v>21536</v>
      </c>
      <c r="F81" s="154">
        <v>200000</v>
      </c>
      <c r="G81" s="154">
        <f t="shared" si="3"/>
        <v>0.13331166419019316</v>
      </c>
      <c r="H81" s="154">
        <f t="shared" si="4"/>
        <v>1.4355E-2</v>
      </c>
    </row>
    <row r="82" spans="1:8" x14ac:dyDescent="0.3">
      <c r="A82" t="s">
        <v>17</v>
      </c>
      <c r="B82">
        <v>3557</v>
      </c>
      <c r="C82">
        <v>687</v>
      </c>
      <c r="D82">
        <v>424</v>
      </c>
      <c r="E82">
        <v>71140</v>
      </c>
      <c r="F82" s="154">
        <v>150000</v>
      </c>
      <c r="G82" s="154">
        <f t="shared" si="3"/>
        <v>6.5617093055946027E-2</v>
      </c>
      <c r="H82" s="154">
        <f t="shared" si="4"/>
        <v>3.1119999999999998E-2</v>
      </c>
    </row>
    <row r="83" spans="1:8" x14ac:dyDescent="0.3">
      <c r="A83" t="s">
        <v>21</v>
      </c>
      <c r="B83">
        <v>1000</v>
      </c>
      <c r="C83">
        <v>978</v>
      </c>
      <c r="D83">
        <v>162</v>
      </c>
      <c r="E83">
        <v>6000</v>
      </c>
      <c r="F83" s="154">
        <v>200000</v>
      </c>
      <c r="G83" s="154">
        <f t="shared" si="3"/>
        <v>0.35666666666666669</v>
      </c>
      <c r="H83" s="154">
        <f t="shared" si="4"/>
        <v>1.0699999999999999E-2</v>
      </c>
    </row>
    <row r="84" spans="1:8" x14ac:dyDescent="0.3">
      <c r="A84" t="s">
        <v>27</v>
      </c>
      <c r="B84">
        <v>4858</v>
      </c>
      <c r="C84">
        <v>317</v>
      </c>
      <c r="D84">
        <v>129</v>
      </c>
      <c r="E84">
        <v>53438</v>
      </c>
      <c r="F84" s="154">
        <v>250000</v>
      </c>
      <c r="G84" s="154">
        <f t="shared" si="3"/>
        <v>9.9255211647142488E-2</v>
      </c>
      <c r="H84" s="154">
        <f t="shared" si="4"/>
        <v>2.1215999999999999E-2</v>
      </c>
    </row>
    <row r="85" spans="1:8" x14ac:dyDescent="0.3">
      <c r="A85" t="s">
        <v>27</v>
      </c>
      <c r="B85">
        <v>2566</v>
      </c>
      <c r="C85">
        <v>118</v>
      </c>
      <c r="D85">
        <v>37</v>
      </c>
      <c r="E85">
        <v>12830</v>
      </c>
      <c r="F85" s="154">
        <v>250000</v>
      </c>
      <c r="G85" s="154">
        <f t="shared" si="3"/>
        <v>0.21208106001558846</v>
      </c>
      <c r="H85" s="154">
        <f t="shared" si="4"/>
        <v>1.0884E-2</v>
      </c>
    </row>
    <row r="86" spans="1:8" x14ac:dyDescent="0.3">
      <c r="A86" t="s">
        <v>21</v>
      </c>
      <c r="B86">
        <v>3874</v>
      </c>
      <c r="C86">
        <v>884</v>
      </c>
      <c r="D86">
        <v>19</v>
      </c>
      <c r="E86">
        <v>38740</v>
      </c>
      <c r="F86" s="154">
        <v>200000</v>
      </c>
      <c r="G86" s="154">
        <f t="shared" si="3"/>
        <v>0.123309241094476</v>
      </c>
      <c r="H86" s="154">
        <f t="shared" si="4"/>
        <v>2.3885E-2</v>
      </c>
    </row>
    <row r="87" spans="1:8" x14ac:dyDescent="0.3">
      <c r="A87" t="s">
        <v>34</v>
      </c>
      <c r="B87">
        <v>1606</v>
      </c>
      <c r="C87">
        <v>451</v>
      </c>
      <c r="D87">
        <v>405</v>
      </c>
      <c r="E87">
        <v>20878</v>
      </c>
      <c r="F87" s="154">
        <v>180000</v>
      </c>
      <c r="G87" s="154">
        <f t="shared" si="3"/>
        <v>0.11792317271769326</v>
      </c>
      <c r="H87" s="154">
        <f t="shared" si="4"/>
        <v>1.3677777777777778E-2</v>
      </c>
    </row>
    <row r="88" spans="1:8" x14ac:dyDescent="0.3">
      <c r="A88" t="s">
        <v>27</v>
      </c>
      <c r="B88">
        <v>4941</v>
      </c>
      <c r="C88">
        <v>414</v>
      </c>
      <c r="D88">
        <v>266</v>
      </c>
      <c r="E88">
        <v>39528</v>
      </c>
      <c r="F88" s="154">
        <v>250000</v>
      </c>
      <c r="G88" s="154">
        <f t="shared" si="3"/>
        <v>0.14220299534507186</v>
      </c>
      <c r="H88" s="154">
        <f t="shared" si="4"/>
        <v>2.2484000000000001E-2</v>
      </c>
    </row>
    <row r="89" spans="1:8" x14ac:dyDescent="0.3">
      <c r="A89" t="s">
        <v>27</v>
      </c>
      <c r="B89">
        <v>246</v>
      </c>
      <c r="C89">
        <v>149</v>
      </c>
      <c r="D89">
        <v>130</v>
      </c>
      <c r="E89">
        <v>4674</v>
      </c>
      <c r="F89" s="154">
        <v>250000</v>
      </c>
      <c r="G89" s="154">
        <f t="shared" si="3"/>
        <v>0.11232349165596919</v>
      </c>
      <c r="H89" s="154">
        <f t="shared" si="4"/>
        <v>2.0999999999999999E-3</v>
      </c>
    </row>
    <row r="90" spans="1:8" x14ac:dyDescent="0.3">
      <c r="A90" t="s">
        <v>603</v>
      </c>
      <c r="B90">
        <v>2358</v>
      </c>
      <c r="C90">
        <v>784</v>
      </c>
      <c r="D90">
        <v>344</v>
      </c>
      <c r="E90">
        <v>35370</v>
      </c>
      <c r="F90" s="154" t="s">
        <v>603</v>
      </c>
      <c r="G90" s="154">
        <f t="shared" si="3"/>
        <v>9.8558100084817649E-2</v>
      </c>
      <c r="H90" s="154" t="s">
        <v>603</v>
      </c>
    </row>
    <row r="91" spans="1:8" x14ac:dyDescent="0.3">
      <c r="A91" t="s">
        <v>27</v>
      </c>
      <c r="B91">
        <v>1652</v>
      </c>
      <c r="C91">
        <v>89</v>
      </c>
      <c r="D91">
        <v>357</v>
      </c>
      <c r="E91">
        <v>29736</v>
      </c>
      <c r="F91" s="154">
        <v>250000</v>
      </c>
      <c r="G91" s="154">
        <f t="shared" si="3"/>
        <v>7.055421038471886E-2</v>
      </c>
      <c r="H91" s="154">
        <f t="shared" si="4"/>
        <v>8.3920000000000002E-3</v>
      </c>
    </row>
    <row r="92" spans="1:8" x14ac:dyDescent="0.3">
      <c r="A92" t="s">
        <v>27</v>
      </c>
      <c r="B92">
        <v>1946</v>
      </c>
      <c r="C92">
        <v>686</v>
      </c>
      <c r="D92">
        <v>377</v>
      </c>
      <c r="E92">
        <v>23352</v>
      </c>
      <c r="F92" s="154">
        <v>250000</v>
      </c>
      <c r="G92" s="154">
        <f t="shared" si="3"/>
        <v>0.12885405960945528</v>
      </c>
      <c r="H92" s="154">
        <f t="shared" si="4"/>
        <v>1.2036E-2</v>
      </c>
    </row>
    <row r="93" spans="1:8" x14ac:dyDescent="0.3">
      <c r="A93" t="s">
        <v>603</v>
      </c>
      <c r="B93">
        <v>886</v>
      </c>
      <c r="C93">
        <v>126</v>
      </c>
      <c r="D93">
        <v>153</v>
      </c>
      <c r="E93">
        <v>4430</v>
      </c>
      <c r="F93" s="154" t="s">
        <v>603</v>
      </c>
      <c r="G93" s="154">
        <f t="shared" si="3"/>
        <v>0.26297968397291194</v>
      </c>
      <c r="H93" s="154" t="s">
        <v>603</v>
      </c>
    </row>
    <row r="94" spans="1:8" x14ac:dyDescent="0.3">
      <c r="A94" t="s">
        <v>27</v>
      </c>
      <c r="B94">
        <v>754</v>
      </c>
      <c r="C94">
        <v>197</v>
      </c>
      <c r="D94">
        <v>257</v>
      </c>
      <c r="E94">
        <v>6786</v>
      </c>
      <c r="F94" s="154">
        <v>250000</v>
      </c>
      <c r="G94" s="154">
        <f t="shared" si="3"/>
        <v>0.17801355732390214</v>
      </c>
      <c r="H94" s="154">
        <f t="shared" si="4"/>
        <v>4.8320000000000004E-3</v>
      </c>
    </row>
    <row r="95" spans="1:8" x14ac:dyDescent="0.3">
      <c r="A95" t="s">
        <v>21</v>
      </c>
      <c r="B95">
        <v>3689</v>
      </c>
      <c r="C95">
        <v>48</v>
      </c>
      <c r="D95">
        <v>306</v>
      </c>
      <c r="E95">
        <v>40579</v>
      </c>
      <c r="F95" s="154">
        <v>200000</v>
      </c>
      <c r="G95" s="154">
        <f t="shared" si="3"/>
        <v>9.9632815002833983E-2</v>
      </c>
      <c r="H95" s="154">
        <f t="shared" si="4"/>
        <v>2.0215E-2</v>
      </c>
    </row>
    <row r="96" spans="1:8" x14ac:dyDescent="0.3">
      <c r="A96" t="s">
        <v>21</v>
      </c>
      <c r="B96">
        <v>3009</v>
      </c>
      <c r="C96">
        <v>413</v>
      </c>
      <c r="D96">
        <v>358</v>
      </c>
      <c r="E96">
        <v>42126</v>
      </c>
      <c r="F96" s="154">
        <v>200000</v>
      </c>
      <c r="G96" s="154">
        <f t="shared" si="3"/>
        <v>8.9730807577268201E-2</v>
      </c>
      <c r="H96" s="154">
        <f t="shared" si="4"/>
        <v>1.89E-2</v>
      </c>
    </row>
    <row r="97" spans="1:8" x14ac:dyDescent="0.3">
      <c r="A97" t="s">
        <v>27</v>
      </c>
      <c r="B97">
        <v>4767</v>
      </c>
      <c r="C97">
        <v>190</v>
      </c>
      <c r="D97">
        <v>340</v>
      </c>
      <c r="E97">
        <v>28602</v>
      </c>
      <c r="F97" s="154">
        <v>250000</v>
      </c>
      <c r="G97" s="154">
        <f t="shared" si="3"/>
        <v>0.18519683938186141</v>
      </c>
      <c r="H97" s="154">
        <f t="shared" si="4"/>
        <v>2.1187999999999999E-2</v>
      </c>
    </row>
    <row r="98" spans="1:8" x14ac:dyDescent="0.3">
      <c r="A98" t="s">
        <v>34</v>
      </c>
      <c r="B98">
        <v>3440</v>
      </c>
      <c r="C98">
        <v>13</v>
      </c>
      <c r="D98">
        <v>20</v>
      </c>
      <c r="E98">
        <v>58480</v>
      </c>
      <c r="F98" s="154">
        <v>180000</v>
      </c>
      <c r="G98" s="154">
        <f t="shared" si="3"/>
        <v>5.9387824897400819E-2</v>
      </c>
      <c r="H98" s="154">
        <f t="shared" si="4"/>
        <v>1.9294444444444444E-2</v>
      </c>
    </row>
    <row r="99" spans="1:8" x14ac:dyDescent="0.3">
      <c r="A99" t="s">
        <v>21</v>
      </c>
      <c r="B99">
        <v>4050</v>
      </c>
      <c r="C99">
        <v>871</v>
      </c>
      <c r="D99">
        <v>347</v>
      </c>
      <c r="E99">
        <v>52650</v>
      </c>
      <c r="F99" s="154">
        <v>200000</v>
      </c>
      <c r="G99" s="154">
        <f t="shared" si="3"/>
        <v>0.10005698005698006</v>
      </c>
      <c r="H99" s="154">
        <f t="shared" si="4"/>
        <v>2.6339999999999999E-2</v>
      </c>
    </row>
    <row r="100" spans="1:8" x14ac:dyDescent="0.3">
      <c r="A100" t="s">
        <v>21</v>
      </c>
      <c r="B100">
        <v>360</v>
      </c>
      <c r="C100">
        <v>590</v>
      </c>
      <c r="D100">
        <v>393</v>
      </c>
      <c r="E100">
        <v>4680</v>
      </c>
      <c r="F100" s="154">
        <v>200000</v>
      </c>
      <c r="G100" s="154">
        <f t="shared" si="3"/>
        <v>0.28696581196581195</v>
      </c>
      <c r="H100" s="154">
        <f t="shared" si="4"/>
        <v>6.7149999999999996E-3</v>
      </c>
    </row>
    <row r="101" spans="1:8" x14ac:dyDescent="0.3">
      <c r="A101" t="s">
        <v>603</v>
      </c>
      <c r="B101">
        <v>3960</v>
      </c>
      <c r="C101">
        <v>266</v>
      </c>
      <c r="D101">
        <v>8</v>
      </c>
      <c r="E101">
        <v>35640</v>
      </c>
      <c r="F101" s="154" t="s">
        <v>603</v>
      </c>
      <c r="G101" s="154">
        <f t="shared" si="3"/>
        <v>0.11879910213243547</v>
      </c>
      <c r="H101" s="154" t="s">
        <v>603</v>
      </c>
    </row>
    <row r="102" spans="1:8" x14ac:dyDescent="0.3">
      <c r="A102" t="s">
        <v>34</v>
      </c>
      <c r="B102">
        <v>456</v>
      </c>
      <c r="C102">
        <v>629</v>
      </c>
      <c r="D102">
        <v>428</v>
      </c>
      <c r="E102">
        <v>8208</v>
      </c>
      <c r="F102" s="154">
        <v>180000</v>
      </c>
      <c r="G102" s="154">
        <f t="shared" si="3"/>
        <v>0.18433235867446393</v>
      </c>
      <c r="H102" s="154">
        <f>((B102+C102+D102)/F102)</f>
        <v>8.405555555555555E-3</v>
      </c>
    </row>
    <row r="103" spans="1:8" x14ac:dyDescent="0.3">
      <c r="A103" t="s">
        <v>603</v>
      </c>
      <c r="B103">
        <v>3791</v>
      </c>
      <c r="C103">
        <v>593</v>
      </c>
      <c r="D103">
        <v>228</v>
      </c>
      <c r="E103">
        <v>53074</v>
      </c>
      <c r="F103" s="154" t="s">
        <v>603</v>
      </c>
      <c r="G103" s="154">
        <f t="shared" si="3"/>
        <v>8.6897539284772202E-2</v>
      </c>
      <c r="H103" s="154" t="s">
        <v>603</v>
      </c>
    </row>
    <row r="104" spans="1:8" x14ac:dyDescent="0.3">
      <c r="A104" t="s">
        <v>27</v>
      </c>
      <c r="B104">
        <v>2795</v>
      </c>
      <c r="C104">
        <v>105</v>
      </c>
      <c r="D104">
        <v>49</v>
      </c>
      <c r="E104">
        <v>53105</v>
      </c>
      <c r="F104" s="154">
        <v>250000</v>
      </c>
      <c r="G104" s="154">
        <f t="shared" si="3"/>
        <v>5.5531494209584788E-2</v>
      </c>
      <c r="H104" s="154">
        <f t="shared" si="4"/>
        <v>1.1795999999999999E-2</v>
      </c>
    </row>
    <row r="105" spans="1:8" x14ac:dyDescent="0.3">
      <c r="A105" t="s">
        <v>34</v>
      </c>
      <c r="B105">
        <v>249</v>
      </c>
      <c r="C105">
        <v>592</v>
      </c>
      <c r="D105">
        <v>230</v>
      </c>
      <c r="E105">
        <v>1494</v>
      </c>
      <c r="F105" s="154">
        <v>180000</v>
      </c>
      <c r="G105" s="154">
        <f t="shared" si="3"/>
        <v>0.7168674698795181</v>
      </c>
      <c r="H105" s="154">
        <f t="shared" si="4"/>
        <v>5.9500000000000004E-3</v>
      </c>
    </row>
    <row r="106" spans="1:8" x14ac:dyDescent="0.3">
      <c r="A106" t="s">
        <v>603</v>
      </c>
      <c r="B106">
        <v>3065</v>
      </c>
      <c r="C106">
        <v>772</v>
      </c>
      <c r="D106">
        <v>142</v>
      </c>
      <c r="E106">
        <v>18390</v>
      </c>
      <c r="F106" s="154" t="s">
        <v>603</v>
      </c>
      <c r="G106" s="154">
        <f t="shared" si="3"/>
        <v>0.21636759108210984</v>
      </c>
      <c r="H106" s="154" t="s">
        <v>603</v>
      </c>
    </row>
    <row r="107" spans="1:8" x14ac:dyDescent="0.3">
      <c r="A107" t="s">
        <v>27</v>
      </c>
      <c r="B107">
        <v>725</v>
      </c>
      <c r="C107">
        <v>88</v>
      </c>
      <c r="D107">
        <v>428</v>
      </c>
      <c r="E107">
        <v>14500</v>
      </c>
      <c r="F107" s="154">
        <v>250000</v>
      </c>
      <c r="G107" s="154">
        <f t="shared" si="3"/>
        <v>8.558620689655172E-2</v>
      </c>
      <c r="H107" s="154">
        <f t="shared" si="4"/>
        <v>4.9639999999999997E-3</v>
      </c>
    </row>
    <row r="108" spans="1:8" x14ac:dyDescent="0.3">
      <c r="A108" t="s">
        <v>27</v>
      </c>
      <c r="B108">
        <v>3655</v>
      </c>
      <c r="C108">
        <v>568</v>
      </c>
      <c r="D108">
        <v>286</v>
      </c>
      <c r="E108">
        <v>32895</v>
      </c>
      <c r="F108" s="154">
        <v>250000</v>
      </c>
      <c r="G108" s="154">
        <f t="shared" si="3"/>
        <v>0.13707250341997265</v>
      </c>
      <c r="H108" s="154">
        <f t="shared" si="4"/>
        <v>1.8036E-2</v>
      </c>
    </row>
    <row r="109" spans="1:8" x14ac:dyDescent="0.3">
      <c r="A109" t="s">
        <v>27</v>
      </c>
      <c r="B109">
        <v>2234</v>
      </c>
      <c r="C109">
        <v>653</v>
      </c>
      <c r="D109">
        <v>432</v>
      </c>
      <c r="E109">
        <v>11170</v>
      </c>
      <c r="F109" s="154">
        <v>250000</v>
      </c>
      <c r="G109" s="154">
        <f t="shared" si="3"/>
        <v>0.29713518352730528</v>
      </c>
      <c r="H109" s="154">
        <f t="shared" si="4"/>
        <v>1.3276E-2</v>
      </c>
    </row>
    <row r="110" spans="1:8" x14ac:dyDescent="0.3">
      <c r="A110" t="s">
        <v>27</v>
      </c>
      <c r="B110">
        <v>1436</v>
      </c>
      <c r="C110">
        <v>765</v>
      </c>
      <c r="D110">
        <v>496</v>
      </c>
      <c r="E110">
        <v>12924</v>
      </c>
      <c r="F110" s="154">
        <v>250000</v>
      </c>
      <c r="G110" s="154">
        <f t="shared" si="3"/>
        <v>0.20868152274837512</v>
      </c>
      <c r="H110" s="154">
        <f t="shared" si="4"/>
        <v>1.0788000000000001E-2</v>
      </c>
    </row>
    <row r="111" spans="1:8" x14ac:dyDescent="0.3">
      <c r="A111" t="s">
        <v>21</v>
      </c>
      <c r="B111">
        <v>3575</v>
      </c>
      <c r="C111">
        <v>749</v>
      </c>
      <c r="D111">
        <v>111</v>
      </c>
      <c r="E111">
        <v>21450</v>
      </c>
      <c r="F111" s="154">
        <v>200000</v>
      </c>
      <c r="G111" s="154">
        <f t="shared" si="3"/>
        <v>0.20675990675990677</v>
      </c>
      <c r="H111" s="154">
        <f t="shared" si="4"/>
        <v>2.2175E-2</v>
      </c>
    </row>
    <row r="112" spans="1:8" x14ac:dyDescent="0.3">
      <c r="A112" t="s">
        <v>17</v>
      </c>
      <c r="B112">
        <v>4350</v>
      </c>
      <c r="C112">
        <v>771</v>
      </c>
      <c r="D112">
        <v>7</v>
      </c>
      <c r="E112">
        <v>60900</v>
      </c>
      <c r="F112" s="154">
        <v>150000</v>
      </c>
      <c r="G112" s="154">
        <f t="shared" si="3"/>
        <v>8.4203612479474554E-2</v>
      </c>
      <c r="H112" s="154">
        <f t="shared" si="4"/>
        <v>3.4186666666666664E-2</v>
      </c>
    </row>
    <row r="113" spans="1:8" x14ac:dyDescent="0.3">
      <c r="A113" t="s">
        <v>17</v>
      </c>
      <c r="B113">
        <v>4808</v>
      </c>
      <c r="C113">
        <v>772</v>
      </c>
      <c r="D113">
        <v>320</v>
      </c>
      <c r="E113">
        <v>72120</v>
      </c>
      <c r="F113" s="154">
        <v>150000</v>
      </c>
      <c r="G113" s="154">
        <f t="shared" si="3"/>
        <v>8.1808097615085965E-2</v>
      </c>
      <c r="H113" s="154">
        <f t="shared" si="4"/>
        <v>3.9333333333333331E-2</v>
      </c>
    </row>
    <row r="114" spans="1:8" x14ac:dyDescent="0.3">
      <c r="A114" t="s">
        <v>21</v>
      </c>
      <c r="B114">
        <v>1257</v>
      </c>
      <c r="C114">
        <v>19</v>
      </c>
      <c r="D114">
        <v>351</v>
      </c>
      <c r="E114">
        <v>12570</v>
      </c>
      <c r="F114" s="154">
        <v>200000</v>
      </c>
      <c r="G114" s="154">
        <f t="shared" si="3"/>
        <v>0.12943516308671441</v>
      </c>
      <c r="H114" s="154">
        <f t="shared" si="4"/>
        <v>8.1349999999999999E-3</v>
      </c>
    </row>
    <row r="115" spans="1:8" x14ac:dyDescent="0.3">
      <c r="A115" t="s">
        <v>17</v>
      </c>
      <c r="B115">
        <v>3360</v>
      </c>
      <c r="C115">
        <v>525</v>
      </c>
      <c r="D115">
        <v>500</v>
      </c>
      <c r="E115">
        <v>60480</v>
      </c>
      <c r="F115" s="154">
        <v>150000</v>
      </c>
      <c r="G115" s="154">
        <f t="shared" si="3"/>
        <v>7.2503306878306875E-2</v>
      </c>
      <c r="H115" s="154">
        <f t="shared" si="4"/>
        <v>2.9233333333333333E-2</v>
      </c>
    </row>
    <row r="116" spans="1:8" x14ac:dyDescent="0.3">
      <c r="A116" t="s">
        <v>34</v>
      </c>
      <c r="B116">
        <v>2107</v>
      </c>
      <c r="C116">
        <v>550</v>
      </c>
      <c r="D116">
        <v>349</v>
      </c>
      <c r="E116">
        <v>35819</v>
      </c>
      <c r="F116" s="154">
        <v>180000</v>
      </c>
      <c r="G116" s="154">
        <f t="shared" si="3"/>
        <v>8.3921940869371006E-2</v>
      </c>
      <c r="H116" s="154">
        <f t="shared" si="4"/>
        <v>1.67E-2</v>
      </c>
    </row>
    <row r="117" spans="1:8" x14ac:dyDescent="0.3">
      <c r="A117" t="s">
        <v>17</v>
      </c>
      <c r="B117">
        <v>4494</v>
      </c>
      <c r="C117">
        <v>717</v>
      </c>
      <c r="D117">
        <v>45</v>
      </c>
      <c r="E117">
        <v>62916</v>
      </c>
      <c r="F117" s="154">
        <v>150000</v>
      </c>
      <c r="G117" s="154">
        <f t="shared" si="3"/>
        <v>8.3539958039290485E-2</v>
      </c>
      <c r="H117" s="154">
        <f t="shared" si="4"/>
        <v>3.5040000000000002E-2</v>
      </c>
    </row>
    <row r="118" spans="1:8" x14ac:dyDescent="0.3">
      <c r="A118" t="s">
        <v>603</v>
      </c>
      <c r="B118">
        <v>1377</v>
      </c>
      <c r="C118">
        <v>796</v>
      </c>
      <c r="D118">
        <v>387</v>
      </c>
      <c r="E118">
        <v>22032</v>
      </c>
      <c r="F118" s="154" t="s">
        <v>603</v>
      </c>
      <c r="G118" s="154">
        <f t="shared" si="3"/>
        <v>0.11619462599854757</v>
      </c>
      <c r="H118" s="154" t="s">
        <v>603</v>
      </c>
    </row>
    <row r="119" spans="1:8" x14ac:dyDescent="0.3">
      <c r="A119" t="s">
        <v>21</v>
      </c>
      <c r="B119">
        <v>4775</v>
      </c>
      <c r="C119">
        <v>173</v>
      </c>
      <c r="D119">
        <v>206</v>
      </c>
      <c r="E119">
        <v>47750</v>
      </c>
      <c r="F119" s="154">
        <v>200000</v>
      </c>
      <c r="G119" s="154">
        <f t="shared" si="3"/>
        <v>0.10793717277486911</v>
      </c>
      <c r="H119" s="154">
        <f t="shared" si="4"/>
        <v>2.5770000000000001E-2</v>
      </c>
    </row>
    <row r="120" spans="1:8" x14ac:dyDescent="0.3">
      <c r="A120" t="s">
        <v>21</v>
      </c>
      <c r="B120">
        <v>1947</v>
      </c>
      <c r="C120">
        <v>842</v>
      </c>
      <c r="D120">
        <v>101</v>
      </c>
      <c r="E120">
        <v>21417</v>
      </c>
      <c r="F120" s="154">
        <v>200000</v>
      </c>
      <c r="G120" s="154">
        <f t="shared" si="3"/>
        <v>0.13493953401503478</v>
      </c>
      <c r="H120" s="154">
        <f t="shared" si="4"/>
        <v>1.4449999999999999E-2</v>
      </c>
    </row>
    <row r="121" spans="1:8" x14ac:dyDescent="0.3">
      <c r="A121" t="s">
        <v>603</v>
      </c>
      <c r="B121">
        <v>498</v>
      </c>
      <c r="C121">
        <v>701</v>
      </c>
      <c r="D121">
        <v>412</v>
      </c>
      <c r="E121">
        <v>4980</v>
      </c>
      <c r="F121" s="154" t="s">
        <v>603</v>
      </c>
      <c r="G121" s="154">
        <f t="shared" si="3"/>
        <v>0.32349397590361445</v>
      </c>
      <c r="H121" s="154" t="s">
        <v>603</v>
      </c>
    </row>
    <row r="122" spans="1:8" x14ac:dyDescent="0.3">
      <c r="A122" t="s">
        <v>17</v>
      </c>
      <c r="B122">
        <v>432</v>
      </c>
      <c r="C122">
        <v>171</v>
      </c>
      <c r="D122">
        <v>280</v>
      </c>
      <c r="E122">
        <v>3024</v>
      </c>
      <c r="F122" s="154">
        <v>150000</v>
      </c>
      <c r="G122" s="154">
        <f t="shared" si="3"/>
        <v>0.29199735449735448</v>
      </c>
      <c r="H122" s="154">
        <f t="shared" si="4"/>
        <v>5.8866666666666668E-3</v>
      </c>
    </row>
    <row r="123" spans="1:8" x14ac:dyDescent="0.3">
      <c r="A123" t="s">
        <v>17</v>
      </c>
      <c r="B123">
        <v>2418</v>
      </c>
      <c r="C123">
        <v>754</v>
      </c>
      <c r="D123">
        <v>54</v>
      </c>
      <c r="E123">
        <v>43524</v>
      </c>
      <c r="F123" s="154">
        <v>150000</v>
      </c>
      <c r="G123" s="154">
        <f t="shared" si="3"/>
        <v>7.412002573292896E-2</v>
      </c>
      <c r="H123" s="154">
        <f t="shared" si="4"/>
        <v>2.1506666666666667E-2</v>
      </c>
    </row>
    <row r="124" spans="1:8" x14ac:dyDescent="0.3">
      <c r="A124" t="s">
        <v>603</v>
      </c>
      <c r="B124">
        <v>4832</v>
      </c>
      <c r="C124">
        <v>893</v>
      </c>
      <c r="D124">
        <v>10</v>
      </c>
      <c r="E124">
        <v>91808</v>
      </c>
      <c r="F124" s="154" t="s">
        <v>603</v>
      </c>
      <c r="G124" s="154">
        <f t="shared" si="3"/>
        <v>6.2467323109097243E-2</v>
      </c>
      <c r="H124" s="154" t="s">
        <v>603</v>
      </c>
    </row>
    <row r="125" spans="1:8" x14ac:dyDescent="0.3">
      <c r="A125" t="s">
        <v>603</v>
      </c>
      <c r="B125">
        <v>2214</v>
      </c>
      <c r="C125">
        <v>249</v>
      </c>
      <c r="D125">
        <v>152</v>
      </c>
      <c r="E125">
        <v>15498</v>
      </c>
      <c r="F125" s="154" t="s">
        <v>603</v>
      </c>
      <c r="G125" s="154">
        <f t="shared" si="3"/>
        <v>0.16873144921925409</v>
      </c>
      <c r="H125" s="154" t="s">
        <v>603</v>
      </c>
    </row>
    <row r="126" spans="1:8" x14ac:dyDescent="0.3">
      <c r="A126" t="s">
        <v>17</v>
      </c>
      <c r="B126">
        <v>4134</v>
      </c>
      <c r="C126">
        <v>824</v>
      </c>
      <c r="D126">
        <v>99</v>
      </c>
      <c r="E126">
        <v>41340</v>
      </c>
      <c r="F126" s="154">
        <v>150000</v>
      </c>
      <c r="G126" s="154">
        <f t="shared" si="3"/>
        <v>0.12232704402515723</v>
      </c>
      <c r="H126" s="154">
        <f t="shared" si="4"/>
        <v>3.3713333333333331E-2</v>
      </c>
    </row>
    <row r="127" spans="1:8" x14ac:dyDescent="0.3">
      <c r="A127" t="s">
        <v>34</v>
      </c>
      <c r="B127">
        <v>2164</v>
      </c>
      <c r="C127">
        <v>549</v>
      </c>
      <c r="D127">
        <v>274</v>
      </c>
      <c r="E127">
        <v>28132</v>
      </c>
      <c r="F127" s="154">
        <v>180000</v>
      </c>
      <c r="G127" s="154">
        <f t="shared" si="3"/>
        <v>0.10617801791554102</v>
      </c>
      <c r="H127" s="154">
        <f t="shared" si="4"/>
        <v>1.6594444444444443E-2</v>
      </c>
    </row>
    <row r="128" spans="1:8" x14ac:dyDescent="0.3">
      <c r="A128" t="s">
        <v>34</v>
      </c>
      <c r="B128">
        <v>4133</v>
      </c>
      <c r="C128">
        <v>466</v>
      </c>
      <c r="D128">
        <v>327</v>
      </c>
      <c r="E128">
        <v>24798</v>
      </c>
      <c r="F128" s="154">
        <v>180000</v>
      </c>
      <c r="G128" s="154">
        <f t="shared" si="3"/>
        <v>0.19864505202032423</v>
      </c>
      <c r="H128" s="154">
        <f t="shared" si="4"/>
        <v>2.7366666666666668E-2</v>
      </c>
    </row>
    <row r="129" spans="1:8" x14ac:dyDescent="0.3">
      <c r="A129" t="s">
        <v>17</v>
      </c>
      <c r="B129">
        <v>3371</v>
      </c>
      <c r="C129">
        <v>106</v>
      </c>
      <c r="D129">
        <v>327</v>
      </c>
      <c r="E129">
        <v>50565</v>
      </c>
      <c r="F129" s="154">
        <v>150000</v>
      </c>
      <c r="G129" s="154">
        <f t="shared" si="3"/>
        <v>7.5229902106199939E-2</v>
      </c>
      <c r="H129" s="154">
        <f t="shared" si="4"/>
        <v>2.5360000000000001E-2</v>
      </c>
    </row>
    <row r="130" spans="1:8" x14ac:dyDescent="0.3">
      <c r="A130" t="s">
        <v>603</v>
      </c>
      <c r="B130">
        <v>4021</v>
      </c>
      <c r="C130">
        <v>794</v>
      </c>
      <c r="D130">
        <v>77</v>
      </c>
      <c r="E130">
        <v>36189</v>
      </c>
      <c r="F130" s="154" t="s">
        <v>603</v>
      </c>
      <c r="G130" s="154">
        <f t="shared" si="3"/>
        <v>0.13517919809886983</v>
      </c>
      <c r="H130" s="154" t="s">
        <v>603</v>
      </c>
    </row>
    <row r="131" spans="1:8" x14ac:dyDescent="0.3">
      <c r="A131" t="s">
        <v>603</v>
      </c>
      <c r="B131">
        <v>2180</v>
      </c>
      <c r="C131">
        <v>263</v>
      </c>
      <c r="D131">
        <v>387</v>
      </c>
      <c r="E131">
        <v>30520</v>
      </c>
      <c r="F131" s="154" t="s">
        <v>603</v>
      </c>
      <c r="G131" s="154">
        <f t="shared" ref="G131:G194" si="5">((B131+C131+D131)/E131)</f>
        <v>9.2726081258191345E-2</v>
      </c>
      <c r="H131" s="154" t="s">
        <v>603</v>
      </c>
    </row>
    <row r="132" spans="1:8" x14ac:dyDescent="0.3">
      <c r="A132" t="s">
        <v>34</v>
      </c>
      <c r="B132">
        <v>4689</v>
      </c>
      <c r="C132">
        <v>134</v>
      </c>
      <c r="D132">
        <v>403</v>
      </c>
      <c r="E132">
        <v>51579</v>
      </c>
      <c r="F132" s="154">
        <v>180000</v>
      </c>
      <c r="G132" s="154">
        <f t="shared" si="5"/>
        <v>0.10132030477519921</v>
      </c>
      <c r="H132" s="154">
        <f t="shared" ref="H132:H194" si="6">((B132+C132+D132)/F132)</f>
        <v>2.9033333333333335E-2</v>
      </c>
    </row>
    <row r="133" spans="1:8" x14ac:dyDescent="0.3">
      <c r="A133" t="s">
        <v>27</v>
      </c>
      <c r="B133">
        <v>4171</v>
      </c>
      <c r="C133">
        <v>548</v>
      </c>
      <c r="D133">
        <v>86</v>
      </c>
      <c r="E133">
        <v>66736</v>
      </c>
      <c r="F133" s="154">
        <v>250000</v>
      </c>
      <c r="G133" s="154">
        <f t="shared" si="5"/>
        <v>7.2000119875329657E-2</v>
      </c>
      <c r="H133" s="154">
        <f t="shared" si="6"/>
        <v>1.9220000000000001E-2</v>
      </c>
    </row>
    <row r="134" spans="1:8" x14ac:dyDescent="0.3">
      <c r="A134" t="s">
        <v>21</v>
      </c>
      <c r="B134">
        <v>3601</v>
      </c>
      <c r="C134">
        <v>695</v>
      </c>
      <c r="D134">
        <v>75</v>
      </c>
      <c r="E134">
        <v>21606</v>
      </c>
      <c r="F134" s="154">
        <v>200000</v>
      </c>
      <c r="G134" s="154">
        <f t="shared" si="5"/>
        <v>0.2023049153013052</v>
      </c>
      <c r="H134" s="154">
        <f t="shared" si="6"/>
        <v>2.1854999999999999E-2</v>
      </c>
    </row>
    <row r="135" spans="1:8" x14ac:dyDescent="0.3">
      <c r="A135" t="s">
        <v>34</v>
      </c>
      <c r="B135">
        <v>3820</v>
      </c>
      <c r="C135">
        <v>697</v>
      </c>
      <c r="D135">
        <v>268</v>
      </c>
      <c r="E135">
        <v>45840</v>
      </c>
      <c r="F135" s="154">
        <v>180000</v>
      </c>
      <c r="G135" s="154">
        <f t="shared" si="5"/>
        <v>0.1043848167539267</v>
      </c>
      <c r="H135" s="154">
        <f t="shared" si="6"/>
        <v>2.6583333333333334E-2</v>
      </c>
    </row>
    <row r="136" spans="1:8" x14ac:dyDescent="0.3">
      <c r="A136" t="s">
        <v>603</v>
      </c>
      <c r="B136">
        <v>2147</v>
      </c>
      <c r="C136">
        <v>430</v>
      </c>
      <c r="D136">
        <v>393</v>
      </c>
      <c r="E136">
        <v>17176</v>
      </c>
      <c r="F136" s="154" t="s">
        <v>603</v>
      </c>
      <c r="G136" s="154">
        <f t="shared" si="5"/>
        <v>0.17291569632044715</v>
      </c>
      <c r="H136" s="154" t="s">
        <v>603</v>
      </c>
    </row>
    <row r="137" spans="1:8" x14ac:dyDescent="0.3">
      <c r="A137" t="s">
        <v>17</v>
      </c>
      <c r="B137">
        <v>4853</v>
      </c>
      <c r="C137">
        <v>837</v>
      </c>
      <c r="D137">
        <v>340</v>
      </c>
      <c r="E137">
        <v>72795</v>
      </c>
      <c r="F137" s="154">
        <v>150000</v>
      </c>
      <c r="G137" s="154">
        <f t="shared" si="5"/>
        <v>8.2835359571399134E-2</v>
      </c>
      <c r="H137" s="154">
        <f t="shared" si="6"/>
        <v>4.02E-2</v>
      </c>
    </row>
    <row r="138" spans="1:8" x14ac:dyDescent="0.3">
      <c r="A138" t="s">
        <v>34</v>
      </c>
      <c r="B138">
        <v>4934</v>
      </c>
      <c r="C138">
        <v>971</v>
      </c>
      <c r="D138">
        <v>156</v>
      </c>
      <c r="E138">
        <v>39472</v>
      </c>
      <c r="F138" s="154">
        <v>180000</v>
      </c>
      <c r="G138" s="154">
        <f t="shared" si="5"/>
        <v>0.15355188488042157</v>
      </c>
      <c r="H138" s="154">
        <f t="shared" si="6"/>
        <v>3.3672222222222221E-2</v>
      </c>
    </row>
    <row r="139" spans="1:8" x14ac:dyDescent="0.3">
      <c r="A139" t="s">
        <v>17</v>
      </c>
      <c r="B139">
        <v>2825</v>
      </c>
      <c r="C139">
        <v>535</v>
      </c>
      <c r="D139">
        <v>295</v>
      </c>
      <c r="E139">
        <v>45200</v>
      </c>
      <c r="F139" s="154">
        <v>150000</v>
      </c>
      <c r="G139" s="154">
        <f t="shared" si="5"/>
        <v>8.0862831858407078E-2</v>
      </c>
      <c r="H139" s="154">
        <f t="shared" si="6"/>
        <v>2.4366666666666665E-2</v>
      </c>
    </row>
    <row r="140" spans="1:8" x14ac:dyDescent="0.3">
      <c r="A140" t="s">
        <v>27</v>
      </c>
      <c r="B140">
        <v>3649</v>
      </c>
      <c r="C140">
        <v>215</v>
      </c>
      <c r="D140">
        <v>413</v>
      </c>
      <c r="E140">
        <v>25543</v>
      </c>
      <c r="F140" s="154">
        <v>250000</v>
      </c>
      <c r="G140" s="154">
        <f t="shared" si="5"/>
        <v>0.16744313510550835</v>
      </c>
      <c r="H140" s="154">
        <f t="shared" si="6"/>
        <v>1.7108000000000002E-2</v>
      </c>
    </row>
    <row r="141" spans="1:8" x14ac:dyDescent="0.3">
      <c r="A141" t="s">
        <v>21</v>
      </c>
      <c r="B141">
        <v>4241</v>
      </c>
      <c r="C141">
        <v>902</v>
      </c>
      <c r="D141">
        <v>47</v>
      </c>
      <c r="E141">
        <v>72097</v>
      </c>
      <c r="F141" s="154">
        <v>200000</v>
      </c>
      <c r="G141" s="154">
        <f t="shared" si="5"/>
        <v>7.198635172059864E-2</v>
      </c>
      <c r="H141" s="154">
        <f t="shared" si="6"/>
        <v>2.5950000000000001E-2</v>
      </c>
    </row>
    <row r="142" spans="1:8" x14ac:dyDescent="0.3">
      <c r="A142" t="s">
        <v>27</v>
      </c>
      <c r="B142">
        <v>602</v>
      </c>
      <c r="C142">
        <v>594</v>
      </c>
      <c r="D142">
        <v>156</v>
      </c>
      <c r="E142">
        <v>4214</v>
      </c>
      <c r="F142" s="154">
        <v>250000</v>
      </c>
      <c r="G142" s="154">
        <f t="shared" si="5"/>
        <v>0.32083531086853345</v>
      </c>
      <c r="H142" s="154">
        <f t="shared" si="6"/>
        <v>5.4079999999999996E-3</v>
      </c>
    </row>
    <row r="143" spans="1:8" x14ac:dyDescent="0.3">
      <c r="A143" t="s">
        <v>34</v>
      </c>
      <c r="B143">
        <v>3182</v>
      </c>
      <c r="C143">
        <v>559</v>
      </c>
      <c r="D143">
        <v>160</v>
      </c>
      <c r="E143">
        <v>57276</v>
      </c>
      <c r="F143" s="154">
        <v>180000</v>
      </c>
      <c r="G143" s="154">
        <f t="shared" si="5"/>
        <v>6.8108806480899509E-2</v>
      </c>
      <c r="H143" s="154">
        <f t="shared" si="6"/>
        <v>2.1672222222222221E-2</v>
      </c>
    </row>
    <row r="144" spans="1:8" x14ac:dyDescent="0.3">
      <c r="A144" t="s">
        <v>27</v>
      </c>
      <c r="B144">
        <v>3961</v>
      </c>
      <c r="C144">
        <v>761</v>
      </c>
      <c r="D144">
        <v>131</v>
      </c>
      <c r="E144">
        <v>67337</v>
      </c>
      <c r="F144" s="154">
        <v>250000</v>
      </c>
      <c r="G144" s="154">
        <f t="shared" si="5"/>
        <v>7.2070332803659209E-2</v>
      </c>
      <c r="H144" s="154">
        <f t="shared" si="6"/>
        <v>1.9411999999999999E-2</v>
      </c>
    </row>
    <row r="145" spans="1:8" x14ac:dyDescent="0.3">
      <c r="A145" t="s">
        <v>21</v>
      </c>
      <c r="B145">
        <v>400</v>
      </c>
      <c r="C145">
        <v>680</v>
      </c>
      <c r="D145">
        <v>434</v>
      </c>
      <c r="E145">
        <v>6400</v>
      </c>
      <c r="F145" s="154">
        <v>200000</v>
      </c>
      <c r="G145" s="154">
        <f t="shared" si="5"/>
        <v>0.23656250000000001</v>
      </c>
      <c r="H145" s="154">
        <f t="shared" si="6"/>
        <v>7.5700000000000003E-3</v>
      </c>
    </row>
    <row r="146" spans="1:8" x14ac:dyDescent="0.3">
      <c r="A146" t="s">
        <v>34</v>
      </c>
      <c r="B146">
        <v>4441</v>
      </c>
      <c r="C146">
        <v>511</v>
      </c>
      <c r="D146">
        <v>70</v>
      </c>
      <c r="E146">
        <v>53292</v>
      </c>
      <c r="F146" s="154">
        <v>180000</v>
      </c>
      <c r="G146" s="154">
        <f t="shared" si="5"/>
        <v>9.4235532537716729E-2</v>
      </c>
      <c r="H146" s="154">
        <f t="shared" si="6"/>
        <v>2.7900000000000001E-2</v>
      </c>
    </row>
    <row r="147" spans="1:8" x14ac:dyDescent="0.3">
      <c r="A147" t="s">
        <v>27</v>
      </c>
      <c r="B147">
        <v>1048</v>
      </c>
      <c r="C147">
        <v>374</v>
      </c>
      <c r="D147">
        <v>450</v>
      </c>
      <c r="E147">
        <v>9432</v>
      </c>
      <c r="F147" s="154">
        <v>250000</v>
      </c>
      <c r="G147" s="154">
        <f t="shared" si="5"/>
        <v>0.19847328244274809</v>
      </c>
      <c r="H147" s="154">
        <f t="shared" si="6"/>
        <v>7.4879999999999999E-3</v>
      </c>
    </row>
    <row r="148" spans="1:8" x14ac:dyDescent="0.3">
      <c r="A148" t="s">
        <v>27</v>
      </c>
      <c r="B148">
        <v>3452</v>
      </c>
      <c r="C148">
        <v>652</v>
      </c>
      <c r="D148">
        <v>442</v>
      </c>
      <c r="E148">
        <v>65588</v>
      </c>
      <c r="F148" s="154">
        <v>250000</v>
      </c>
      <c r="G148" s="154">
        <f t="shared" si="5"/>
        <v>6.9311459413307311E-2</v>
      </c>
      <c r="H148" s="154">
        <f t="shared" si="6"/>
        <v>1.8183999999999999E-2</v>
      </c>
    </row>
    <row r="149" spans="1:8" x14ac:dyDescent="0.3">
      <c r="A149" t="s">
        <v>17</v>
      </c>
      <c r="B149">
        <v>4363</v>
      </c>
      <c r="C149">
        <v>649</v>
      </c>
      <c r="D149">
        <v>140</v>
      </c>
      <c r="E149">
        <v>21815</v>
      </c>
      <c r="F149" s="154">
        <v>150000</v>
      </c>
      <c r="G149" s="154">
        <f t="shared" si="5"/>
        <v>0.23616777446710979</v>
      </c>
      <c r="H149" s="154">
        <f t="shared" si="6"/>
        <v>3.4346666666666664E-2</v>
      </c>
    </row>
    <row r="150" spans="1:8" x14ac:dyDescent="0.3">
      <c r="A150" t="s">
        <v>21</v>
      </c>
      <c r="B150">
        <v>3367</v>
      </c>
      <c r="C150">
        <v>302</v>
      </c>
      <c r="D150">
        <v>57</v>
      </c>
      <c r="E150">
        <v>63973</v>
      </c>
      <c r="F150" s="154">
        <v>200000</v>
      </c>
      <c r="G150" s="154">
        <f t="shared" si="5"/>
        <v>5.8243321401216137E-2</v>
      </c>
      <c r="H150" s="154">
        <f t="shared" si="6"/>
        <v>1.8630000000000001E-2</v>
      </c>
    </row>
    <row r="151" spans="1:8" x14ac:dyDescent="0.3">
      <c r="A151" t="s">
        <v>34</v>
      </c>
      <c r="B151">
        <v>142</v>
      </c>
      <c r="C151">
        <v>784</v>
      </c>
      <c r="D151">
        <v>183</v>
      </c>
      <c r="E151">
        <v>1704</v>
      </c>
      <c r="F151" s="154">
        <v>180000</v>
      </c>
      <c r="G151" s="154">
        <f t="shared" si="5"/>
        <v>0.6508215962441315</v>
      </c>
      <c r="H151" s="154">
        <f t="shared" si="6"/>
        <v>6.1611111111111111E-3</v>
      </c>
    </row>
    <row r="152" spans="1:8" x14ac:dyDescent="0.3">
      <c r="A152" t="s">
        <v>27</v>
      </c>
      <c r="B152">
        <v>1431</v>
      </c>
      <c r="C152">
        <v>951</v>
      </c>
      <c r="D152">
        <v>26</v>
      </c>
      <c r="E152">
        <v>8586</v>
      </c>
      <c r="F152" s="154">
        <v>250000</v>
      </c>
      <c r="G152" s="154">
        <f t="shared" si="5"/>
        <v>0.28045655718611695</v>
      </c>
      <c r="H152" s="154">
        <f t="shared" si="6"/>
        <v>9.6319999999999999E-3</v>
      </c>
    </row>
    <row r="153" spans="1:8" x14ac:dyDescent="0.3">
      <c r="A153" t="s">
        <v>603</v>
      </c>
      <c r="B153">
        <v>4771</v>
      </c>
      <c r="C153">
        <v>818</v>
      </c>
      <c r="D153">
        <v>56</v>
      </c>
      <c r="E153">
        <v>57252</v>
      </c>
      <c r="F153" s="154" t="s">
        <v>603</v>
      </c>
      <c r="G153" s="154">
        <f t="shared" si="5"/>
        <v>9.859917557465242E-2</v>
      </c>
      <c r="H153" s="154" t="s">
        <v>603</v>
      </c>
    </row>
    <row r="154" spans="1:8" x14ac:dyDescent="0.3">
      <c r="A154" t="s">
        <v>27</v>
      </c>
      <c r="B154">
        <v>1292</v>
      </c>
      <c r="C154">
        <v>626</v>
      </c>
      <c r="D154">
        <v>496</v>
      </c>
      <c r="E154">
        <v>25840</v>
      </c>
      <c r="F154" s="154">
        <v>250000</v>
      </c>
      <c r="G154" s="154">
        <f t="shared" si="5"/>
        <v>9.3421052631578946E-2</v>
      </c>
      <c r="H154" s="154">
        <f t="shared" si="6"/>
        <v>9.6559999999999997E-3</v>
      </c>
    </row>
    <row r="155" spans="1:8" x14ac:dyDescent="0.3">
      <c r="A155" t="s">
        <v>27</v>
      </c>
      <c r="B155">
        <v>53</v>
      </c>
      <c r="C155">
        <v>81</v>
      </c>
      <c r="D155">
        <v>379</v>
      </c>
      <c r="E155">
        <v>954</v>
      </c>
      <c r="F155" s="154">
        <v>250000</v>
      </c>
      <c r="G155" s="154">
        <f t="shared" si="5"/>
        <v>0.53773584905660377</v>
      </c>
      <c r="H155" s="154">
        <f t="shared" si="6"/>
        <v>2.052E-3</v>
      </c>
    </row>
    <row r="156" spans="1:8" x14ac:dyDescent="0.3">
      <c r="A156" t="s">
        <v>17</v>
      </c>
      <c r="B156">
        <v>2746</v>
      </c>
      <c r="C156">
        <v>156</v>
      </c>
      <c r="D156">
        <v>203</v>
      </c>
      <c r="E156">
        <v>32952</v>
      </c>
      <c r="F156" s="154">
        <v>150000</v>
      </c>
      <c r="G156" s="154">
        <f t="shared" si="5"/>
        <v>9.422796795338674E-2</v>
      </c>
      <c r="H156" s="154">
        <f t="shared" si="6"/>
        <v>2.07E-2</v>
      </c>
    </row>
    <row r="157" spans="1:8" x14ac:dyDescent="0.3">
      <c r="A157" t="s">
        <v>27</v>
      </c>
      <c r="B157">
        <v>929</v>
      </c>
      <c r="C157">
        <v>192</v>
      </c>
      <c r="D157">
        <v>322</v>
      </c>
      <c r="E157">
        <v>16722</v>
      </c>
      <c r="F157" s="154">
        <v>250000</v>
      </c>
      <c r="G157" s="154">
        <f t="shared" si="5"/>
        <v>8.6293505561535699E-2</v>
      </c>
      <c r="H157" s="154">
        <f t="shared" si="6"/>
        <v>5.7720000000000002E-3</v>
      </c>
    </row>
    <row r="158" spans="1:8" x14ac:dyDescent="0.3">
      <c r="A158" t="s">
        <v>603</v>
      </c>
      <c r="B158">
        <v>1963</v>
      </c>
      <c r="C158">
        <v>213</v>
      </c>
      <c r="D158">
        <v>19</v>
      </c>
      <c r="E158">
        <v>39260</v>
      </c>
      <c r="F158" s="154" t="s">
        <v>603</v>
      </c>
      <c r="G158" s="154">
        <f t="shared" si="5"/>
        <v>5.5909322465613857E-2</v>
      </c>
      <c r="H158" s="154" t="s">
        <v>603</v>
      </c>
    </row>
    <row r="159" spans="1:8" x14ac:dyDescent="0.3">
      <c r="A159" t="s">
        <v>21</v>
      </c>
      <c r="B159">
        <v>3256</v>
      </c>
      <c r="C159">
        <v>459</v>
      </c>
      <c r="D159">
        <v>266</v>
      </c>
      <c r="E159">
        <v>26048</v>
      </c>
      <c r="F159" s="154">
        <v>200000</v>
      </c>
      <c r="G159" s="154">
        <f t="shared" si="5"/>
        <v>0.15283323095823095</v>
      </c>
      <c r="H159" s="154">
        <f t="shared" si="6"/>
        <v>1.9904999999999999E-2</v>
      </c>
    </row>
    <row r="160" spans="1:8" x14ac:dyDescent="0.3">
      <c r="A160" t="s">
        <v>21</v>
      </c>
      <c r="B160">
        <v>2283</v>
      </c>
      <c r="C160">
        <v>210</v>
      </c>
      <c r="D160">
        <v>130</v>
      </c>
      <c r="E160">
        <v>22830</v>
      </c>
      <c r="F160" s="154">
        <v>200000</v>
      </c>
      <c r="G160" s="154">
        <f t="shared" si="5"/>
        <v>0.11489268506351293</v>
      </c>
      <c r="H160" s="154">
        <f t="shared" si="6"/>
        <v>1.3115E-2</v>
      </c>
    </row>
    <row r="161" spans="1:8" x14ac:dyDescent="0.3">
      <c r="A161" t="s">
        <v>603</v>
      </c>
      <c r="B161">
        <v>4158</v>
      </c>
      <c r="C161">
        <v>167</v>
      </c>
      <c r="D161">
        <v>241</v>
      </c>
      <c r="E161">
        <v>45738</v>
      </c>
      <c r="F161" s="154" t="s">
        <v>603</v>
      </c>
      <c r="G161" s="154">
        <f t="shared" si="5"/>
        <v>9.9829463465827106E-2</v>
      </c>
      <c r="H161" s="154" t="s">
        <v>603</v>
      </c>
    </row>
    <row r="162" spans="1:8" x14ac:dyDescent="0.3">
      <c r="A162" t="s">
        <v>34</v>
      </c>
      <c r="B162">
        <v>1878</v>
      </c>
      <c r="C162">
        <v>62</v>
      </c>
      <c r="D162">
        <v>179</v>
      </c>
      <c r="E162">
        <v>37560</v>
      </c>
      <c r="F162" s="154">
        <v>180000</v>
      </c>
      <c r="G162" s="154">
        <f t="shared" si="5"/>
        <v>5.6416400425985093E-2</v>
      </c>
      <c r="H162" s="154">
        <f t="shared" si="6"/>
        <v>1.1772222222222222E-2</v>
      </c>
    </row>
    <row r="163" spans="1:8" x14ac:dyDescent="0.3">
      <c r="A163" t="s">
        <v>27</v>
      </c>
      <c r="B163">
        <v>2174</v>
      </c>
      <c r="C163">
        <v>658</v>
      </c>
      <c r="D163">
        <v>15</v>
      </c>
      <c r="E163">
        <v>13044</v>
      </c>
      <c r="F163" s="154">
        <v>250000</v>
      </c>
      <c r="G163" s="154">
        <f t="shared" si="5"/>
        <v>0.21826126954921804</v>
      </c>
      <c r="H163" s="154">
        <f t="shared" si="6"/>
        <v>1.1388000000000001E-2</v>
      </c>
    </row>
    <row r="164" spans="1:8" x14ac:dyDescent="0.3">
      <c r="A164" t="s">
        <v>21</v>
      </c>
      <c r="B164">
        <v>1556</v>
      </c>
      <c r="C164">
        <v>195</v>
      </c>
      <c r="D164">
        <v>131</v>
      </c>
      <c r="E164">
        <v>9336</v>
      </c>
      <c r="F164" s="154">
        <v>200000</v>
      </c>
      <c r="G164" s="154">
        <f t="shared" si="5"/>
        <v>0.2015852613538989</v>
      </c>
      <c r="H164" s="154">
        <f t="shared" si="6"/>
        <v>9.41E-3</v>
      </c>
    </row>
    <row r="165" spans="1:8" x14ac:dyDescent="0.3">
      <c r="A165" t="s">
        <v>21</v>
      </c>
      <c r="B165">
        <v>2728</v>
      </c>
      <c r="C165">
        <v>533</v>
      </c>
      <c r="D165">
        <v>215</v>
      </c>
      <c r="E165">
        <v>40920</v>
      </c>
      <c r="F165" s="154">
        <v>200000</v>
      </c>
      <c r="G165" s="154">
        <f t="shared" si="5"/>
        <v>8.4946236559139784E-2</v>
      </c>
      <c r="H165" s="154">
        <f t="shared" si="6"/>
        <v>1.738E-2</v>
      </c>
    </row>
    <row r="166" spans="1:8" x14ac:dyDescent="0.3">
      <c r="A166" t="s">
        <v>34</v>
      </c>
      <c r="B166">
        <v>1263</v>
      </c>
      <c r="C166">
        <v>397</v>
      </c>
      <c r="D166">
        <v>357</v>
      </c>
      <c r="E166">
        <v>25260</v>
      </c>
      <c r="F166" s="154">
        <v>180000</v>
      </c>
      <c r="G166" s="154">
        <f t="shared" si="5"/>
        <v>7.984956452889945E-2</v>
      </c>
      <c r="H166" s="154">
        <f t="shared" si="6"/>
        <v>1.1205555555555555E-2</v>
      </c>
    </row>
    <row r="167" spans="1:8" x14ac:dyDescent="0.3">
      <c r="A167" t="s">
        <v>21</v>
      </c>
      <c r="B167">
        <v>2949</v>
      </c>
      <c r="C167">
        <v>476</v>
      </c>
      <c r="D167">
        <v>403</v>
      </c>
      <c r="E167">
        <v>44235</v>
      </c>
      <c r="F167" s="154">
        <v>200000</v>
      </c>
      <c r="G167" s="154">
        <f t="shared" si="5"/>
        <v>8.6537809426924378E-2</v>
      </c>
      <c r="H167" s="154">
        <f t="shared" si="6"/>
        <v>1.9140000000000001E-2</v>
      </c>
    </row>
    <row r="168" spans="1:8" x14ac:dyDescent="0.3">
      <c r="A168" t="s">
        <v>21</v>
      </c>
      <c r="B168">
        <v>3166</v>
      </c>
      <c r="C168">
        <v>90</v>
      </c>
      <c r="D168">
        <v>341</v>
      </c>
      <c r="E168">
        <v>56988</v>
      </c>
      <c r="F168" s="154">
        <v>200000</v>
      </c>
      <c r="G168" s="154">
        <f t="shared" si="5"/>
        <v>6.3118551273952411E-2</v>
      </c>
      <c r="H168" s="154">
        <f t="shared" si="6"/>
        <v>1.7985000000000001E-2</v>
      </c>
    </row>
    <row r="169" spans="1:8" x14ac:dyDescent="0.3">
      <c r="A169" t="s">
        <v>34</v>
      </c>
      <c r="B169">
        <v>1570</v>
      </c>
      <c r="C169">
        <v>187</v>
      </c>
      <c r="D169">
        <v>260</v>
      </c>
      <c r="E169">
        <v>25120</v>
      </c>
      <c r="F169" s="154">
        <v>180000</v>
      </c>
      <c r="G169" s="154">
        <f t="shared" si="5"/>
        <v>8.0294585987261149E-2</v>
      </c>
      <c r="H169" s="154">
        <f t="shared" si="6"/>
        <v>1.1205555555555555E-2</v>
      </c>
    </row>
    <row r="170" spans="1:8" x14ac:dyDescent="0.3">
      <c r="A170" t="s">
        <v>21</v>
      </c>
      <c r="B170">
        <v>4501</v>
      </c>
      <c r="C170">
        <v>375</v>
      </c>
      <c r="D170">
        <v>323</v>
      </c>
      <c r="E170">
        <v>22505</v>
      </c>
      <c r="F170" s="154">
        <v>200000</v>
      </c>
      <c r="G170" s="154">
        <f t="shared" si="5"/>
        <v>0.23101532992668297</v>
      </c>
      <c r="H170" s="154">
        <f t="shared" si="6"/>
        <v>2.5995000000000001E-2</v>
      </c>
    </row>
    <row r="171" spans="1:8" x14ac:dyDescent="0.3">
      <c r="A171" t="s">
        <v>603</v>
      </c>
      <c r="B171">
        <v>3704</v>
      </c>
      <c r="C171">
        <v>186</v>
      </c>
      <c r="D171">
        <v>458</v>
      </c>
      <c r="E171">
        <v>25928</v>
      </c>
      <c r="F171" s="154" t="s">
        <v>603</v>
      </c>
      <c r="G171" s="154">
        <f t="shared" si="5"/>
        <v>0.16769515581610614</v>
      </c>
      <c r="H171" s="154" t="s">
        <v>603</v>
      </c>
    </row>
    <row r="172" spans="1:8" x14ac:dyDescent="0.3">
      <c r="A172" t="s">
        <v>21</v>
      </c>
      <c r="B172">
        <v>3784</v>
      </c>
      <c r="C172">
        <v>808</v>
      </c>
      <c r="D172">
        <v>404</v>
      </c>
      <c r="E172">
        <v>56760</v>
      </c>
      <c r="F172" s="154">
        <v>200000</v>
      </c>
      <c r="G172" s="154">
        <f t="shared" si="5"/>
        <v>8.8019732205778717E-2</v>
      </c>
      <c r="H172" s="154">
        <f t="shared" si="6"/>
        <v>2.4979999999999999E-2</v>
      </c>
    </row>
    <row r="173" spans="1:8" x14ac:dyDescent="0.3">
      <c r="A173" t="s">
        <v>34</v>
      </c>
      <c r="B173">
        <v>3134</v>
      </c>
      <c r="C173">
        <v>888</v>
      </c>
      <c r="D173">
        <v>444</v>
      </c>
      <c r="E173">
        <v>21938</v>
      </c>
      <c r="F173" s="154">
        <v>180000</v>
      </c>
      <c r="G173" s="154">
        <f t="shared" si="5"/>
        <v>0.20357370772176134</v>
      </c>
      <c r="H173" s="154">
        <f t="shared" si="6"/>
        <v>2.481111111111111E-2</v>
      </c>
    </row>
    <row r="174" spans="1:8" x14ac:dyDescent="0.3">
      <c r="A174" t="s">
        <v>27</v>
      </c>
      <c r="B174">
        <v>4274</v>
      </c>
      <c r="C174">
        <v>340</v>
      </c>
      <c r="D174">
        <v>281</v>
      </c>
      <c r="E174">
        <v>34192</v>
      </c>
      <c r="F174" s="154">
        <v>250000</v>
      </c>
      <c r="G174" s="154">
        <f t="shared" si="5"/>
        <v>0.14316214319138981</v>
      </c>
      <c r="H174" s="154">
        <f t="shared" si="6"/>
        <v>1.958E-2</v>
      </c>
    </row>
    <row r="175" spans="1:8" x14ac:dyDescent="0.3">
      <c r="A175" t="s">
        <v>603</v>
      </c>
      <c r="B175">
        <v>2751</v>
      </c>
      <c r="C175">
        <v>33</v>
      </c>
      <c r="D175">
        <v>430</v>
      </c>
      <c r="E175">
        <v>44016</v>
      </c>
      <c r="F175" s="154" t="s">
        <v>603</v>
      </c>
      <c r="G175" s="154">
        <f t="shared" si="5"/>
        <v>7.3018902217375503E-2</v>
      </c>
      <c r="H175" s="154" t="s">
        <v>603</v>
      </c>
    </row>
    <row r="176" spans="1:8" x14ac:dyDescent="0.3">
      <c r="A176" t="s">
        <v>34</v>
      </c>
      <c r="B176">
        <v>2404</v>
      </c>
      <c r="C176">
        <v>363</v>
      </c>
      <c r="D176">
        <v>138</v>
      </c>
      <c r="E176">
        <v>19232</v>
      </c>
      <c r="F176" s="154">
        <v>180000</v>
      </c>
      <c r="G176" s="154">
        <f t="shared" si="5"/>
        <v>0.15105033277870217</v>
      </c>
      <c r="H176" s="154">
        <f>((B176+C176+D176)/F176)</f>
        <v>1.613888888888889E-2</v>
      </c>
    </row>
    <row r="177" spans="1:8" x14ac:dyDescent="0.3">
      <c r="A177" t="s">
        <v>603</v>
      </c>
      <c r="B177">
        <v>2704</v>
      </c>
      <c r="C177">
        <v>752</v>
      </c>
      <c r="D177">
        <v>153</v>
      </c>
      <c r="E177">
        <v>21632</v>
      </c>
      <c r="F177" s="154" t="s">
        <v>603</v>
      </c>
      <c r="G177" s="154">
        <f t="shared" si="5"/>
        <v>0.16683616863905326</v>
      </c>
      <c r="H177" s="154" t="s">
        <v>603</v>
      </c>
    </row>
    <row r="178" spans="1:8" x14ac:dyDescent="0.3">
      <c r="A178" t="s">
        <v>27</v>
      </c>
      <c r="B178">
        <v>4507</v>
      </c>
      <c r="C178">
        <v>217</v>
      </c>
      <c r="D178">
        <v>13</v>
      </c>
      <c r="E178">
        <v>90140</v>
      </c>
      <c r="F178" s="154">
        <v>250000</v>
      </c>
      <c r="G178" s="154">
        <f t="shared" si="5"/>
        <v>5.2551586421122697E-2</v>
      </c>
      <c r="H178" s="154">
        <f t="shared" si="6"/>
        <v>1.8948E-2</v>
      </c>
    </row>
    <row r="179" spans="1:8" x14ac:dyDescent="0.3">
      <c r="A179" t="s">
        <v>27</v>
      </c>
      <c r="B179">
        <v>1855</v>
      </c>
      <c r="C179">
        <v>200</v>
      </c>
      <c r="D179">
        <v>174</v>
      </c>
      <c r="E179">
        <v>16695</v>
      </c>
      <c r="F179" s="154">
        <v>250000</v>
      </c>
      <c r="G179" s="154">
        <f t="shared" si="5"/>
        <v>0.13351302785265048</v>
      </c>
      <c r="H179" s="154">
        <f t="shared" si="6"/>
        <v>8.9160000000000003E-3</v>
      </c>
    </row>
    <row r="180" spans="1:8" x14ac:dyDescent="0.3">
      <c r="A180" t="s">
        <v>603</v>
      </c>
      <c r="B180">
        <v>1238</v>
      </c>
      <c r="C180">
        <v>366</v>
      </c>
      <c r="D180">
        <v>444</v>
      </c>
      <c r="E180">
        <v>19808</v>
      </c>
      <c r="F180" s="154" t="s">
        <v>603</v>
      </c>
      <c r="G180" s="154">
        <f t="shared" si="5"/>
        <v>0.10339256865912763</v>
      </c>
      <c r="H180" s="154" t="s">
        <v>603</v>
      </c>
    </row>
    <row r="181" spans="1:8" x14ac:dyDescent="0.3">
      <c r="A181" t="s">
        <v>34</v>
      </c>
      <c r="B181">
        <v>1226</v>
      </c>
      <c r="C181">
        <v>119</v>
      </c>
      <c r="D181">
        <v>7</v>
      </c>
      <c r="E181">
        <v>14712</v>
      </c>
      <c r="F181" s="154">
        <v>180000</v>
      </c>
      <c r="G181" s="154">
        <f t="shared" si="5"/>
        <v>9.1897770527460579E-2</v>
      </c>
      <c r="H181" s="154">
        <f t="shared" si="6"/>
        <v>7.5111111111111108E-3</v>
      </c>
    </row>
    <row r="182" spans="1:8" x14ac:dyDescent="0.3">
      <c r="A182" t="s">
        <v>34</v>
      </c>
      <c r="B182">
        <v>4321</v>
      </c>
      <c r="C182">
        <v>874</v>
      </c>
      <c r="D182">
        <v>172</v>
      </c>
      <c r="E182">
        <v>30247</v>
      </c>
      <c r="F182" s="154">
        <v>180000</v>
      </c>
      <c r="G182" s="154">
        <f t="shared" si="5"/>
        <v>0.17743908486792079</v>
      </c>
      <c r="H182" s="154">
        <f t="shared" si="6"/>
        <v>2.9816666666666668E-2</v>
      </c>
    </row>
    <row r="183" spans="1:8" x14ac:dyDescent="0.3">
      <c r="A183" t="s">
        <v>17</v>
      </c>
      <c r="B183">
        <v>3559</v>
      </c>
      <c r="C183">
        <v>59</v>
      </c>
      <c r="D183">
        <v>289</v>
      </c>
      <c r="E183">
        <v>35590</v>
      </c>
      <c r="F183" s="154">
        <v>150000</v>
      </c>
      <c r="G183" s="154">
        <f t="shared" si="5"/>
        <v>0.10977802753582468</v>
      </c>
      <c r="H183" s="154">
        <f t="shared" si="6"/>
        <v>2.6046666666666666E-2</v>
      </c>
    </row>
    <row r="184" spans="1:8" x14ac:dyDescent="0.3">
      <c r="A184" t="s">
        <v>603</v>
      </c>
      <c r="B184">
        <v>1741</v>
      </c>
      <c r="C184">
        <v>164</v>
      </c>
      <c r="D184">
        <v>318</v>
      </c>
      <c r="E184">
        <v>8705</v>
      </c>
      <c r="F184" s="154" t="s">
        <v>603</v>
      </c>
      <c r="G184" s="154">
        <f t="shared" si="5"/>
        <v>0.25537047673750718</v>
      </c>
      <c r="H184" s="154" t="s">
        <v>603</v>
      </c>
    </row>
    <row r="185" spans="1:8" x14ac:dyDescent="0.3">
      <c r="A185" t="s">
        <v>603</v>
      </c>
      <c r="B185">
        <v>3430</v>
      </c>
      <c r="C185">
        <v>566</v>
      </c>
      <c r="D185">
        <v>164</v>
      </c>
      <c r="E185">
        <v>48020</v>
      </c>
      <c r="F185" s="154" t="s">
        <v>603</v>
      </c>
      <c r="G185" s="154">
        <f t="shared" si="5"/>
        <v>8.6630570595585168E-2</v>
      </c>
      <c r="H185" s="154" t="s">
        <v>603</v>
      </c>
    </row>
    <row r="186" spans="1:8" x14ac:dyDescent="0.3">
      <c r="A186" t="s">
        <v>603</v>
      </c>
      <c r="B186">
        <v>1950</v>
      </c>
      <c r="C186">
        <v>295</v>
      </c>
      <c r="D186">
        <v>478</v>
      </c>
      <c r="E186">
        <v>37050</v>
      </c>
      <c r="F186" s="154" t="s">
        <v>603</v>
      </c>
      <c r="G186" s="154">
        <f t="shared" si="5"/>
        <v>7.349527665317139E-2</v>
      </c>
      <c r="H186" s="154" t="s">
        <v>603</v>
      </c>
    </row>
    <row r="187" spans="1:8" x14ac:dyDescent="0.3">
      <c r="A187" t="s">
        <v>21</v>
      </c>
      <c r="B187">
        <v>1509</v>
      </c>
      <c r="C187">
        <v>88</v>
      </c>
      <c r="D187">
        <v>163</v>
      </c>
      <c r="E187">
        <v>30180</v>
      </c>
      <c r="F187" s="154">
        <v>200000</v>
      </c>
      <c r="G187" s="154">
        <f t="shared" si="5"/>
        <v>5.8316766070245198E-2</v>
      </c>
      <c r="H187" s="154">
        <f>((B187+C187+D187)/F187)</f>
        <v>8.8000000000000005E-3</v>
      </c>
    </row>
    <row r="188" spans="1:8" x14ac:dyDescent="0.3">
      <c r="A188" t="s">
        <v>603</v>
      </c>
      <c r="B188">
        <v>4799</v>
      </c>
      <c r="C188">
        <v>694</v>
      </c>
      <c r="D188">
        <v>289</v>
      </c>
      <c r="E188">
        <v>43191</v>
      </c>
      <c r="F188" s="154" t="s">
        <v>603</v>
      </c>
      <c r="G188" s="154">
        <f t="shared" si="5"/>
        <v>0.13387048227640017</v>
      </c>
      <c r="H188" s="154" t="s">
        <v>603</v>
      </c>
    </row>
    <row r="189" spans="1:8" x14ac:dyDescent="0.3">
      <c r="A189" t="s">
        <v>603</v>
      </c>
      <c r="B189">
        <v>4672</v>
      </c>
      <c r="C189">
        <v>325</v>
      </c>
      <c r="D189">
        <v>32</v>
      </c>
      <c r="E189">
        <v>88768</v>
      </c>
      <c r="F189" s="154" t="s">
        <v>603</v>
      </c>
      <c r="G189" s="154">
        <f t="shared" si="5"/>
        <v>5.6653298485940883E-2</v>
      </c>
      <c r="H189" s="154" t="s">
        <v>603</v>
      </c>
    </row>
    <row r="190" spans="1:8" x14ac:dyDescent="0.3">
      <c r="A190" t="s">
        <v>27</v>
      </c>
      <c r="B190">
        <v>80</v>
      </c>
      <c r="C190">
        <v>362</v>
      </c>
      <c r="D190">
        <v>80</v>
      </c>
      <c r="E190">
        <v>1040</v>
      </c>
      <c r="F190" s="154">
        <v>250000</v>
      </c>
      <c r="G190" s="154">
        <f t="shared" si="5"/>
        <v>0.50192307692307692</v>
      </c>
      <c r="H190" s="154">
        <f>((B190+C190+D190)/F190)</f>
        <v>2.088E-3</v>
      </c>
    </row>
    <row r="191" spans="1:8" x14ac:dyDescent="0.3">
      <c r="A191" t="s">
        <v>603</v>
      </c>
      <c r="B191">
        <v>1970</v>
      </c>
      <c r="C191">
        <v>675</v>
      </c>
      <c r="D191">
        <v>478</v>
      </c>
      <c r="E191">
        <v>9850</v>
      </c>
      <c r="F191" s="154" t="s">
        <v>603</v>
      </c>
      <c r="G191" s="154">
        <f t="shared" si="5"/>
        <v>0.31705583756345179</v>
      </c>
      <c r="H191" s="154" t="s">
        <v>603</v>
      </c>
    </row>
    <row r="192" spans="1:8" x14ac:dyDescent="0.3">
      <c r="A192" t="s">
        <v>21</v>
      </c>
      <c r="B192">
        <v>4054</v>
      </c>
      <c r="C192">
        <v>389</v>
      </c>
      <c r="D192">
        <v>493</v>
      </c>
      <c r="E192">
        <v>64864</v>
      </c>
      <c r="F192" s="154">
        <v>200000</v>
      </c>
      <c r="G192" s="154">
        <f t="shared" si="5"/>
        <v>7.6097681302417369E-2</v>
      </c>
      <c r="H192" s="154">
        <f t="shared" si="6"/>
        <v>2.4680000000000001E-2</v>
      </c>
    </row>
    <row r="193" spans="1:8" x14ac:dyDescent="0.3">
      <c r="A193" t="s">
        <v>17</v>
      </c>
      <c r="B193">
        <v>1171</v>
      </c>
      <c r="C193">
        <v>286</v>
      </c>
      <c r="D193">
        <v>231</v>
      </c>
      <c r="E193">
        <v>22249</v>
      </c>
      <c r="F193" s="154">
        <v>150000</v>
      </c>
      <c r="G193" s="154">
        <f t="shared" si="5"/>
        <v>7.5868578363072495E-2</v>
      </c>
      <c r="H193" s="154">
        <f t="shared" si="6"/>
        <v>1.1253333333333334E-2</v>
      </c>
    </row>
    <row r="194" spans="1:8" x14ac:dyDescent="0.3">
      <c r="A194" t="s">
        <v>34</v>
      </c>
      <c r="B194">
        <v>2070</v>
      </c>
      <c r="C194">
        <v>275</v>
      </c>
      <c r="D194">
        <v>386</v>
      </c>
      <c r="E194">
        <v>39330</v>
      </c>
      <c r="F194" s="154">
        <v>180000</v>
      </c>
      <c r="G194" s="154">
        <f t="shared" si="5"/>
        <v>6.9438087973557078E-2</v>
      </c>
      <c r="H194" s="154">
        <f t="shared" si="6"/>
        <v>1.5172222222222222E-2</v>
      </c>
    </row>
    <row r="195" spans="1:8" x14ac:dyDescent="0.3">
      <c r="A195" t="s">
        <v>17</v>
      </c>
      <c r="B195">
        <v>1407</v>
      </c>
      <c r="C195">
        <v>400</v>
      </c>
      <c r="D195">
        <v>351</v>
      </c>
      <c r="E195">
        <v>16884</v>
      </c>
      <c r="F195" s="154">
        <v>150000</v>
      </c>
      <c r="G195" s="154">
        <f t="shared" ref="G195:G258" si="7">((B195+C195+D195)/E195)</f>
        <v>0.12781331438047855</v>
      </c>
      <c r="H195" s="154">
        <f t="shared" ref="H195" si="8">((B195+C195+D195)/F195)</f>
        <v>1.4386666666666667E-2</v>
      </c>
    </row>
    <row r="196" spans="1:8" x14ac:dyDescent="0.3">
      <c r="A196" t="s">
        <v>603</v>
      </c>
      <c r="B196">
        <v>1094</v>
      </c>
      <c r="C196">
        <v>472</v>
      </c>
      <c r="D196">
        <v>21</v>
      </c>
      <c r="E196">
        <v>9846</v>
      </c>
      <c r="F196" s="154" t="s">
        <v>603</v>
      </c>
      <c r="G196" s="154">
        <f t="shared" si="7"/>
        <v>0.16118220597196831</v>
      </c>
      <c r="H196" s="154" t="s">
        <v>603</v>
      </c>
    </row>
    <row r="197" spans="1:8" x14ac:dyDescent="0.3">
      <c r="A197" t="s">
        <v>27</v>
      </c>
      <c r="B197">
        <v>2754</v>
      </c>
      <c r="C197">
        <v>130</v>
      </c>
      <c r="D197">
        <v>90</v>
      </c>
      <c r="E197">
        <v>22032</v>
      </c>
      <c r="F197" s="154">
        <v>250000</v>
      </c>
      <c r="G197" s="154">
        <f t="shared" si="7"/>
        <v>0.13498547567175018</v>
      </c>
      <c r="H197" s="154">
        <f t="shared" ref="H197:H256" si="9">((B197+C197+D197)/F197)</f>
        <v>1.1896E-2</v>
      </c>
    </row>
    <row r="198" spans="1:8" x14ac:dyDescent="0.3">
      <c r="A198" t="s">
        <v>17</v>
      </c>
      <c r="B198">
        <v>1076</v>
      </c>
      <c r="C198">
        <v>313</v>
      </c>
      <c r="D198">
        <v>306</v>
      </c>
      <c r="E198">
        <v>11836</v>
      </c>
      <c r="F198" s="154">
        <v>150000</v>
      </c>
      <c r="G198" s="154">
        <f t="shared" si="7"/>
        <v>0.14320716458262928</v>
      </c>
      <c r="H198" s="154">
        <f t="shared" si="9"/>
        <v>1.1299999999999999E-2</v>
      </c>
    </row>
    <row r="199" spans="1:8" x14ac:dyDescent="0.3">
      <c r="A199" t="s">
        <v>34</v>
      </c>
      <c r="B199">
        <v>4275</v>
      </c>
      <c r="C199">
        <v>680</v>
      </c>
      <c r="D199">
        <v>385</v>
      </c>
      <c r="E199">
        <v>64125</v>
      </c>
      <c r="F199" s="154">
        <v>180000</v>
      </c>
      <c r="G199" s="154">
        <f t="shared" si="7"/>
        <v>8.3274853801169585E-2</v>
      </c>
      <c r="H199" s="154">
        <f t="shared" si="9"/>
        <v>2.9666666666666668E-2</v>
      </c>
    </row>
    <row r="200" spans="1:8" x14ac:dyDescent="0.3">
      <c r="A200" t="s">
        <v>34</v>
      </c>
      <c r="B200">
        <v>1071</v>
      </c>
      <c r="C200">
        <v>519</v>
      </c>
      <c r="D200">
        <v>22</v>
      </c>
      <c r="E200">
        <v>16065</v>
      </c>
      <c r="F200" s="154">
        <v>180000</v>
      </c>
      <c r="G200" s="154">
        <f t="shared" si="7"/>
        <v>0.10034235916588857</v>
      </c>
      <c r="H200" s="154">
        <f t="shared" si="9"/>
        <v>8.9555555555555551E-3</v>
      </c>
    </row>
    <row r="201" spans="1:8" x14ac:dyDescent="0.3">
      <c r="A201" t="s">
        <v>17</v>
      </c>
      <c r="B201">
        <v>3731</v>
      </c>
      <c r="C201">
        <v>115</v>
      </c>
      <c r="D201">
        <v>135</v>
      </c>
      <c r="E201">
        <v>55965</v>
      </c>
      <c r="F201" s="154">
        <v>150000</v>
      </c>
      <c r="G201" s="154">
        <f t="shared" si="7"/>
        <v>7.1133744304476013E-2</v>
      </c>
      <c r="H201" s="154">
        <f t="shared" si="9"/>
        <v>2.6540000000000001E-2</v>
      </c>
    </row>
    <row r="202" spans="1:8" x14ac:dyDescent="0.3">
      <c r="A202" t="s">
        <v>603</v>
      </c>
      <c r="B202">
        <v>4188</v>
      </c>
      <c r="C202">
        <v>942</v>
      </c>
      <c r="D202">
        <v>118</v>
      </c>
      <c r="E202">
        <v>20940</v>
      </c>
      <c r="F202" s="154" t="s">
        <v>603</v>
      </c>
      <c r="G202" s="154">
        <f t="shared" si="7"/>
        <v>0.25062082139446035</v>
      </c>
      <c r="H202" s="154" t="s">
        <v>603</v>
      </c>
    </row>
    <row r="203" spans="1:8" x14ac:dyDescent="0.3">
      <c r="A203" t="s">
        <v>603</v>
      </c>
      <c r="B203">
        <v>3092</v>
      </c>
      <c r="C203">
        <v>106</v>
      </c>
      <c r="D203">
        <v>291</v>
      </c>
      <c r="E203">
        <v>27828</v>
      </c>
      <c r="F203" s="154" t="s">
        <v>603</v>
      </c>
      <c r="G203" s="154">
        <f t="shared" si="7"/>
        <v>0.12537731780940059</v>
      </c>
      <c r="H203" s="154" t="s">
        <v>603</v>
      </c>
    </row>
    <row r="204" spans="1:8" x14ac:dyDescent="0.3">
      <c r="A204" t="s">
        <v>27</v>
      </c>
      <c r="B204">
        <v>4712</v>
      </c>
      <c r="C204">
        <v>568</v>
      </c>
      <c r="D204">
        <v>127</v>
      </c>
      <c r="E204">
        <v>84816</v>
      </c>
      <c r="F204" s="154">
        <v>250000</v>
      </c>
      <c r="G204" s="154">
        <f t="shared" si="7"/>
        <v>6.3749764195434822E-2</v>
      </c>
      <c r="H204" s="154">
        <f t="shared" si="9"/>
        <v>2.1628000000000001E-2</v>
      </c>
    </row>
    <row r="205" spans="1:8" x14ac:dyDescent="0.3">
      <c r="A205" t="s">
        <v>34</v>
      </c>
      <c r="B205">
        <v>1121</v>
      </c>
      <c r="C205">
        <v>135</v>
      </c>
      <c r="D205">
        <v>18</v>
      </c>
      <c r="E205">
        <v>15694</v>
      </c>
      <c r="F205" s="154">
        <v>180000</v>
      </c>
      <c r="G205" s="154">
        <f t="shared" si="7"/>
        <v>8.1177520071364848E-2</v>
      </c>
      <c r="H205" s="154">
        <f t="shared" si="9"/>
        <v>7.0777777777777775E-3</v>
      </c>
    </row>
    <row r="206" spans="1:8" x14ac:dyDescent="0.3">
      <c r="A206" t="s">
        <v>34</v>
      </c>
      <c r="B206">
        <v>1108</v>
      </c>
      <c r="C206">
        <v>177</v>
      </c>
      <c r="D206">
        <v>212</v>
      </c>
      <c r="E206">
        <v>8864</v>
      </c>
      <c r="F206" s="154">
        <v>180000</v>
      </c>
      <c r="G206" s="154">
        <f t="shared" si="7"/>
        <v>0.16888537906137185</v>
      </c>
      <c r="H206" s="154">
        <f t="shared" si="9"/>
        <v>8.3166666666666667E-3</v>
      </c>
    </row>
    <row r="207" spans="1:8" x14ac:dyDescent="0.3">
      <c r="A207" t="s">
        <v>17</v>
      </c>
      <c r="B207">
        <v>562</v>
      </c>
      <c r="C207">
        <v>158</v>
      </c>
      <c r="D207">
        <v>149</v>
      </c>
      <c r="E207">
        <v>3372</v>
      </c>
      <c r="F207" s="154">
        <v>150000</v>
      </c>
      <c r="G207" s="154">
        <f t="shared" si="7"/>
        <v>0.25771055753262156</v>
      </c>
      <c r="H207" s="154">
        <f t="shared" si="9"/>
        <v>5.7933333333333335E-3</v>
      </c>
    </row>
    <row r="208" spans="1:8" x14ac:dyDescent="0.3">
      <c r="A208" t="s">
        <v>603</v>
      </c>
      <c r="B208">
        <v>3095</v>
      </c>
      <c r="C208">
        <v>39</v>
      </c>
      <c r="D208">
        <v>78</v>
      </c>
      <c r="E208">
        <v>55710</v>
      </c>
      <c r="F208" s="154" t="s">
        <v>603</v>
      </c>
      <c r="G208" s="154">
        <f t="shared" si="7"/>
        <v>5.7655717106444085E-2</v>
      </c>
      <c r="H208" s="154" t="s">
        <v>603</v>
      </c>
    </row>
    <row r="209" spans="1:8" x14ac:dyDescent="0.3">
      <c r="A209" t="s">
        <v>603</v>
      </c>
      <c r="B209">
        <v>3564</v>
      </c>
      <c r="C209">
        <v>629</v>
      </c>
      <c r="D209">
        <v>177</v>
      </c>
      <c r="E209">
        <v>60588</v>
      </c>
      <c r="F209" s="154" t="s">
        <v>603</v>
      </c>
      <c r="G209" s="154">
        <f t="shared" si="7"/>
        <v>7.2126493695121141E-2</v>
      </c>
      <c r="H209" s="154" t="s">
        <v>603</v>
      </c>
    </row>
    <row r="210" spans="1:8" x14ac:dyDescent="0.3">
      <c r="A210" t="s">
        <v>27</v>
      </c>
      <c r="B210">
        <v>780</v>
      </c>
      <c r="C210">
        <v>928</v>
      </c>
      <c r="D210">
        <v>301</v>
      </c>
      <c r="E210">
        <v>8580</v>
      </c>
      <c r="F210" s="154">
        <v>250000</v>
      </c>
      <c r="G210" s="154">
        <f t="shared" si="7"/>
        <v>0.23414918414918415</v>
      </c>
      <c r="H210" s="154">
        <f t="shared" si="9"/>
        <v>8.0359999999999997E-3</v>
      </c>
    </row>
    <row r="211" spans="1:8" x14ac:dyDescent="0.3">
      <c r="A211" t="s">
        <v>27</v>
      </c>
      <c r="B211">
        <v>4731</v>
      </c>
      <c r="C211">
        <v>173</v>
      </c>
      <c r="D211">
        <v>276</v>
      </c>
      <c r="E211">
        <v>28386</v>
      </c>
      <c r="F211" s="154">
        <v>250000</v>
      </c>
      <c r="G211" s="154">
        <f t="shared" si="7"/>
        <v>0.18248432325794406</v>
      </c>
      <c r="H211" s="154">
        <f t="shared" si="9"/>
        <v>2.0719999999999999E-2</v>
      </c>
    </row>
    <row r="212" spans="1:8" x14ac:dyDescent="0.3">
      <c r="A212" t="s">
        <v>21</v>
      </c>
      <c r="B212">
        <v>4872</v>
      </c>
      <c r="C212">
        <v>925</v>
      </c>
      <c r="D212">
        <v>176</v>
      </c>
      <c r="E212">
        <v>82824</v>
      </c>
      <c r="F212" s="154">
        <v>200000</v>
      </c>
      <c r="G212" s="154">
        <f t="shared" si="7"/>
        <v>7.2116777745580993E-2</v>
      </c>
      <c r="H212" s="154">
        <f t="shared" si="9"/>
        <v>2.9864999999999999E-2</v>
      </c>
    </row>
    <row r="213" spans="1:8" x14ac:dyDescent="0.3">
      <c r="A213" t="s">
        <v>21</v>
      </c>
      <c r="B213">
        <v>296</v>
      </c>
      <c r="C213">
        <v>60</v>
      </c>
      <c r="D213">
        <v>141</v>
      </c>
      <c r="E213">
        <v>5624</v>
      </c>
      <c r="F213" s="154">
        <v>200000</v>
      </c>
      <c r="G213" s="154">
        <f t="shared" si="7"/>
        <v>8.837126600284495E-2</v>
      </c>
      <c r="H213" s="154">
        <f t="shared" si="9"/>
        <v>2.4849999999999998E-3</v>
      </c>
    </row>
    <row r="214" spans="1:8" x14ac:dyDescent="0.3">
      <c r="A214" t="s">
        <v>34</v>
      </c>
      <c r="B214">
        <v>4126</v>
      </c>
      <c r="C214">
        <v>426</v>
      </c>
      <c r="D214">
        <v>486</v>
      </c>
      <c r="E214">
        <v>78394</v>
      </c>
      <c r="F214" s="154">
        <v>180000</v>
      </c>
      <c r="G214" s="154">
        <f t="shared" si="7"/>
        <v>6.4265122330790625E-2</v>
      </c>
      <c r="H214" s="154">
        <f t="shared" si="9"/>
        <v>2.798888888888889E-2</v>
      </c>
    </row>
    <row r="215" spans="1:8" x14ac:dyDescent="0.3">
      <c r="A215" t="s">
        <v>34</v>
      </c>
      <c r="B215">
        <v>3138</v>
      </c>
      <c r="C215">
        <v>123</v>
      </c>
      <c r="D215">
        <v>291</v>
      </c>
      <c r="E215">
        <v>28242</v>
      </c>
      <c r="F215" s="154">
        <v>180000</v>
      </c>
      <c r="G215" s="154">
        <f t="shared" si="7"/>
        <v>0.12577012959422137</v>
      </c>
      <c r="H215" s="154">
        <f t="shared" si="9"/>
        <v>1.9733333333333332E-2</v>
      </c>
    </row>
    <row r="216" spans="1:8" x14ac:dyDescent="0.3">
      <c r="A216" t="s">
        <v>17</v>
      </c>
      <c r="B216">
        <v>941</v>
      </c>
      <c r="C216">
        <v>121</v>
      </c>
      <c r="D216">
        <v>458</v>
      </c>
      <c r="E216">
        <v>14115</v>
      </c>
      <c r="F216" s="154">
        <v>150000</v>
      </c>
      <c r="G216" s="154">
        <f t="shared" si="7"/>
        <v>0.10768685795253277</v>
      </c>
      <c r="H216" s="154">
        <f t="shared" si="9"/>
        <v>1.0133333333333333E-2</v>
      </c>
    </row>
    <row r="217" spans="1:8" x14ac:dyDescent="0.3">
      <c r="A217" t="s">
        <v>27</v>
      </c>
      <c r="B217">
        <v>3452</v>
      </c>
      <c r="C217">
        <v>377</v>
      </c>
      <c r="D217">
        <v>360</v>
      </c>
      <c r="E217">
        <v>55232</v>
      </c>
      <c r="F217" s="154">
        <v>250000</v>
      </c>
      <c r="G217" s="154">
        <f t="shared" si="7"/>
        <v>7.5843713789107758E-2</v>
      </c>
      <c r="H217" s="154">
        <f t="shared" si="9"/>
        <v>1.6756E-2</v>
      </c>
    </row>
    <row r="218" spans="1:8" x14ac:dyDescent="0.3">
      <c r="A218" t="s">
        <v>27</v>
      </c>
      <c r="B218">
        <v>1813</v>
      </c>
      <c r="C218">
        <v>623</v>
      </c>
      <c r="D218">
        <v>72</v>
      </c>
      <c r="E218">
        <v>19943</v>
      </c>
      <c r="F218" s="154">
        <v>250000</v>
      </c>
      <c r="G218" s="154">
        <f t="shared" si="7"/>
        <v>0.12575841147269717</v>
      </c>
      <c r="H218" s="154">
        <f t="shared" si="9"/>
        <v>1.0031999999999999E-2</v>
      </c>
    </row>
    <row r="219" spans="1:8" x14ac:dyDescent="0.3">
      <c r="A219" t="s">
        <v>27</v>
      </c>
      <c r="B219">
        <v>904</v>
      </c>
      <c r="C219">
        <v>973</v>
      </c>
      <c r="D219">
        <v>63</v>
      </c>
      <c r="E219">
        <v>11752</v>
      </c>
      <c r="F219" s="154">
        <v>250000</v>
      </c>
      <c r="G219" s="154">
        <f t="shared" si="7"/>
        <v>0.1650782845473111</v>
      </c>
      <c r="H219" s="154">
        <f t="shared" si="9"/>
        <v>7.7600000000000004E-3</v>
      </c>
    </row>
    <row r="220" spans="1:8" x14ac:dyDescent="0.3">
      <c r="A220" t="s">
        <v>27</v>
      </c>
      <c r="B220">
        <v>3663</v>
      </c>
      <c r="C220">
        <v>17</v>
      </c>
      <c r="D220">
        <v>295</v>
      </c>
      <c r="E220">
        <v>51282</v>
      </c>
      <c r="F220" s="154">
        <v>250000</v>
      </c>
      <c r="G220" s="154">
        <f t="shared" si="7"/>
        <v>7.7512577512577507E-2</v>
      </c>
      <c r="H220" s="154">
        <f t="shared" si="9"/>
        <v>1.5900000000000001E-2</v>
      </c>
    </row>
    <row r="221" spans="1:8" x14ac:dyDescent="0.3">
      <c r="A221" t="s">
        <v>17</v>
      </c>
      <c r="B221">
        <v>3809</v>
      </c>
      <c r="C221">
        <v>273</v>
      </c>
      <c r="D221">
        <v>200</v>
      </c>
      <c r="E221">
        <v>34281</v>
      </c>
      <c r="F221" s="154">
        <v>150000</v>
      </c>
      <c r="G221" s="154">
        <f t="shared" si="7"/>
        <v>0.12490884163239112</v>
      </c>
      <c r="H221" s="154">
        <f t="shared" si="9"/>
        <v>2.8546666666666668E-2</v>
      </c>
    </row>
    <row r="222" spans="1:8" x14ac:dyDescent="0.3">
      <c r="A222" t="s">
        <v>34</v>
      </c>
      <c r="B222">
        <v>4838</v>
      </c>
      <c r="C222">
        <v>640</v>
      </c>
      <c r="D222">
        <v>128</v>
      </c>
      <c r="E222">
        <v>72570</v>
      </c>
      <c r="F222" s="154">
        <v>180000</v>
      </c>
      <c r="G222" s="154">
        <f t="shared" si="7"/>
        <v>7.7249552156538517E-2</v>
      </c>
      <c r="H222" s="154">
        <f t="shared" si="9"/>
        <v>3.1144444444444443E-2</v>
      </c>
    </row>
    <row r="223" spans="1:8" x14ac:dyDescent="0.3">
      <c r="A223" t="s">
        <v>17</v>
      </c>
      <c r="B223">
        <v>1164</v>
      </c>
      <c r="C223">
        <v>616</v>
      </c>
      <c r="D223">
        <v>324</v>
      </c>
      <c r="E223">
        <v>6984</v>
      </c>
      <c r="F223" s="154">
        <v>150000</v>
      </c>
      <c r="G223" s="154">
        <f t="shared" si="7"/>
        <v>0.30126002290950743</v>
      </c>
      <c r="H223" s="154">
        <f t="shared" si="9"/>
        <v>1.4026666666666666E-2</v>
      </c>
    </row>
    <row r="224" spans="1:8" x14ac:dyDescent="0.3">
      <c r="A224" t="s">
        <v>34</v>
      </c>
      <c r="B224">
        <v>432</v>
      </c>
      <c r="C224">
        <v>624</v>
      </c>
      <c r="D224">
        <v>123</v>
      </c>
      <c r="E224">
        <v>6912</v>
      </c>
      <c r="F224" s="154">
        <v>180000</v>
      </c>
      <c r="G224" s="154">
        <f t="shared" si="7"/>
        <v>0.17057291666666666</v>
      </c>
      <c r="H224" s="154">
        <f t="shared" si="9"/>
        <v>6.5500000000000003E-3</v>
      </c>
    </row>
    <row r="225" spans="1:8" x14ac:dyDescent="0.3">
      <c r="A225" t="s">
        <v>17</v>
      </c>
      <c r="B225">
        <v>1702</v>
      </c>
      <c r="C225">
        <v>750</v>
      </c>
      <c r="D225">
        <v>179</v>
      </c>
      <c r="E225">
        <v>34040</v>
      </c>
      <c r="F225" s="154">
        <v>150000</v>
      </c>
      <c r="G225" s="154">
        <f t="shared" si="7"/>
        <v>7.7291421856639245E-2</v>
      </c>
      <c r="H225" s="154">
        <f t="shared" si="9"/>
        <v>1.754E-2</v>
      </c>
    </row>
    <row r="226" spans="1:8" x14ac:dyDescent="0.3">
      <c r="A226" t="s">
        <v>17</v>
      </c>
      <c r="B226">
        <v>3770</v>
      </c>
      <c r="C226">
        <v>917</v>
      </c>
      <c r="D226">
        <v>129</v>
      </c>
      <c r="E226">
        <v>71630</v>
      </c>
      <c r="F226" s="154">
        <v>150000</v>
      </c>
      <c r="G226" s="154">
        <f t="shared" si="7"/>
        <v>6.7234398994834563E-2</v>
      </c>
      <c r="H226" s="154">
        <f t="shared" si="9"/>
        <v>3.2106666666666665E-2</v>
      </c>
    </row>
    <row r="227" spans="1:8" x14ac:dyDescent="0.3">
      <c r="A227" t="s">
        <v>27</v>
      </c>
      <c r="B227">
        <v>2878</v>
      </c>
      <c r="C227">
        <v>248</v>
      </c>
      <c r="D227">
        <v>416</v>
      </c>
      <c r="E227">
        <v>43170</v>
      </c>
      <c r="F227" s="154">
        <v>250000</v>
      </c>
      <c r="G227" s="154">
        <f t="shared" si="7"/>
        <v>8.2047718322909427E-2</v>
      </c>
      <c r="H227" s="154">
        <f t="shared" si="9"/>
        <v>1.4168E-2</v>
      </c>
    </row>
    <row r="228" spans="1:8" x14ac:dyDescent="0.3">
      <c r="A228" t="s">
        <v>603</v>
      </c>
      <c r="B228">
        <v>2610</v>
      </c>
      <c r="C228">
        <v>126</v>
      </c>
      <c r="D228">
        <v>288</v>
      </c>
      <c r="E228">
        <v>15660</v>
      </c>
      <c r="F228" s="154" t="s">
        <v>603</v>
      </c>
      <c r="G228" s="154">
        <f t="shared" si="7"/>
        <v>0.19310344827586207</v>
      </c>
      <c r="H228" s="154" t="s">
        <v>603</v>
      </c>
    </row>
    <row r="229" spans="1:8" x14ac:dyDescent="0.3">
      <c r="A229" t="s">
        <v>603</v>
      </c>
      <c r="B229">
        <v>4523</v>
      </c>
      <c r="C229">
        <v>61</v>
      </c>
      <c r="D229">
        <v>157</v>
      </c>
      <c r="E229">
        <v>49753</v>
      </c>
      <c r="F229" s="154" t="s">
        <v>603</v>
      </c>
      <c r="G229" s="154">
        <f t="shared" si="7"/>
        <v>9.5290736237010829E-2</v>
      </c>
      <c r="H229" s="154" t="s">
        <v>603</v>
      </c>
    </row>
    <row r="230" spans="1:8" x14ac:dyDescent="0.3">
      <c r="A230" t="s">
        <v>27</v>
      </c>
      <c r="B230">
        <v>2581</v>
      </c>
      <c r="C230">
        <v>517</v>
      </c>
      <c r="D230">
        <v>117</v>
      </c>
      <c r="E230">
        <v>23229</v>
      </c>
      <c r="F230" s="154">
        <v>250000</v>
      </c>
      <c r="G230" s="154">
        <f t="shared" si="7"/>
        <v>0.13840458048129492</v>
      </c>
      <c r="H230" s="154">
        <f t="shared" si="9"/>
        <v>1.286E-2</v>
      </c>
    </row>
    <row r="231" spans="1:8" x14ac:dyDescent="0.3">
      <c r="A231" t="s">
        <v>34</v>
      </c>
      <c r="B231">
        <v>4929</v>
      </c>
      <c r="C231">
        <v>749</v>
      </c>
      <c r="D231">
        <v>452</v>
      </c>
      <c r="E231">
        <v>93651</v>
      </c>
      <c r="F231" s="154">
        <v>180000</v>
      </c>
      <c r="G231" s="154">
        <f t="shared" si="7"/>
        <v>6.5455787978772245E-2</v>
      </c>
      <c r="H231" s="154">
        <f t="shared" si="9"/>
        <v>3.4055555555555554E-2</v>
      </c>
    </row>
    <row r="232" spans="1:8" x14ac:dyDescent="0.3">
      <c r="A232" t="s">
        <v>17</v>
      </c>
      <c r="B232">
        <v>4886</v>
      </c>
      <c r="C232">
        <v>983</v>
      </c>
      <c r="D232">
        <v>409</v>
      </c>
      <c r="E232">
        <v>43974</v>
      </c>
      <c r="F232" s="154">
        <v>150000</v>
      </c>
      <c r="G232" s="154">
        <f t="shared" si="7"/>
        <v>0.14276618001546368</v>
      </c>
      <c r="H232" s="154">
        <f t="shared" si="9"/>
        <v>4.1853333333333333E-2</v>
      </c>
    </row>
    <row r="233" spans="1:8" x14ac:dyDescent="0.3">
      <c r="A233" t="s">
        <v>34</v>
      </c>
      <c r="B233">
        <v>1792</v>
      </c>
      <c r="C233">
        <v>614</v>
      </c>
      <c r="D233">
        <v>497</v>
      </c>
      <c r="E233">
        <v>25088</v>
      </c>
      <c r="F233" s="154">
        <v>180000</v>
      </c>
      <c r="G233" s="154">
        <f t="shared" si="7"/>
        <v>0.11571269132653061</v>
      </c>
      <c r="H233" s="154">
        <f t="shared" si="9"/>
        <v>1.6127777777777779E-2</v>
      </c>
    </row>
    <row r="234" spans="1:8" x14ac:dyDescent="0.3">
      <c r="A234" t="s">
        <v>34</v>
      </c>
      <c r="B234">
        <v>985</v>
      </c>
      <c r="C234">
        <v>932</v>
      </c>
      <c r="D234">
        <v>287</v>
      </c>
      <c r="E234">
        <v>6895</v>
      </c>
      <c r="F234" s="154">
        <v>180000</v>
      </c>
      <c r="G234" s="154">
        <f t="shared" si="7"/>
        <v>0.31965192168237855</v>
      </c>
      <c r="H234" s="154">
        <f t="shared" si="9"/>
        <v>1.2244444444444445E-2</v>
      </c>
    </row>
    <row r="235" spans="1:8" x14ac:dyDescent="0.3">
      <c r="A235" t="s">
        <v>27</v>
      </c>
      <c r="B235">
        <v>2089</v>
      </c>
      <c r="C235">
        <v>476</v>
      </c>
      <c r="D235">
        <v>69</v>
      </c>
      <c r="E235">
        <v>16712</v>
      </c>
      <c r="F235" s="154">
        <v>250000</v>
      </c>
      <c r="G235" s="154">
        <f t="shared" si="7"/>
        <v>0.15761129727142173</v>
      </c>
      <c r="H235" s="154">
        <f t="shared" si="9"/>
        <v>1.0536E-2</v>
      </c>
    </row>
    <row r="236" spans="1:8" x14ac:dyDescent="0.3">
      <c r="A236" t="s">
        <v>27</v>
      </c>
      <c r="B236">
        <v>4661</v>
      </c>
      <c r="C236">
        <v>935</v>
      </c>
      <c r="D236">
        <v>433</v>
      </c>
      <c r="E236">
        <v>23305</v>
      </c>
      <c r="F236" s="154">
        <v>250000</v>
      </c>
      <c r="G236" s="154">
        <f t="shared" si="7"/>
        <v>0.25869984981763572</v>
      </c>
      <c r="H236" s="154">
        <f t="shared" si="9"/>
        <v>2.4115999999999999E-2</v>
      </c>
    </row>
    <row r="237" spans="1:8" x14ac:dyDescent="0.3">
      <c r="A237" t="s">
        <v>603</v>
      </c>
      <c r="B237">
        <v>1249</v>
      </c>
      <c r="C237">
        <v>116</v>
      </c>
      <c r="D237">
        <v>420</v>
      </c>
      <c r="E237">
        <v>8743</v>
      </c>
      <c r="F237" s="154" t="s">
        <v>603</v>
      </c>
      <c r="G237" s="154">
        <f t="shared" si="7"/>
        <v>0.20416333066453163</v>
      </c>
      <c r="H237" s="154" t="s">
        <v>603</v>
      </c>
    </row>
    <row r="238" spans="1:8" x14ac:dyDescent="0.3">
      <c r="A238" t="s">
        <v>603</v>
      </c>
      <c r="B238">
        <v>4187</v>
      </c>
      <c r="C238">
        <v>66</v>
      </c>
      <c r="D238">
        <v>31</v>
      </c>
      <c r="E238">
        <v>66992</v>
      </c>
      <c r="F238" s="154" t="s">
        <v>603</v>
      </c>
      <c r="G238" s="154">
        <f t="shared" si="7"/>
        <v>6.3947934081681396E-2</v>
      </c>
      <c r="H238" s="154" t="s">
        <v>603</v>
      </c>
    </row>
    <row r="239" spans="1:8" x14ac:dyDescent="0.3">
      <c r="A239" t="s">
        <v>27</v>
      </c>
      <c r="B239">
        <v>2946</v>
      </c>
      <c r="C239">
        <v>498</v>
      </c>
      <c r="D239">
        <v>367</v>
      </c>
      <c r="E239">
        <v>29460</v>
      </c>
      <c r="F239" s="154">
        <v>250000</v>
      </c>
      <c r="G239" s="154">
        <f t="shared" si="7"/>
        <v>0.12936184657162253</v>
      </c>
      <c r="H239" s="154">
        <f t="shared" si="9"/>
        <v>1.5244000000000001E-2</v>
      </c>
    </row>
    <row r="240" spans="1:8" x14ac:dyDescent="0.3">
      <c r="A240" t="s">
        <v>27</v>
      </c>
      <c r="B240">
        <v>1741</v>
      </c>
      <c r="C240">
        <v>831</v>
      </c>
      <c r="D240">
        <v>345</v>
      </c>
      <c r="E240">
        <v>17410</v>
      </c>
      <c r="F240" s="154">
        <v>250000</v>
      </c>
      <c r="G240" s="154">
        <f t="shared" si="7"/>
        <v>0.16754738655944859</v>
      </c>
      <c r="H240" s="154">
        <f t="shared" si="9"/>
        <v>1.1668E-2</v>
      </c>
    </row>
    <row r="241" spans="1:8" x14ac:dyDescent="0.3">
      <c r="A241" t="s">
        <v>27</v>
      </c>
      <c r="B241">
        <v>4840</v>
      </c>
      <c r="C241">
        <v>658</v>
      </c>
      <c r="D241">
        <v>211</v>
      </c>
      <c r="E241">
        <v>43560</v>
      </c>
      <c r="F241" s="154">
        <v>250000</v>
      </c>
      <c r="G241" s="154">
        <f t="shared" si="7"/>
        <v>0.13106060606060607</v>
      </c>
      <c r="H241" s="154">
        <f t="shared" si="9"/>
        <v>2.2835999999999999E-2</v>
      </c>
    </row>
    <row r="242" spans="1:8" x14ac:dyDescent="0.3">
      <c r="A242" t="s">
        <v>27</v>
      </c>
      <c r="B242">
        <v>4551</v>
      </c>
      <c r="C242">
        <v>714</v>
      </c>
      <c r="D242">
        <v>207</v>
      </c>
      <c r="E242">
        <v>68265</v>
      </c>
      <c r="F242" s="154">
        <v>250000</v>
      </c>
      <c r="G242" s="154">
        <f t="shared" si="7"/>
        <v>8.0158206987475278E-2</v>
      </c>
      <c r="H242" s="154">
        <f t="shared" si="9"/>
        <v>2.1888000000000001E-2</v>
      </c>
    </row>
    <row r="243" spans="1:8" x14ac:dyDescent="0.3">
      <c r="A243" t="s">
        <v>603</v>
      </c>
      <c r="B243">
        <v>4606</v>
      </c>
      <c r="C243">
        <v>931</v>
      </c>
      <c r="D243">
        <v>230</v>
      </c>
      <c r="E243">
        <v>92120</v>
      </c>
      <c r="F243" s="154" t="s">
        <v>603</v>
      </c>
      <c r="G243" s="154">
        <f t="shared" si="7"/>
        <v>6.2603126356925748E-2</v>
      </c>
      <c r="H243" s="154" t="s">
        <v>603</v>
      </c>
    </row>
    <row r="244" spans="1:8" x14ac:dyDescent="0.3">
      <c r="A244" t="s">
        <v>27</v>
      </c>
      <c r="B244">
        <v>3577</v>
      </c>
      <c r="C244">
        <v>596</v>
      </c>
      <c r="D244">
        <v>493</v>
      </c>
      <c r="E244">
        <v>67963</v>
      </c>
      <c r="F244" s="154">
        <v>250000</v>
      </c>
      <c r="G244" s="154">
        <f t="shared" si="7"/>
        <v>6.8655003457763777E-2</v>
      </c>
      <c r="H244" s="154">
        <f t="shared" si="9"/>
        <v>1.8664E-2</v>
      </c>
    </row>
    <row r="245" spans="1:8" x14ac:dyDescent="0.3">
      <c r="A245" t="s">
        <v>21</v>
      </c>
      <c r="B245">
        <v>1686</v>
      </c>
      <c r="C245">
        <v>904</v>
      </c>
      <c r="D245">
        <v>472</v>
      </c>
      <c r="E245">
        <v>18546</v>
      </c>
      <c r="F245" s="154">
        <v>200000</v>
      </c>
      <c r="G245" s="154">
        <f t="shared" si="7"/>
        <v>0.16510298716704411</v>
      </c>
      <c r="H245" s="154">
        <f t="shared" si="9"/>
        <v>1.5310000000000001E-2</v>
      </c>
    </row>
    <row r="246" spans="1:8" x14ac:dyDescent="0.3">
      <c r="A246" t="s">
        <v>603</v>
      </c>
      <c r="B246">
        <v>1766</v>
      </c>
      <c r="C246">
        <v>92</v>
      </c>
      <c r="D246">
        <v>424</v>
      </c>
      <c r="E246">
        <v>24724</v>
      </c>
      <c r="F246" s="154" t="s">
        <v>603</v>
      </c>
      <c r="G246" s="154">
        <f t="shared" si="7"/>
        <v>9.2298980747451867E-2</v>
      </c>
      <c r="H246" s="154" t="s">
        <v>603</v>
      </c>
    </row>
    <row r="247" spans="1:8" x14ac:dyDescent="0.3">
      <c r="A247" t="s">
        <v>27</v>
      </c>
      <c r="B247">
        <v>3099</v>
      </c>
      <c r="C247">
        <v>694</v>
      </c>
      <c r="D247">
        <v>171</v>
      </c>
      <c r="E247">
        <v>43386</v>
      </c>
      <c r="F247" s="154">
        <v>250000</v>
      </c>
      <c r="G247" s="154">
        <f t="shared" si="7"/>
        <v>9.1365878393951966E-2</v>
      </c>
      <c r="H247" s="154">
        <f t="shared" si="9"/>
        <v>1.5855999999999999E-2</v>
      </c>
    </row>
    <row r="248" spans="1:8" x14ac:dyDescent="0.3">
      <c r="A248" t="s">
        <v>27</v>
      </c>
      <c r="B248">
        <v>4285</v>
      </c>
      <c r="C248">
        <v>886</v>
      </c>
      <c r="D248">
        <v>376</v>
      </c>
      <c r="E248">
        <v>55705</v>
      </c>
      <c r="F248" s="154">
        <v>250000</v>
      </c>
      <c r="G248" s="154">
        <f t="shared" si="7"/>
        <v>9.9578134817341346E-2</v>
      </c>
      <c r="H248" s="154">
        <f t="shared" si="9"/>
        <v>2.2187999999999999E-2</v>
      </c>
    </row>
    <row r="249" spans="1:8" x14ac:dyDescent="0.3">
      <c r="A249" t="s">
        <v>34</v>
      </c>
      <c r="B249">
        <v>2076</v>
      </c>
      <c r="C249">
        <v>195</v>
      </c>
      <c r="D249">
        <v>104</v>
      </c>
      <c r="E249">
        <v>33216</v>
      </c>
      <c r="F249" s="154">
        <v>180000</v>
      </c>
      <c r="G249" s="154">
        <f t="shared" si="7"/>
        <v>7.1501685934489398E-2</v>
      </c>
      <c r="H249" s="154">
        <f t="shared" si="9"/>
        <v>1.3194444444444444E-2</v>
      </c>
    </row>
    <row r="250" spans="1:8" x14ac:dyDescent="0.3">
      <c r="A250" t="s">
        <v>17</v>
      </c>
      <c r="B250">
        <v>802</v>
      </c>
      <c r="C250">
        <v>262</v>
      </c>
      <c r="D250">
        <v>244</v>
      </c>
      <c r="E250">
        <v>14436</v>
      </c>
      <c r="F250" s="154">
        <v>150000</v>
      </c>
      <c r="G250" s="154">
        <f t="shared" si="7"/>
        <v>9.0606816292601824E-2</v>
      </c>
      <c r="H250" s="154">
        <f t="shared" si="9"/>
        <v>8.7200000000000003E-3</v>
      </c>
    </row>
    <row r="251" spans="1:8" x14ac:dyDescent="0.3">
      <c r="A251" t="s">
        <v>34</v>
      </c>
      <c r="B251">
        <v>3160</v>
      </c>
      <c r="C251">
        <v>204</v>
      </c>
      <c r="D251">
        <v>297</v>
      </c>
      <c r="E251">
        <v>44240</v>
      </c>
      <c r="F251" s="154">
        <v>180000</v>
      </c>
      <c r="G251" s="154">
        <f t="shared" si="7"/>
        <v>8.2753164556962022E-2</v>
      </c>
      <c r="H251" s="154">
        <f t="shared" si="9"/>
        <v>2.0338888888888889E-2</v>
      </c>
    </row>
    <row r="252" spans="1:8" x14ac:dyDescent="0.3">
      <c r="A252" t="s">
        <v>34</v>
      </c>
      <c r="B252">
        <v>4804</v>
      </c>
      <c r="C252">
        <v>550</v>
      </c>
      <c r="D252">
        <v>270</v>
      </c>
      <c r="E252">
        <v>28824</v>
      </c>
      <c r="F252" s="154">
        <v>180000</v>
      </c>
      <c r="G252" s="154">
        <f t="shared" si="7"/>
        <v>0.19511518179295032</v>
      </c>
      <c r="H252" s="154">
        <f t="shared" si="9"/>
        <v>3.1244444444444443E-2</v>
      </c>
    </row>
    <row r="253" spans="1:8" x14ac:dyDescent="0.3">
      <c r="A253" t="s">
        <v>27</v>
      </c>
      <c r="B253">
        <v>2647</v>
      </c>
      <c r="C253">
        <v>304</v>
      </c>
      <c r="D253">
        <v>170</v>
      </c>
      <c r="E253">
        <v>18529</v>
      </c>
      <c r="F253" s="154">
        <v>250000</v>
      </c>
      <c r="G253" s="154">
        <f t="shared" si="7"/>
        <v>0.16843866371633656</v>
      </c>
      <c r="H253" s="154">
        <f t="shared" si="9"/>
        <v>1.2484E-2</v>
      </c>
    </row>
    <row r="254" spans="1:8" x14ac:dyDescent="0.3">
      <c r="A254" t="s">
        <v>21</v>
      </c>
      <c r="B254">
        <v>4561</v>
      </c>
      <c r="C254">
        <v>51</v>
      </c>
      <c r="D254">
        <v>441</v>
      </c>
      <c r="E254">
        <v>22805</v>
      </c>
      <c r="F254" s="154">
        <v>200000</v>
      </c>
      <c r="G254" s="154">
        <f t="shared" si="7"/>
        <v>0.22157421618066214</v>
      </c>
      <c r="H254" s="154">
        <f t="shared" si="9"/>
        <v>2.5264999999999999E-2</v>
      </c>
    </row>
    <row r="255" spans="1:8" x14ac:dyDescent="0.3">
      <c r="A255" t="s">
        <v>17</v>
      </c>
      <c r="B255">
        <v>4000</v>
      </c>
      <c r="C255">
        <v>689</v>
      </c>
      <c r="D255">
        <v>488</v>
      </c>
      <c r="E255">
        <v>40000</v>
      </c>
      <c r="F255" s="154">
        <v>150000</v>
      </c>
      <c r="G255" s="154">
        <f t="shared" si="7"/>
        <v>0.12942500000000001</v>
      </c>
      <c r="H255" s="154">
        <f t="shared" si="9"/>
        <v>3.4513333333333333E-2</v>
      </c>
    </row>
    <row r="256" spans="1:8" x14ac:dyDescent="0.3">
      <c r="A256" t="s">
        <v>34</v>
      </c>
      <c r="B256">
        <v>3535</v>
      </c>
      <c r="C256">
        <v>494</v>
      </c>
      <c r="D256">
        <v>152</v>
      </c>
      <c r="E256">
        <v>53025</v>
      </c>
      <c r="F256" s="154">
        <v>180000</v>
      </c>
      <c r="G256" s="154">
        <f t="shared" si="7"/>
        <v>7.8849599245638849E-2</v>
      </c>
      <c r="H256" s="154">
        <f t="shared" si="9"/>
        <v>2.3227777777777778E-2</v>
      </c>
    </row>
    <row r="257" spans="1:8" x14ac:dyDescent="0.3">
      <c r="A257" t="s">
        <v>603</v>
      </c>
      <c r="B257">
        <v>199</v>
      </c>
      <c r="C257">
        <v>772</v>
      </c>
      <c r="D257">
        <v>400</v>
      </c>
      <c r="E257">
        <v>3582</v>
      </c>
      <c r="F257" s="154" t="s">
        <v>603</v>
      </c>
      <c r="G257" s="154">
        <f t="shared" si="7"/>
        <v>0.38274706867671693</v>
      </c>
      <c r="H257" s="154" t="s">
        <v>603</v>
      </c>
    </row>
    <row r="258" spans="1:8" x14ac:dyDescent="0.3">
      <c r="A258" t="s">
        <v>34</v>
      </c>
      <c r="B258">
        <v>4725</v>
      </c>
      <c r="C258">
        <v>400</v>
      </c>
      <c r="D258">
        <v>362</v>
      </c>
      <c r="E258">
        <v>75600</v>
      </c>
      <c r="F258" s="154">
        <v>180000</v>
      </c>
      <c r="G258" s="154">
        <f t="shared" si="7"/>
        <v>7.2579365079365077E-2</v>
      </c>
      <c r="H258" s="154">
        <f>((B258+C258+D258)/F258)</f>
        <v>3.0483333333333335E-2</v>
      </c>
    </row>
    <row r="259" spans="1:8" x14ac:dyDescent="0.3">
      <c r="A259" t="s">
        <v>603</v>
      </c>
      <c r="B259">
        <v>1272</v>
      </c>
      <c r="C259">
        <v>465</v>
      </c>
      <c r="D259">
        <v>99</v>
      </c>
      <c r="E259">
        <v>24168</v>
      </c>
      <c r="F259" s="154" t="s">
        <v>603</v>
      </c>
      <c r="G259" s="154">
        <f t="shared" ref="G259:G301" si="10">((B259+C259+D259)/E259)</f>
        <v>7.5968222442899705E-2</v>
      </c>
      <c r="H259" s="154" t="s">
        <v>603</v>
      </c>
    </row>
    <row r="260" spans="1:8" x14ac:dyDescent="0.3">
      <c r="A260" t="s">
        <v>34</v>
      </c>
      <c r="B260">
        <v>1877</v>
      </c>
      <c r="C260">
        <v>745</v>
      </c>
      <c r="D260">
        <v>225</v>
      </c>
      <c r="E260">
        <v>11262</v>
      </c>
      <c r="F260" s="154">
        <v>180000</v>
      </c>
      <c r="G260" s="154">
        <f t="shared" si="10"/>
        <v>0.25279701651571657</v>
      </c>
      <c r="H260" s="154">
        <f t="shared" ref="H260:H301" si="11">((B260+C260+D260)/F260)</f>
        <v>1.5816666666666666E-2</v>
      </c>
    </row>
    <row r="261" spans="1:8" x14ac:dyDescent="0.3">
      <c r="A261" t="s">
        <v>21</v>
      </c>
      <c r="B261">
        <v>2719</v>
      </c>
      <c r="C261">
        <v>17</v>
      </c>
      <c r="D261">
        <v>285</v>
      </c>
      <c r="E261">
        <v>40785</v>
      </c>
      <c r="F261" s="154">
        <v>200000</v>
      </c>
      <c r="G261" s="154">
        <f t="shared" si="10"/>
        <v>7.4071349760941527E-2</v>
      </c>
      <c r="H261" s="154">
        <f t="shared" si="11"/>
        <v>1.5105E-2</v>
      </c>
    </row>
    <row r="262" spans="1:8" x14ac:dyDescent="0.3">
      <c r="A262" t="s">
        <v>17</v>
      </c>
      <c r="B262">
        <v>1814</v>
      </c>
      <c r="C262">
        <v>653</v>
      </c>
      <c r="D262">
        <v>363</v>
      </c>
      <c r="E262">
        <v>25396</v>
      </c>
      <c r="F262" s="154">
        <v>150000</v>
      </c>
      <c r="G262" s="154">
        <f t="shared" si="10"/>
        <v>0.11143487163332809</v>
      </c>
      <c r="H262" s="154">
        <f t="shared" si="11"/>
        <v>1.8866666666666667E-2</v>
      </c>
    </row>
    <row r="263" spans="1:8" x14ac:dyDescent="0.3">
      <c r="A263" t="s">
        <v>34</v>
      </c>
      <c r="B263">
        <v>3929</v>
      </c>
      <c r="C263">
        <v>262</v>
      </c>
      <c r="D263">
        <v>278</v>
      </c>
      <c r="E263">
        <v>43219</v>
      </c>
      <c r="F263" s="154">
        <v>180000</v>
      </c>
      <c r="G263" s="154">
        <f t="shared" si="10"/>
        <v>0.10340359564080613</v>
      </c>
      <c r="H263" s="154">
        <f t="shared" si="11"/>
        <v>2.4827777777777778E-2</v>
      </c>
    </row>
    <row r="264" spans="1:8" x14ac:dyDescent="0.3">
      <c r="A264" t="s">
        <v>21</v>
      </c>
      <c r="B264">
        <v>1018</v>
      </c>
      <c r="C264">
        <v>447</v>
      </c>
      <c r="D264">
        <v>332</v>
      </c>
      <c r="E264">
        <v>18324</v>
      </c>
      <c r="F264" s="154">
        <v>200000</v>
      </c>
      <c r="G264" s="154">
        <f t="shared" si="10"/>
        <v>9.8068107400130972E-2</v>
      </c>
      <c r="H264" s="154">
        <f t="shared" si="11"/>
        <v>8.9849999999999999E-3</v>
      </c>
    </row>
    <row r="265" spans="1:8" x14ac:dyDescent="0.3">
      <c r="A265" t="s">
        <v>21</v>
      </c>
      <c r="B265">
        <v>3024</v>
      </c>
      <c r="C265">
        <v>925</v>
      </c>
      <c r="D265">
        <v>350</v>
      </c>
      <c r="E265">
        <v>24192</v>
      </c>
      <c r="F265" s="154">
        <v>200000</v>
      </c>
      <c r="G265" s="154">
        <f t="shared" si="10"/>
        <v>0.17770337301587302</v>
      </c>
      <c r="H265" s="154">
        <f t="shared" si="11"/>
        <v>2.1495E-2</v>
      </c>
    </row>
    <row r="266" spans="1:8" x14ac:dyDescent="0.3">
      <c r="A266" t="s">
        <v>21</v>
      </c>
      <c r="B266">
        <v>4739</v>
      </c>
      <c r="C266">
        <v>527</v>
      </c>
      <c r="D266">
        <v>135</v>
      </c>
      <c r="E266">
        <v>61607</v>
      </c>
      <c r="F266" s="154">
        <v>200000</v>
      </c>
      <c r="G266" s="154">
        <f t="shared" si="10"/>
        <v>8.7668609086629767E-2</v>
      </c>
      <c r="H266" s="154">
        <f t="shared" si="11"/>
        <v>2.7005000000000001E-2</v>
      </c>
    </row>
    <row r="267" spans="1:8" x14ac:dyDescent="0.3">
      <c r="A267" t="s">
        <v>34</v>
      </c>
      <c r="B267">
        <v>4663</v>
      </c>
      <c r="C267">
        <v>145</v>
      </c>
      <c r="D267">
        <v>225</v>
      </c>
      <c r="E267">
        <v>69945</v>
      </c>
      <c r="F267" s="154">
        <v>180000</v>
      </c>
      <c r="G267" s="154">
        <f t="shared" si="10"/>
        <v>7.1956537279290869E-2</v>
      </c>
      <c r="H267" s="154">
        <f t="shared" si="11"/>
        <v>2.796111111111111E-2</v>
      </c>
    </row>
    <row r="268" spans="1:8" x14ac:dyDescent="0.3">
      <c r="A268" t="s">
        <v>34</v>
      </c>
      <c r="B268">
        <v>947</v>
      </c>
      <c r="C268">
        <v>338</v>
      </c>
      <c r="D268">
        <v>350</v>
      </c>
      <c r="E268">
        <v>10417</v>
      </c>
      <c r="F268" s="154">
        <v>180000</v>
      </c>
      <c r="G268" s="154">
        <f t="shared" si="10"/>
        <v>0.1569549774407219</v>
      </c>
      <c r="H268" s="154">
        <f t="shared" si="11"/>
        <v>9.0833333333333339E-3</v>
      </c>
    </row>
    <row r="269" spans="1:8" x14ac:dyDescent="0.3">
      <c r="A269" t="s">
        <v>17</v>
      </c>
      <c r="B269">
        <v>498</v>
      </c>
      <c r="C269">
        <v>38</v>
      </c>
      <c r="D269">
        <v>42</v>
      </c>
      <c r="E269">
        <v>4482</v>
      </c>
      <c r="F269" s="154">
        <v>150000</v>
      </c>
      <c r="G269" s="154">
        <f t="shared" si="10"/>
        <v>0.12896028558679162</v>
      </c>
      <c r="H269" s="154">
        <f t="shared" si="11"/>
        <v>3.8533333333333332E-3</v>
      </c>
    </row>
    <row r="270" spans="1:8" x14ac:dyDescent="0.3">
      <c r="A270" t="s">
        <v>34</v>
      </c>
      <c r="B270">
        <v>3592</v>
      </c>
      <c r="C270">
        <v>911</v>
      </c>
      <c r="D270">
        <v>375</v>
      </c>
      <c r="E270">
        <v>50288</v>
      </c>
      <c r="F270" s="154">
        <v>180000</v>
      </c>
      <c r="G270" s="154">
        <f t="shared" si="10"/>
        <v>9.7001272669424113E-2</v>
      </c>
      <c r="H270" s="154">
        <f t="shared" si="11"/>
        <v>2.7099999999999999E-2</v>
      </c>
    </row>
    <row r="271" spans="1:8" x14ac:dyDescent="0.3">
      <c r="A271" t="s">
        <v>21</v>
      </c>
      <c r="B271">
        <v>4518</v>
      </c>
      <c r="C271">
        <v>285</v>
      </c>
      <c r="D271">
        <v>383</v>
      </c>
      <c r="E271">
        <v>67770</v>
      </c>
      <c r="F271" s="154">
        <v>200000</v>
      </c>
      <c r="G271" s="154">
        <f t="shared" si="10"/>
        <v>7.6523535487678915E-2</v>
      </c>
      <c r="H271" s="154">
        <f t="shared" si="11"/>
        <v>2.5930000000000002E-2</v>
      </c>
    </row>
    <row r="272" spans="1:8" x14ac:dyDescent="0.3">
      <c r="A272" t="s">
        <v>27</v>
      </c>
      <c r="B272">
        <v>1488</v>
      </c>
      <c r="C272">
        <v>417</v>
      </c>
      <c r="D272">
        <v>168</v>
      </c>
      <c r="E272">
        <v>19344</v>
      </c>
      <c r="F272" s="154">
        <v>250000</v>
      </c>
      <c r="G272" s="154">
        <f t="shared" si="10"/>
        <v>0.1071650124069479</v>
      </c>
      <c r="H272" s="154">
        <f t="shared" si="11"/>
        <v>8.2920000000000008E-3</v>
      </c>
    </row>
    <row r="273" spans="1:8" x14ac:dyDescent="0.3">
      <c r="A273" t="s">
        <v>603</v>
      </c>
      <c r="B273">
        <v>2103</v>
      </c>
      <c r="C273">
        <v>892</v>
      </c>
      <c r="D273">
        <v>103</v>
      </c>
      <c r="E273">
        <v>39957</v>
      </c>
      <c r="F273" s="154" t="s">
        <v>603</v>
      </c>
      <c r="G273" s="154">
        <f t="shared" si="10"/>
        <v>7.7533348349475686E-2</v>
      </c>
      <c r="H273" s="154" t="s">
        <v>603</v>
      </c>
    </row>
    <row r="274" spans="1:8" x14ac:dyDescent="0.3">
      <c r="A274" t="s">
        <v>34</v>
      </c>
      <c r="B274">
        <v>302</v>
      </c>
      <c r="C274">
        <v>47</v>
      </c>
      <c r="D274">
        <v>430</v>
      </c>
      <c r="E274">
        <v>5738</v>
      </c>
      <c r="F274" s="154">
        <v>180000</v>
      </c>
      <c r="G274" s="154">
        <f t="shared" si="10"/>
        <v>0.13576158940397351</v>
      </c>
      <c r="H274" s="154">
        <f t="shared" si="11"/>
        <v>4.3277777777777776E-3</v>
      </c>
    </row>
    <row r="275" spans="1:8" x14ac:dyDescent="0.3">
      <c r="A275" t="s">
        <v>17</v>
      </c>
      <c r="B275">
        <v>1762</v>
      </c>
      <c r="C275">
        <v>405</v>
      </c>
      <c r="D275">
        <v>423</v>
      </c>
      <c r="E275">
        <v>22906</v>
      </c>
      <c r="F275" s="154">
        <v>150000</v>
      </c>
      <c r="G275" s="154">
        <f t="shared" si="10"/>
        <v>0.11307081114118571</v>
      </c>
      <c r="H275" s="154">
        <f t="shared" si="11"/>
        <v>1.7266666666666666E-2</v>
      </c>
    </row>
    <row r="276" spans="1:8" x14ac:dyDescent="0.3">
      <c r="A276" t="s">
        <v>21</v>
      </c>
      <c r="B276">
        <v>3090</v>
      </c>
      <c r="C276">
        <v>697</v>
      </c>
      <c r="D276">
        <v>164</v>
      </c>
      <c r="E276">
        <v>49440</v>
      </c>
      <c r="F276" s="154">
        <v>200000</v>
      </c>
      <c r="G276" s="154">
        <f t="shared" si="10"/>
        <v>7.9915048543689318E-2</v>
      </c>
      <c r="H276" s="154">
        <f t="shared" si="11"/>
        <v>1.9755000000000002E-2</v>
      </c>
    </row>
    <row r="277" spans="1:8" x14ac:dyDescent="0.3">
      <c r="A277" t="s">
        <v>34</v>
      </c>
      <c r="B277">
        <v>2072</v>
      </c>
      <c r="C277">
        <v>532</v>
      </c>
      <c r="D277">
        <v>71</v>
      </c>
      <c r="E277">
        <v>37296</v>
      </c>
      <c r="F277" s="154">
        <v>180000</v>
      </c>
      <c r="G277" s="154">
        <f t="shared" si="10"/>
        <v>7.172350922350923E-2</v>
      </c>
      <c r="H277" s="154">
        <f t="shared" si="11"/>
        <v>1.4861111111111111E-2</v>
      </c>
    </row>
    <row r="278" spans="1:8" x14ac:dyDescent="0.3">
      <c r="A278" t="s">
        <v>17</v>
      </c>
      <c r="B278">
        <v>4054</v>
      </c>
      <c r="C278">
        <v>488</v>
      </c>
      <c r="D278">
        <v>373</v>
      </c>
      <c r="E278">
        <v>77026</v>
      </c>
      <c r="F278" s="154">
        <v>150000</v>
      </c>
      <c r="G278" s="154">
        <f t="shared" si="10"/>
        <v>6.3809622724794221E-2</v>
      </c>
      <c r="H278" s="154">
        <f t="shared" si="11"/>
        <v>3.2766666666666666E-2</v>
      </c>
    </row>
    <row r="279" spans="1:8" x14ac:dyDescent="0.3">
      <c r="A279" t="s">
        <v>34</v>
      </c>
      <c r="B279">
        <v>2166</v>
      </c>
      <c r="C279">
        <v>354</v>
      </c>
      <c r="D279">
        <v>117</v>
      </c>
      <c r="E279">
        <v>10830</v>
      </c>
      <c r="F279" s="154">
        <v>180000</v>
      </c>
      <c r="G279" s="154">
        <f t="shared" si="10"/>
        <v>0.24349030470914126</v>
      </c>
      <c r="H279" s="154">
        <f t="shared" si="11"/>
        <v>1.465E-2</v>
      </c>
    </row>
    <row r="280" spans="1:8" x14ac:dyDescent="0.3">
      <c r="A280" t="s">
        <v>603</v>
      </c>
      <c r="B280">
        <v>4453</v>
      </c>
      <c r="C280">
        <v>111</v>
      </c>
      <c r="D280">
        <v>420</v>
      </c>
      <c r="E280">
        <v>31171</v>
      </c>
      <c r="F280" s="154" t="s">
        <v>603</v>
      </c>
      <c r="G280" s="154">
        <f t="shared" si="10"/>
        <v>0.15989220750056141</v>
      </c>
      <c r="H280" s="154" t="s">
        <v>603</v>
      </c>
    </row>
    <row r="281" spans="1:8" x14ac:dyDescent="0.3">
      <c r="A281" t="s">
        <v>34</v>
      </c>
      <c r="B281">
        <v>2936</v>
      </c>
      <c r="C281">
        <v>439</v>
      </c>
      <c r="D281">
        <v>44</v>
      </c>
      <c r="E281">
        <v>38168</v>
      </c>
      <c r="F281" s="154">
        <v>180000</v>
      </c>
      <c r="G281" s="154">
        <f t="shared" si="10"/>
        <v>8.9577656675749323E-2</v>
      </c>
      <c r="H281" s="154">
        <f t="shared" si="11"/>
        <v>1.8994444444444446E-2</v>
      </c>
    </row>
    <row r="282" spans="1:8" x14ac:dyDescent="0.3">
      <c r="A282" t="s">
        <v>34</v>
      </c>
      <c r="B282">
        <v>2120</v>
      </c>
      <c r="C282">
        <v>38</v>
      </c>
      <c r="D282">
        <v>212</v>
      </c>
      <c r="E282">
        <v>12720</v>
      </c>
      <c r="F282" s="154">
        <v>180000</v>
      </c>
      <c r="G282" s="154">
        <f t="shared" si="10"/>
        <v>0.18632075471698112</v>
      </c>
      <c r="H282" s="154">
        <f t="shared" si="11"/>
        <v>1.3166666666666667E-2</v>
      </c>
    </row>
    <row r="283" spans="1:8" x14ac:dyDescent="0.3">
      <c r="A283" t="s">
        <v>34</v>
      </c>
      <c r="B283">
        <v>954</v>
      </c>
      <c r="C283">
        <v>324</v>
      </c>
      <c r="D283">
        <v>288</v>
      </c>
      <c r="E283">
        <v>19080</v>
      </c>
      <c r="F283" s="154">
        <v>180000</v>
      </c>
      <c r="G283" s="154">
        <f t="shared" si="10"/>
        <v>8.2075471698113203E-2</v>
      </c>
      <c r="H283" s="154">
        <f t="shared" si="11"/>
        <v>8.6999999999999994E-3</v>
      </c>
    </row>
    <row r="284" spans="1:8" x14ac:dyDescent="0.3">
      <c r="A284" t="s">
        <v>21</v>
      </c>
      <c r="B284">
        <v>2603</v>
      </c>
      <c r="C284">
        <v>690</v>
      </c>
      <c r="D284">
        <v>205</v>
      </c>
      <c r="E284">
        <v>13015</v>
      </c>
      <c r="F284" s="154">
        <v>200000</v>
      </c>
      <c r="G284" s="154">
        <f t="shared" si="10"/>
        <v>0.26876680752977333</v>
      </c>
      <c r="H284" s="154">
        <f t="shared" si="11"/>
        <v>1.7489999999999999E-2</v>
      </c>
    </row>
    <row r="285" spans="1:8" x14ac:dyDescent="0.3">
      <c r="A285" t="s">
        <v>603</v>
      </c>
      <c r="B285">
        <v>1082</v>
      </c>
      <c r="C285">
        <v>209</v>
      </c>
      <c r="D285">
        <v>484</v>
      </c>
      <c r="E285">
        <v>19476</v>
      </c>
      <c r="F285" s="154" t="s">
        <v>603</v>
      </c>
      <c r="G285" s="154">
        <f t="shared" si="10"/>
        <v>9.1137810638734856E-2</v>
      </c>
      <c r="H285" s="154" t="s">
        <v>603</v>
      </c>
    </row>
    <row r="286" spans="1:8" x14ac:dyDescent="0.3">
      <c r="A286" t="s">
        <v>17</v>
      </c>
      <c r="B286">
        <v>3888</v>
      </c>
      <c r="C286">
        <v>604</v>
      </c>
      <c r="D286">
        <v>128</v>
      </c>
      <c r="E286">
        <v>77760</v>
      </c>
      <c r="F286" s="154">
        <v>150000</v>
      </c>
      <c r="G286" s="154">
        <f t="shared" si="10"/>
        <v>5.941358024691358E-2</v>
      </c>
      <c r="H286" s="154">
        <f t="shared" si="11"/>
        <v>3.0800000000000001E-2</v>
      </c>
    </row>
    <row r="287" spans="1:8" x14ac:dyDescent="0.3">
      <c r="A287" t="s">
        <v>17</v>
      </c>
      <c r="B287">
        <v>736</v>
      </c>
      <c r="C287">
        <v>771</v>
      </c>
      <c r="D287">
        <v>225</v>
      </c>
      <c r="E287">
        <v>5152</v>
      </c>
      <c r="F287" s="154">
        <v>150000</v>
      </c>
      <c r="G287" s="154">
        <f t="shared" si="10"/>
        <v>0.33618012422360249</v>
      </c>
      <c r="H287" s="154">
        <f t="shared" si="11"/>
        <v>1.1546666666666667E-2</v>
      </c>
    </row>
    <row r="288" spans="1:8" x14ac:dyDescent="0.3">
      <c r="A288" t="s">
        <v>17</v>
      </c>
      <c r="B288">
        <v>3000</v>
      </c>
      <c r="C288">
        <v>382</v>
      </c>
      <c r="D288">
        <v>325</v>
      </c>
      <c r="E288">
        <v>36000</v>
      </c>
      <c r="F288" s="154">
        <v>150000</v>
      </c>
      <c r="G288" s="154">
        <f t="shared" si="10"/>
        <v>0.10297222222222223</v>
      </c>
      <c r="H288" s="154">
        <f t="shared" si="11"/>
        <v>2.4713333333333334E-2</v>
      </c>
    </row>
    <row r="289" spans="1:8" x14ac:dyDescent="0.3">
      <c r="A289" t="s">
        <v>17</v>
      </c>
      <c r="B289">
        <v>4782</v>
      </c>
      <c r="C289">
        <v>721</v>
      </c>
      <c r="D289">
        <v>82</v>
      </c>
      <c r="E289">
        <v>86076</v>
      </c>
      <c r="F289" s="154">
        <v>150000</v>
      </c>
      <c r="G289" s="154">
        <f t="shared" si="10"/>
        <v>6.4884520656164318E-2</v>
      </c>
      <c r="H289" s="154">
        <f t="shared" si="11"/>
        <v>3.7233333333333334E-2</v>
      </c>
    </row>
    <row r="290" spans="1:8" x14ac:dyDescent="0.3">
      <c r="A290" t="s">
        <v>21</v>
      </c>
      <c r="B290">
        <v>2120</v>
      </c>
      <c r="C290">
        <v>158</v>
      </c>
      <c r="D290">
        <v>488</v>
      </c>
      <c r="E290">
        <v>12720</v>
      </c>
      <c r="F290" s="154">
        <v>200000</v>
      </c>
      <c r="G290" s="154">
        <f t="shared" si="10"/>
        <v>0.21745283018867925</v>
      </c>
      <c r="H290" s="154">
        <f t="shared" si="11"/>
        <v>1.383E-2</v>
      </c>
    </row>
    <row r="291" spans="1:8" x14ac:dyDescent="0.3">
      <c r="A291" t="s">
        <v>34</v>
      </c>
      <c r="B291">
        <v>1575</v>
      </c>
      <c r="C291">
        <v>771</v>
      </c>
      <c r="D291">
        <v>486</v>
      </c>
      <c r="E291">
        <v>25200</v>
      </c>
      <c r="F291" s="154">
        <v>180000</v>
      </c>
      <c r="G291" s="154">
        <f t="shared" si="10"/>
        <v>0.11238095238095239</v>
      </c>
      <c r="H291" s="154">
        <f t="shared" si="11"/>
        <v>1.5733333333333332E-2</v>
      </c>
    </row>
    <row r="292" spans="1:8" x14ac:dyDescent="0.3">
      <c r="A292" t="s">
        <v>17</v>
      </c>
      <c r="B292">
        <v>1461</v>
      </c>
      <c r="C292">
        <v>184</v>
      </c>
      <c r="D292">
        <v>344</v>
      </c>
      <c r="E292">
        <v>21915</v>
      </c>
      <c r="F292" s="154">
        <v>150000</v>
      </c>
      <c r="G292" s="154">
        <f t="shared" si="10"/>
        <v>9.0759753593429152E-2</v>
      </c>
      <c r="H292" s="154">
        <f t="shared" si="11"/>
        <v>1.3259999999999999E-2</v>
      </c>
    </row>
    <row r="293" spans="1:8" x14ac:dyDescent="0.3">
      <c r="A293" t="s">
        <v>27</v>
      </c>
      <c r="B293">
        <v>4303</v>
      </c>
      <c r="C293">
        <v>451</v>
      </c>
      <c r="D293">
        <v>286</v>
      </c>
      <c r="E293">
        <v>86060</v>
      </c>
      <c r="F293" s="154">
        <v>250000</v>
      </c>
      <c r="G293" s="154">
        <f t="shared" si="10"/>
        <v>5.8563792702765516E-2</v>
      </c>
      <c r="H293" s="154">
        <f t="shared" si="11"/>
        <v>2.0160000000000001E-2</v>
      </c>
    </row>
    <row r="294" spans="1:8" x14ac:dyDescent="0.3">
      <c r="A294" t="s">
        <v>603</v>
      </c>
      <c r="B294">
        <v>84</v>
      </c>
      <c r="C294">
        <v>897</v>
      </c>
      <c r="D294">
        <v>85</v>
      </c>
      <c r="E294">
        <v>588</v>
      </c>
      <c r="F294" s="154" t="s">
        <v>603</v>
      </c>
      <c r="G294" s="154">
        <f t="shared" si="10"/>
        <v>1.8129251700680271</v>
      </c>
      <c r="H294" s="154" t="s">
        <v>603</v>
      </c>
    </row>
    <row r="295" spans="1:8" x14ac:dyDescent="0.3">
      <c r="A295" t="s">
        <v>27</v>
      </c>
      <c r="B295">
        <v>4450</v>
      </c>
      <c r="C295">
        <v>983</v>
      </c>
      <c r="D295">
        <v>143</v>
      </c>
      <c r="E295">
        <v>75650</v>
      </c>
      <c r="F295" s="154">
        <v>250000</v>
      </c>
      <c r="G295" s="154">
        <f t="shared" si="10"/>
        <v>7.3707865168539333E-2</v>
      </c>
      <c r="H295" s="154">
        <f>((B295+C295+D295)/F295)</f>
        <v>2.2304000000000001E-2</v>
      </c>
    </row>
    <row r="296" spans="1:8" x14ac:dyDescent="0.3">
      <c r="A296" t="s">
        <v>603</v>
      </c>
      <c r="B296">
        <v>804</v>
      </c>
      <c r="C296">
        <v>639</v>
      </c>
      <c r="D296">
        <v>43</v>
      </c>
      <c r="E296">
        <v>4020</v>
      </c>
      <c r="F296" s="154" t="s">
        <v>603</v>
      </c>
      <c r="G296" s="154">
        <f t="shared" si="10"/>
        <v>0.36965174129353234</v>
      </c>
      <c r="H296" s="154" t="s">
        <v>603</v>
      </c>
    </row>
    <row r="297" spans="1:8" x14ac:dyDescent="0.3">
      <c r="A297" t="s">
        <v>17</v>
      </c>
      <c r="B297">
        <v>3711</v>
      </c>
      <c r="C297">
        <v>352</v>
      </c>
      <c r="D297">
        <v>290</v>
      </c>
      <c r="E297">
        <v>48243</v>
      </c>
      <c r="F297" s="154">
        <v>150000</v>
      </c>
      <c r="G297" s="154">
        <f t="shared" si="10"/>
        <v>9.023070704558174E-2</v>
      </c>
      <c r="H297" s="154" t="s">
        <v>603</v>
      </c>
    </row>
    <row r="298" spans="1:8" x14ac:dyDescent="0.3">
      <c r="A298" t="s">
        <v>21</v>
      </c>
      <c r="B298">
        <v>2291</v>
      </c>
      <c r="C298">
        <v>78</v>
      </c>
      <c r="D298">
        <v>485</v>
      </c>
      <c r="E298">
        <v>18328</v>
      </c>
      <c r="F298" s="154">
        <v>200000</v>
      </c>
      <c r="G298" s="154">
        <f t="shared" si="10"/>
        <v>0.15571802706241816</v>
      </c>
      <c r="H298" s="154">
        <f t="shared" si="11"/>
        <v>1.427E-2</v>
      </c>
    </row>
    <row r="299" spans="1:8" x14ac:dyDescent="0.3">
      <c r="A299" t="s">
        <v>17</v>
      </c>
      <c r="B299">
        <v>4419</v>
      </c>
      <c r="C299">
        <v>236</v>
      </c>
      <c r="D299">
        <v>369</v>
      </c>
      <c r="E299">
        <v>44190</v>
      </c>
      <c r="F299" s="154">
        <v>150000</v>
      </c>
      <c r="G299" s="154">
        <f t="shared" si="10"/>
        <v>0.11369088028965829</v>
      </c>
      <c r="H299" s="154">
        <f t="shared" si="11"/>
        <v>3.3493333333333333E-2</v>
      </c>
    </row>
    <row r="300" spans="1:8" x14ac:dyDescent="0.3">
      <c r="A300" t="s">
        <v>27</v>
      </c>
      <c r="B300">
        <v>4182</v>
      </c>
      <c r="C300">
        <v>640</v>
      </c>
      <c r="D300">
        <v>240</v>
      </c>
      <c r="E300">
        <v>50184</v>
      </c>
      <c r="F300" s="154">
        <v>250000</v>
      </c>
      <c r="G300" s="154">
        <f t="shared" si="10"/>
        <v>0.10086880280567512</v>
      </c>
      <c r="H300" s="154">
        <f t="shared" si="11"/>
        <v>2.0247999999999999E-2</v>
      </c>
    </row>
    <row r="301" spans="1:8" x14ac:dyDescent="0.3">
      <c r="A301" t="s">
        <v>27</v>
      </c>
      <c r="B301">
        <v>4332</v>
      </c>
      <c r="C301">
        <v>771</v>
      </c>
      <c r="D301">
        <v>219</v>
      </c>
      <c r="E301">
        <v>60648</v>
      </c>
      <c r="F301" s="154">
        <v>250000</v>
      </c>
      <c r="G301" s="154">
        <f t="shared" si="10"/>
        <v>8.7752275425405618E-2</v>
      </c>
      <c r="H301" s="154">
        <f t="shared" si="11"/>
        <v>2.1288000000000001E-2</v>
      </c>
    </row>
  </sheetData>
  <pageMargins left="0.7" right="0.7" top="0.75" bottom="0.75" header="0.3" footer="0.3"/>
  <ignoredErrors>
    <ignoredError sqref="H11 G9:H9" calculatedColumn="1"/>
  </ignoredErrors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261D-E055-4FB4-91F2-B62CF8E9B6BF}">
  <sheetPr>
    <tabColor theme="8" tint="0.39997558519241921"/>
  </sheetPr>
  <dimension ref="A1:K201"/>
  <sheetViews>
    <sheetView zoomScale="94" workbookViewId="0">
      <selection activeCell="D2" sqref="D2"/>
    </sheetView>
  </sheetViews>
  <sheetFormatPr defaultRowHeight="14.4" x14ac:dyDescent="0.3"/>
  <cols>
    <col min="1" max="1" width="17.33203125" customWidth="1"/>
    <col min="2" max="2" width="15.5546875" customWidth="1"/>
    <col min="3" max="3" width="11.33203125" customWidth="1"/>
    <col min="4" max="4" width="20.44140625" customWidth="1"/>
    <col min="6" max="6" width="14.77734375" bestFit="1" customWidth="1"/>
    <col min="7" max="7" width="23.44140625" bestFit="1" customWidth="1"/>
  </cols>
  <sheetData>
    <row r="1" spans="1:11" x14ac:dyDescent="0.3">
      <c r="A1" t="s">
        <v>12</v>
      </c>
      <c r="B1" t="s">
        <v>548</v>
      </c>
      <c r="C1" t="s">
        <v>549</v>
      </c>
      <c r="D1" t="s">
        <v>690</v>
      </c>
      <c r="E1" s="14"/>
    </row>
    <row r="2" spans="1:11" x14ac:dyDescent="0.3">
      <c r="A2" t="s">
        <v>17</v>
      </c>
      <c r="B2">
        <v>1135</v>
      </c>
      <c r="C2">
        <v>88</v>
      </c>
      <c r="D2">
        <f>(B2-C2)</f>
        <v>1047</v>
      </c>
      <c r="F2" s="45" t="s">
        <v>12</v>
      </c>
      <c r="G2" t="s">
        <v>691</v>
      </c>
    </row>
    <row r="3" spans="1:11" x14ac:dyDescent="0.3">
      <c r="A3" t="s">
        <v>21</v>
      </c>
      <c r="B3">
        <v>1312</v>
      </c>
      <c r="C3">
        <v>310</v>
      </c>
      <c r="D3">
        <f t="shared" ref="D3:D66" si="0">(B3-C3)</f>
        <v>1002</v>
      </c>
      <c r="F3" s="46" t="s">
        <v>34</v>
      </c>
      <c r="G3">
        <v>56149</v>
      </c>
    </row>
    <row r="4" spans="1:11" x14ac:dyDescent="0.3">
      <c r="A4" t="s">
        <v>27</v>
      </c>
      <c r="B4">
        <v>584</v>
      </c>
      <c r="C4">
        <v>169</v>
      </c>
      <c r="D4">
        <f t="shared" si="0"/>
        <v>415</v>
      </c>
      <c r="F4" s="46" t="s">
        <v>21</v>
      </c>
      <c r="G4">
        <v>34035</v>
      </c>
    </row>
    <row r="5" spans="1:11" x14ac:dyDescent="0.3">
      <c r="A5" t="s">
        <v>34</v>
      </c>
      <c r="B5">
        <v>1535</v>
      </c>
      <c r="C5">
        <v>445</v>
      </c>
      <c r="D5">
        <f t="shared" si="0"/>
        <v>1090</v>
      </c>
      <c r="F5" s="46" t="s">
        <v>27</v>
      </c>
      <c r="G5">
        <v>38535</v>
      </c>
    </row>
    <row r="6" spans="1:11" x14ac:dyDescent="0.3">
      <c r="A6" t="s">
        <v>17</v>
      </c>
      <c r="B6">
        <v>656</v>
      </c>
      <c r="C6">
        <v>139</v>
      </c>
      <c r="D6">
        <f t="shared" si="0"/>
        <v>517</v>
      </c>
      <c r="F6" s="46" t="s">
        <v>17</v>
      </c>
      <c r="G6">
        <v>31386</v>
      </c>
    </row>
    <row r="7" spans="1:11" x14ac:dyDescent="0.3">
      <c r="A7" t="s">
        <v>21</v>
      </c>
      <c r="B7">
        <v>1697</v>
      </c>
      <c r="C7">
        <v>414</v>
      </c>
      <c r="D7">
        <f t="shared" si="0"/>
        <v>1283</v>
      </c>
    </row>
    <row r="8" spans="1:11" x14ac:dyDescent="0.3">
      <c r="A8" t="s">
        <v>21</v>
      </c>
      <c r="B8">
        <v>436</v>
      </c>
      <c r="C8">
        <v>250</v>
      </c>
      <c r="D8">
        <f t="shared" si="0"/>
        <v>186</v>
      </c>
      <c r="F8" s="157" t="s">
        <v>693</v>
      </c>
      <c r="G8" s="157"/>
      <c r="H8" s="157"/>
      <c r="I8" s="138"/>
      <c r="J8" s="138"/>
      <c r="K8" s="138"/>
    </row>
    <row r="9" spans="1:11" x14ac:dyDescent="0.3">
      <c r="A9" t="s">
        <v>34</v>
      </c>
      <c r="B9">
        <v>1197</v>
      </c>
      <c r="C9">
        <v>203</v>
      </c>
      <c r="D9">
        <f t="shared" si="0"/>
        <v>994</v>
      </c>
      <c r="F9" s="157" t="s">
        <v>692</v>
      </c>
      <c r="G9" s="157"/>
      <c r="H9" s="157"/>
    </row>
    <row r="10" spans="1:11" x14ac:dyDescent="0.3">
      <c r="A10" t="s">
        <v>21</v>
      </c>
      <c r="B10">
        <v>1048</v>
      </c>
      <c r="C10">
        <v>155</v>
      </c>
      <c r="D10">
        <f t="shared" si="0"/>
        <v>893</v>
      </c>
    </row>
    <row r="11" spans="1:11" x14ac:dyDescent="0.3">
      <c r="A11" t="s">
        <v>21</v>
      </c>
      <c r="B11">
        <v>1753</v>
      </c>
      <c r="C11">
        <v>371</v>
      </c>
      <c r="D11">
        <f t="shared" si="0"/>
        <v>1382</v>
      </c>
    </row>
    <row r="12" spans="1:11" x14ac:dyDescent="0.3">
      <c r="A12" t="s">
        <v>34</v>
      </c>
      <c r="B12">
        <v>1335</v>
      </c>
      <c r="C12">
        <v>40</v>
      </c>
      <c r="D12">
        <f t="shared" si="0"/>
        <v>1295</v>
      </c>
    </row>
    <row r="13" spans="1:11" x14ac:dyDescent="0.3">
      <c r="A13" t="s">
        <v>27</v>
      </c>
      <c r="B13">
        <v>403</v>
      </c>
      <c r="C13">
        <v>66</v>
      </c>
      <c r="D13">
        <f t="shared" si="0"/>
        <v>337</v>
      </c>
    </row>
    <row r="14" spans="1:11" x14ac:dyDescent="0.3">
      <c r="A14" t="s">
        <v>17</v>
      </c>
      <c r="B14">
        <v>911</v>
      </c>
      <c r="C14">
        <v>282</v>
      </c>
      <c r="D14">
        <f t="shared" si="0"/>
        <v>629</v>
      </c>
    </row>
    <row r="15" spans="1:11" x14ac:dyDescent="0.3">
      <c r="A15" t="s">
        <v>17</v>
      </c>
      <c r="B15">
        <v>1779</v>
      </c>
      <c r="C15">
        <v>109</v>
      </c>
      <c r="D15">
        <f t="shared" si="0"/>
        <v>1670</v>
      </c>
    </row>
    <row r="16" spans="1:11" x14ac:dyDescent="0.3">
      <c r="A16" t="s">
        <v>27</v>
      </c>
      <c r="B16">
        <v>1238</v>
      </c>
      <c r="C16">
        <v>403</v>
      </c>
      <c r="D16">
        <f t="shared" si="0"/>
        <v>835</v>
      </c>
    </row>
    <row r="17" spans="1:4" x14ac:dyDescent="0.3">
      <c r="A17" t="s">
        <v>34</v>
      </c>
      <c r="B17">
        <v>308</v>
      </c>
      <c r="C17">
        <v>431</v>
      </c>
      <c r="D17">
        <f t="shared" si="0"/>
        <v>-123</v>
      </c>
    </row>
    <row r="18" spans="1:4" x14ac:dyDescent="0.3">
      <c r="A18" t="s">
        <v>17</v>
      </c>
      <c r="B18">
        <v>226</v>
      </c>
      <c r="C18">
        <v>445</v>
      </c>
      <c r="D18">
        <f t="shared" si="0"/>
        <v>-219</v>
      </c>
    </row>
    <row r="19" spans="1:4" x14ac:dyDescent="0.3">
      <c r="A19" t="s">
        <v>34</v>
      </c>
      <c r="B19">
        <v>505</v>
      </c>
      <c r="C19">
        <v>441</v>
      </c>
      <c r="D19">
        <f t="shared" si="0"/>
        <v>64</v>
      </c>
    </row>
    <row r="20" spans="1:4" x14ac:dyDescent="0.3">
      <c r="A20" t="s">
        <v>17</v>
      </c>
      <c r="B20">
        <v>1420</v>
      </c>
      <c r="C20">
        <v>63</v>
      </c>
      <c r="D20">
        <f t="shared" si="0"/>
        <v>1357</v>
      </c>
    </row>
    <row r="21" spans="1:4" x14ac:dyDescent="0.3">
      <c r="A21" t="s">
        <v>34</v>
      </c>
      <c r="B21">
        <v>144</v>
      </c>
      <c r="C21">
        <v>53</v>
      </c>
      <c r="D21">
        <f t="shared" si="0"/>
        <v>91</v>
      </c>
    </row>
    <row r="22" spans="1:4" x14ac:dyDescent="0.3">
      <c r="A22" t="s">
        <v>34</v>
      </c>
      <c r="B22">
        <v>1757</v>
      </c>
      <c r="C22">
        <v>85</v>
      </c>
      <c r="D22">
        <f t="shared" si="0"/>
        <v>1672</v>
      </c>
    </row>
    <row r="23" spans="1:4" x14ac:dyDescent="0.3">
      <c r="A23" t="s">
        <v>21</v>
      </c>
      <c r="B23">
        <v>350</v>
      </c>
      <c r="C23">
        <v>41</v>
      </c>
      <c r="D23">
        <f t="shared" si="0"/>
        <v>309</v>
      </c>
    </row>
    <row r="24" spans="1:4" x14ac:dyDescent="0.3">
      <c r="A24" t="s">
        <v>27</v>
      </c>
      <c r="B24">
        <v>987</v>
      </c>
      <c r="C24">
        <v>440</v>
      </c>
      <c r="D24">
        <f t="shared" si="0"/>
        <v>547</v>
      </c>
    </row>
    <row r="25" spans="1:4" x14ac:dyDescent="0.3">
      <c r="A25" t="s">
        <v>21</v>
      </c>
      <c r="B25">
        <v>883</v>
      </c>
      <c r="C25">
        <v>369</v>
      </c>
      <c r="D25">
        <f t="shared" si="0"/>
        <v>514</v>
      </c>
    </row>
    <row r="26" spans="1:4" x14ac:dyDescent="0.3">
      <c r="A26" t="s">
        <v>34</v>
      </c>
      <c r="B26">
        <v>1960</v>
      </c>
      <c r="C26">
        <v>115</v>
      </c>
      <c r="D26">
        <f t="shared" si="0"/>
        <v>1845</v>
      </c>
    </row>
    <row r="27" spans="1:4" x14ac:dyDescent="0.3">
      <c r="A27" t="s">
        <v>34</v>
      </c>
      <c r="B27">
        <v>170</v>
      </c>
      <c r="C27">
        <v>334</v>
      </c>
      <c r="D27">
        <f t="shared" si="0"/>
        <v>-164</v>
      </c>
    </row>
    <row r="28" spans="1:4" x14ac:dyDescent="0.3">
      <c r="A28" t="s">
        <v>27</v>
      </c>
      <c r="B28">
        <v>704</v>
      </c>
      <c r="C28">
        <v>275</v>
      </c>
      <c r="D28">
        <f t="shared" si="0"/>
        <v>429</v>
      </c>
    </row>
    <row r="29" spans="1:4" x14ac:dyDescent="0.3">
      <c r="A29" t="s">
        <v>21</v>
      </c>
      <c r="B29">
        <v>224</v>
      </c>
      <c r="C29">
        <v>64</v>
      </c>
      <c r="D29">
        <f t="shared" si="0"/>
        <v>160</v>
      </c>
    </row>
    <row r="30" spans="1:4" x14ac:dyDescent="0.3">
      <c r="A30" t="s">
        <v>17</v>
      </c>
      <c r="B30">
        <v>508</v>
      </c>
      <c r="C30">
        <v>349</v>
      </c>
      <c r="D30">
        <f t="shared" si="0"/>
        <v>159</v>
      </c>
    </row>
    <row r="31" spans="1:4" x14ac:dyDescent="0.3">
      <c r="A31" t="s">
        <v>17</v>
      </c>
      <c r="B31">
        <v>1391</v>
      </c>
      <c r="C31">
        <v>430</v>
      </c>
      <c r="D31">
        <f t="shared" si="0"/>
        <v>961</v>
      </c>
    </row>
    <row r="32" spans="1:4" x14ac:dyDescent="0.3">
      <c r="A32" t="s">
        <v>27</v>
      </c>
      <c r="B32">
        <v>1701</v>
      </c>
      <c r="C32">
        <v>385</v>
      </c>
      <c r="D32">
        <f t="shared" si="0"/>
        <v>1316</v>
      </c>
    </row>
    <row r="33" spans="1:11" ht="21" x14ac:dyDescent="0.4">
      <c r="A33" t="s">
        <v>21</v>
      </c>
      <c r="B33">
        <v>804</v>
      </c>
      <c r="C33">
        <v>487</v>
      </c>
      <c r="D33">
        <f t="shared" si="0"/>
        <v>317</v>
      </c>
      <c r="F33" s="159" t="s">
        <v>696</v>
      </c>
      <c r="G33" s="160"/>
      <c r="H33" s="160"/>
      <c r="I33" s="158"/>
    </row>
    <row r="34" spans="1:11" x14ac:dyDescent="0.3">
      <c r="A34" t="s">
        <v>21</v>
      </c>
      <c r="B34">
        <v>653</v>
      </c>
      <c r="C34">
        <v>112</v>
      </c>
      <c r="D34">
        <f t="shared" si="0"/>
        <v>541</v>
      </c>
      <c r="F34" s="161"/>
      <c r="G34" s="138"/>
      <c r="H34" s="138"/>
      <c r="I34" s="138"/>
      <c r="J34" s="138"/>
      <c r="K34" s="138"/>
    </row>
    <row r="35" spans="1:11" x14ac:dyDescent="0.3">
      <c r="A35" t="s">
        <v>21</v>
      </c>
      <c r="B35">
        <v>160</v>
      </c>
      <c r="C35">
        <v>478</v>
      </c>
      <c r="D35">
        <f t="shared" si="0"/>
        <v>-318</v>
      </c>
      <c r="F35" s="193" t="s">
        <v>678</v>
      </c>
      <c r="G35" s="138"/>
      <c r="H35" s="138"/>
      <c r="I35" s="138"/>
      <c r="J35" s="138"/>
      <c r="K35" s="138"/>
    </row>
    <row r="36" spans="1:11" x14ac:dyDescent="0.3">
      <c r="A36" t="s">
        <v>34</v>
      </c>
      <c r="B36">
        <v>1756</v>
      </c>
      <c r="C36">
        <v>261</v>
      </c>
      <c r="D36">
        <f t="shared" si="0"/>
        <v>1495</v>
      </c>
      <c r="F36" s="194"/>
      <c r="G36" s="138"/>
      <c r="H36" s="138"/>
      <c r="I36" s="138"/>
      <c r="J36" s="138"/>
      <c r="K36" s="138"/>
    </row>
    <row r="37" spans="1:11" x14ac:dyDescent="0.3">
      <c r="A37" t="s">
        <v>34</v>
      </c>
      <c r="B37">
        <v>576</v>
      </c>
      <c r="C37">
        <v>101</v>
      </c>
      <c r="D37">
        <f t="shared" si="0"/>
        <v>475</v>
      </c>
      <c r="F37" s="193" t="s">
        <v>694</v>
      </c>
      <c r="G37" s="138"/>
      <c r="H37" s="138"/>
      <c r="I37" s="138"/>
      <c r="J37" s="138"/>
      <c r="K37" s="138"/>
    </row>
    <row r="38" spans="1:11" x14ac:dyDescent="0.3">
      <c r="A38" t="s">
        <v>34</v>
      </c>
      <c r="B38">
        <v>645</v>
      </c>
      <c r="C38">
        <v>293</v>
      </c>
      <c r="D38">
        <f t="shared" si="0"/>
        <v>352</v>
      </c>
      <c r="F38" s="194"/>
      <c r="G38" s="138"/>
      <c r="H38" s="138"/>
      <c r="I38" s="138"/>
      <c r="J38" s="138"/>
      <c r="K38" s="138"/>
    </row>
    <row r="39" spans="1:11" x14ac:dyDescent="0.3">
      <c r="A39" t="s">
        <v>27</v>
      </c>
      <c r="B39">
        <v>214</v>
      </c>
      <c r="C39">
        <v>411</v>
      </c>
      <c r="D39">
        <f t="shared" si="0"/>
        <v>-197</v>
      </c>
      <c r="F39" s="193" t="s">
        <v>695</v>
      </c>
      <c r="G39" s="138"/>
      <c r="H39" s="138"/>
      <c r="I39" s="138"/>
      <c r="J39" s="138"/>
      <c r="K39" s="138"/>
    </row>
    <row r="40" spans="1:11" x14ac:dyDescent="0.3">
      <c r="A40" t="s">
        <v>17</v>
      </c>
      <c r="B40">
        <v>826</v>
      </c>
      <c r="C40">
        <v>498</v>
      </c>
      <c r="D40">
        <f t="shared" si="0"/>
        <v>328</v>
      </c>
      <c r="F40" s="194"/>
      <c r="G40" s="138"/>
      <c r="H40" s="138"/>
      <c r="I40" s="138"/>
      <c r="J40" s="138"/>
      <c r="K40" s="138"/>
    </row>
    <row r="41" spans="1:11" x14ac:dyDescent="0.3">
      <c r="A41" t="s">
        <v>34</v>
      </c>
      <c r="B41">
        <v>460</v>
      </c>
      <c r="C41">
        <v>141</v>
      </c>
      <c r="D41">
        <f t="shared" si="0"/>
        <v>319</v>
      </c>
      <c r="F41" s="195" t="s">
        <v>734</v>
      </c>
      <c r="G41" s="138"/>
      <c r="H41" s="138"/>
      <c r="I41" s="138"/>
      <c r="J41" s="138"/>
      <c r="K41" s="138"/>
    </row>
    <row r="42" spans="1:11" x14ac:dyDescent="0.3">
      <c r="A42" t="s">
        <v>34</v>
      </c>
      <c r="B42">
        <v>1528</v>
      </c>
      <c r="C42">
        <v>203</v>
      </c>
      <c r="D42">
        <f t="shared" si="0"/>
        <v>1325</v>
      </c>
      <c r="F42" s="194"/>
      <c r="G42" s="138"/>
      <c r="H42" s="138"/>
      <c r="I42" s="138"/>
      <c r="J42" s="138"/>
      <c r="K42" s="138"/>
    </row>
    <row r="43" spans="1:11" x14ac:dyDescent="0.3">
      <c r="A43" t="s">
        <v>27</v>
      </c>
      <c r="B43">
        <v>1534</v>
      </c>
      <c r="C43">
        <v>200</v>
      </c>
      <c r="D43">
        <f t="shared" si="0"/>
        <v>1334</v>
      </c>
      <c r="F43" s="162"/>
      <c r="G43" s="138"/>
      <c r="H43" s="138"/>
      <c r="I43" s="138"/>
      <c r="J43" s="138"/>
      <c r="K43" s="138"/>
    </row>
    <row r="44" spans="1:11" x14ac:dyDescent="0.3">
      <c r="A44" t="s">
        <v>21</v>
      </c>
      <c r="B44">
        <v>485</v>
      </c>
      <c r="C44">
        <v>448</v>
      </c>
      <c r="D44">
        <f t="shared" si="0"/>
        <v>37</v>
      </c>
      <c r="F44" s="138"/>
      <c r="G44" s="138"/>
      <c r="H44" s="138"/>
      <c r="I44" s="138"/>
      <c r="J44" s="138"/>
      <c r="K44" s="138"/>
    </row>
    <row r="45" spans="1:11" x14ac:dyDescent="0.3">
      <c r="A45" t="s">
        <v>34</v>
      </c>
      <c r="B45">
        <v>1210</v>
      </c>
      <c r="C45">
        <v>178</v>
      </c>
      <c r="D45">
        <f t="shared" si="0"/>
        <v>1032</v>
      </c>
    </row>
    <row r="46" spans="1:11" x14ac:dyDescent="0.3">
      <c r="A46" t="s">
        <v>21</v>
      </c>
      <c r="B46">
        <v>215</v>
      </c>
      <c r="C46">
        <v>139</v>
      </c>
      <c r="D46">
        <f t="shared" si="0"/>
        <v>76</v>
      </c>
    </row>
    <row r="47" spans="1:11" x14ac:dyDescent="0.3">
      <c r="A47" t="s">
        <v>34</v>
      </c>
      <c r="B47">
        <v>1078</v>
      </c>
      <c r="C47">
        <v>20</v>
      </c>
      <c r="D47">
        <f t="shared" si="0"/>
        <v>1058</v>
      </c>
    </row>
    <row r="48" spans="1:11" x14ac:dyDescent="0.3">
      <c r="A48" t="s">
        <v>27</v>
      </c>
      <c r="B48">
        <v>1751</v>
      </c>
      <c r="C48">
        <v>86</v>
      </c>
      <c r="D48">
        <f t="shared" si="0"/>
        <v>1665</v>
      </c>
    </row>
    <row r="49" spans="1:4" x14ac:dyDescent="0.3">
      <c r="A49" t="s">
        <v>17</v>
      </c>
      <c r="B49">
        <v>221</v>
      </c>
      <c r="C49">
        <v>31</v>
      </c>
      <c r="D49">
        <f t="shared" si="0"/>
        <v>190</v>
      </c>
    </row>
    <row r="50" spans="1:4" x14ac:dyDescent="0.3">
      <c r="A50" t="s">
        <v>34</v>
      </c>
      <c r="B50">
        <v>1685</v>
      </c>
      <c r="C50">
        <v>76</v>
      </c>
      <c r="D50">
        <f t="shared" si="0"/>
        <v>1609</v>
      </c>
    </row>
    <row r="51" spans="1:4" x14ac:dyDescent="0.3">
      <c r="A51" t="s">
        <v>27</v>
      </c>
      <c r="B51">
        <v>248</v>
      </c>
      <c r="C51">
        <v>211</v>
      </c>
      <c r="D51">
        <f t="shared" si="0"/>
        <v>37</v>
      </c>
    </row>
    <row r="52" spans="1:4" x14ac:dyDescent="0.3">
      <c r="A52" t="s">
        <v>17</v>
      </c>
      <c r="B52">
        <v>1300</v>
      </c>
      <c r="C52">
        <v>71</v>
      </c>
      <c r="D52">
        <f t="shared" si="0"/>
        <v>1229</v>
      </c>
    </row>
    <row r="53" spans="1:4" x14ac:dyDescent="0.3">
      <c r="A53" t="s">
        <v>27</v>
      </c>
      <c r="B53">
        <v>422</v>
      </c>
      <c r="C53">
        <v>394</v>
      </c>
      <c r="D53">
        <f t="shared" si="0"/>
        <v>28</v>
      </c>
    </row>
    <row r="54" spans="1:4" x14ac:dyDescent="0.3">
      <c r="A54" t="s">
        <v>27</v>
      </c>
      <c r="B54">
        <v>1429</v>
      </c>
      <c r="C54">
        <v>182</v>
      </c>
      <c r="D54">
        <f t="shared" si="0"/>
        <v>1247</v>
      </c>
    </row>
    <row r="55" spans="1:4" x14ac:dyDescent="0.3">
      <c r="A55" t="s">
        <v>27</v>
      </c>
      <c r="B55">
        <v>1520</v>
      </c>
      <c r="C55">
        <v>475</v>
      </c>
      <c r="D55">
        <f t="shared" si="0"/>
        <v>1045</v>
      </c>
    </row>
    <row r="56" spans="1:4" x14ac:dyDescent="0.3">
      <c r="A56" t="s">
        <v>17</v>
      </c>
      <c r="B56">
        <v>557</v>
      </c>
      <c r="C56">
        <v>360</v>
      </c>
      <c r="D56">
        <f t="shared" si="0"/>
        <v>197</v>
      </c>
    </row>
    <row r="57" spans="1:4" x14ac:dyDescent="0.3">
      <c r="A57" t="s">
        <v>27</v>
      </c>
      <c r="B57">
        <v>728</v>
      </c>
      <c r="C57">
        <v>395</v>
      </c>
      <c r="D57">
        <f t="shared" si="0"/>
        <v>333</v>
      </c>
    </row>
    <row r="58" spans="1:4" x14ac:dyDescent="0.3">
      <c r="A58" t="s">
        <v>27</v>
      </c>
      <c r="B58">
        <v>1592</v>
      </c>
      <c r="C58">
        <v>20</v>
      </c>
      <c r="D58">
        <f t="shared" si="0"/>
        <v>1572</v>
      </c>
    </row>
    <row r="59" spans="1:4" x14ac:dyDescent="0.3">
      <c r="A59" t="s">
        <v>21</v>
      </c>
      <c r="B59">
        <v>1842</v>
      </c>
      <c r="C59">
        <v>414</v>
      </c>
      <c r="D59">
        <f t="shared" si="0"/>
        <v>1428</v>
      </c>
    </row>
    <row r="60" spans="1:4" x14ac:dyDescent="0.3">
      <c r="A60" t="s">
        <v>21</v>
      </c>
      <c r="B60">
        <v>751</v>
      </c>
      <c r="C60">
        <v>491</v>
      </c>
      <c r="D60">
        <f t="shared" si="0"/>
        <v>260</v>
      </c>
    </row>
    <row r="61" spans="1:4" x14ac:dyDescent="0.3">
      <c r="A61" t="s">
        <v>34</v>
      </c>
      <c r="B61">
        <v>1409</v>
      </c>
      <c r="C61">
        <v>309</v>
      </c>
      <c r="D61">
        <f t="shared" si="0"/>
        <v>1100</v>
      </c>
    </row>
    <row r="62" spans="1:4" x14ac:dyDescent="0.3">
      <c r="A62" t="s">
        <v>27</v>
      </c>
      <c r="B62">
        <v>778</v>
      </c>
      <c r="C62">
        <v>401</v>
      </c>
      <c r="D62">
        <f t="shared" si="0"/>
        <v>377</v>
      </c>
    </row>
    <row r="63" spans="1:4" x14ac:dyDescent="0.3">
      <c r="A63" t="s">
        <v>34</v>
      </c>
      <c r="B63">
        <v>443</v>
      </c>
      <c r="C63">
        <v>345</v>
      </c>
      <c r="D63">
        <f t="shared" si="0"/>
        <v>98</v>
      </c>
    </row>
    <row r="64" spans="1:4" x14ac:dyDescent="0.3">
      <c r="A64" t="s">
        <v>34</v>
      </c>
      <c r="B64">
        <v>1472</v>
      </c>
      <c r="C64">
        <v>347</v>
      </c>
      <c r="D64">
        <f t="shared" si="0"/>
        <v>1125</v>
      </c>
    </row>
    <row r="65" spans="1:4" x14ac:dyDescent="0.3">
      <c r="A65" t="s">
        <v>34</v>
      </c>
      <c r="B65">
        <v>123</v>
      </c>
      <c r="C65">
        <v>155</v>
      </c>
      <c r="D65">
        <f t="shared" si="0"/>
        <v>-32</v>
      </c>
    </row>
    <row r="66" spans="1:4" x14ac:dyDescent="0.3">
      <c r="A66" t="s">
        <v>21</v>
      </c>
      <c r="B66">
        <v>817</v>
      </c>
      <c r="C66">
        <v>151</v>
      </c>
      <c r="D66">
        <f t="shared" si="0"/>
        <v>666</v>
      </c>
    </row>
    <row r="67" spans="1:4" x14ac:dyDescent="0.3">
      <c r="A67" t="s">
        <v>27</v>
      </c>
      <c r="B67">
        <v>198</v>
      </c>
      <c r="C67">
        <v>217</v>
      </c>
      <c r="D67">
        <f t="shared" ref="D67:D130" si="1">(B67-C67)</f>
        <v>-19</v>
      </c>
    </row>
    <row r="68" spans="1:4" x14ac:dyDescent="0.3">
      <c r="A68" t="s">
        <v>27</v>
      </c>
      <c r="B68">
        <v>1911</v>
      </c>
      <c r="C68">
        <v>231</v>
      </c>
      <c r="D68">
        <f t="shared" si="1"/>
        <v>1680</v>
      </c>
    </row>
    <row r="69" spans="1:4" x14ac:dyDescent="0.3">
      <c r="A69" t="s">
        <v>34</v>
      </c>
      <c r="B69">
        <v>1218</v>
      </c>
      <c r="C69">
        <v>212</v>
      </c>
      <c r="D69">
        <f t="shared" si="1"/>
        <v>1006</v>
      </c>
    </row>
    <row r="70" spans="1:4" x14ac:dyDescent="0.3">
      <c r="A70" t="s">
        <v>17</v>
      </c>
      <c r="B70">
        <v>1433</v>
      </c>
      <c r="C70">
        <v>408</v>
      </c>
      <c r="D70">
        <f t="shared" si="1"/>
        <v>1025</v>
      </c>
    </row>
    <row r="71" spans="1:4" x14ac:dyDescent="0.3">
      <c r="A71" t="s">
        <v>34</v>
      </c>
      <c r="B71">
        <v>250</v>
      </c>
      <c r="C71">
        <v>429</v>
      </c>
      <c r="D71">
        <f t="shared" si="1"/>
        <v>-179</v>
      </c>
    </row>
    <row r="72" spans="1:4" x14ac:dyDescent="0.3">
      <c r="A72" t="s">
        <v>27</v>
      </c>
      <c r="B72">
        <v>752</v>
      </c>
      <c r="C72">
        <v>153</v>
      </c>
      <c r="D72">
        <f t="shared" si="1"/>
        <v>599</v>
      </c>
    </row>
    <row r="73" spans="1:4" x14ac:dyDescent="0.3">
      <c r="A73" t="s">
        <v>34</v>
      </c>
      <c r="B73">
        <v>1918</v>
      </c>
      <c r="C73">
        <v>212</v>
      </c>
      <c r="D73">
        <f t="shared" si="1"/>
        <v>1706</v>
      </c>
    </row>
    <row r="74" spans="1:4" x14ac:dyDescent="0.3">
      <c r="A74" t="s">
        <v>34</v>
      </c>
      <c r="B74">
        <v>1939</v>
      </c>
      <c r="C74">
        <v>67</v>
      </c>
      <c r="D74">
        <f t="shared" si="1"/>
        <v>1872</v>
      </c>
    </row>
    <row r="75" spans="1:4" x14ac:dyDescent="0.3">
      <c r="A75" t="s">
        <v>34</v>
      </c>
      <c r="B75">
        <v>1929</v>
      </c>
      <c r="C75">
        <v>267</v>
      </c>
      <c r="D75">
        <f t="shared" si="1"/>
        <v>1662</v>
      </c>
    </row>
    <row r="76" spans="1:4" x14ac:dyDescent="0.3">
      <c r="A76" t="s">
        <v>27</v>
      </c>
      <c r="B76">
        <v>437</v>
      </c>
      <c r="C76">
        <v>330</v>
      </c>
      <c r="D76">
        <f t="shared" si="1"/>
        <v>107</v>
      </c>
    </row>
    <row r="77" spans="1:4" x14ac:dyDescent="0.3">
      <c r="A77" t="s">
        <v>27</v>
      </c>
      <c r="B77">
        <v>307</v>
      </c>
      <c r="C77">
        <v>189</v>
      </c>
      <c r="D77">
        <f t="shared" si="1"/>
        <v>118</v>
      </c>
    </row>
    <row r="78" spans="1:4" x14ac:dyDescent="0.3">
      <c r="A78" t="s">
        <v>27</v>
      </c>
      <c r="B78">
        <v>1527</v>
      </c>
      <c r="C78">
        <v>303</v>
      </c>
      <c r="D78">
        <f t="shared" si="1"/>
        <v>1224</v>
      </c>
    </row>
    <row r="79" spans="1:4" x14ac:dyDescent="0.3">
      <c r="A79" t="s">
        <v>34</v>
      </c>
      <c r="B79">
        <v>643</v>
      </c>
      <c r="C79">
        <v>358</v>
      </c>
      <c r="D79">
        <f t="shared" si="1"/>
        <v>285</v>
      </c>
    </row>
    <row r="80" spans="1:4" x14ac:dyDescent="0.3">
      <c r="A80" t="s">
        <v>21</v>
      </c>
      <c r="B80">
        <v>201</v>
      </c>
      <c r="C80">
        <v>221</v>
      </c>
      <c r="D80">
        <f t="shared" si="1"/>
        <v>-20</v>
      </c>
    </row>
    <row r="81" spans="1:4" x14ac:dyDescent="0.3">
      <c r="A81" t="s">
        <v>34</v>
      </c>
      <c r="B81">
        <v>414</v>
      </c>
      <c r="C81">
        <v>47</v>
      </c>
      <c r="D81">
        <f t="shared" si="1"/>
        <v>367</v>
      </c>
    </row>
    <row r="82" spans="1:4" x14ac:dyDescent="0.3">
      <c r="A82" t="s">
        <v>27</v>
      </c>
      <c r="B82">
        <v>703</v>
      </c>
      <c r="C82">
        <v>441</v>
      </c>
      <c r="D82">
        <f t="shared" si="1"/>
        <v>262</v>
      </c>
    </row>
    <row r="83" spans="1:4" x14ac:dyDescent="0.3">
      <c r="A83" t="s">
        <v>27</v>
      </c>
      <c r="B83">
        <v>508</v>
      </c>
      <c r="C83">
        <v>69</v>
      </c>
      <c r="D83">
        <f t="shared" si="1"/>
        <v>439</v>
      </c>
    </row>
    <row r="84" spans="1:4" x14ac:dyDescent="0.3">
      <c r="A84" t="s">
        <v>21</v>
      </c>
      <c r="B84">
        <v>697</v>
      </c>
      <c r="C84">
        <v>61</v>
      </c>
      <c r="D84">
        <f t="shared" si="1"/>
        <v>636</v>
      </c>
    </row>
    <row r="85" spans="1:4" x14ac:dyDescent="0.3">
      <c r="A85" t="s">
        <v>21</v>
      </c>
      <c r="B85">
        <v>1707</v>
      </c>
      <c r="C85">
        <v>223</v>
      </c>
      <c r="D85">
        <f t="shared" si="1"/>
        <v>1484</v>
      </c>
    </row>
    <row r="86" spans="1:4" x14ac:dyDescent="0.3">
      <c r="A86" t="s">
        <v>27</v>
      </c>
      <c r="B86">
        <v>642</v>
      </c>
      <c r="C86">
        <v>66</v>
      </c>
      <c r="D86">
        <f t="shared" si="1"/>
        <v>576</v>
      </c>
    </row>
    <row r="87" spans="1:4" x14ac:dyDescent="0.3">
      <c r="A87" t="s">
        <v>17</v>
      </c>
      <c r="B87">
        <v>859</v>
      </c>
      <c r="C87">
        <v>473</v>
      </c>
      <c r="D87">
        <f t="shared" si="1"/>
        <v>386</v>
      </c>
    </row>
    <row r="88" spans="1:4" x14ac:dyDescent="0.3">
      <c r="A88" t="s">
        <v>34</v>
      </c>
      <c r="B88">
        <v>191</v>
      </c>
      <c r="C88">
        <v>154</v>
      </c>
      <c r="D88">
        <f t="shared" si="1"/>
        <v>37</v>
      </c>
    </row>
    <row r="89" spans="1:4" x14ac:dyDescent="0.3">
      <c r="A89" t="s">
        <v>21</v>
      </c>
      <c r="B89">
        <v>1814</v>
      </c>
      <c r="C89">
        <v>157</v>
      </c>
      <c r="D89">
        <f t="shared" si="1"/>
        <v>1657</v>
      </c>
    </row>
    <row r="90" spans="1:4" x14ac:dyDescent="0.3">
      <c r="A90" t="s">
        <v>27</v>
      </c>
      <c r="B90">
        <v>1466</v>
      </c>
      <c r="C90">
        <v>69</v>
      </c>
      <c r="D90">
        <f t="shared" si="1"/>
        <v>1397</v>
      </c>
    </row>
    <row r="91" spans="1:4" x14ac:dyDescent="0.3">
      <c r="A91" t="s">
        <v>21</v>
      </c>
      <c r="B91">
        <v>947</v>
      </c>
      <c r="C91">
        <v>407</v>
      </c>
      <c r="D91">
        <f t="shared" si="1"/>
        <v>540</v>
      </c>
    </row>
    <row r="92" spans="1:4" x14ac:dyDescent="0.3">
      <c r="A92" t="s">
        <v>21</v>
      </c>
      <c r="B92">
        <v>1821</v>
      </c>
      <c r="C92">
        <v>218</v>
      </c>
      <c r="D92">
        <f t="shared" si="1"/>
        <v>1603</v>
      </c>
    </row>
    <row r="93" spans="1:4" x14ac:dyDescent="0.3">
      <c r="A93" t="s">
        <v>27</v>
      </c>
      <c r="B93">
        <v>1507</v>
      </c>
      <c r="C93">
        <v>463</v>
      </c>
      <c r="D93">
        <f t="shared" si="1"/>
        <v>1044</v>
      </c>
    </row>
    <row r="94" spans="1:4" x14ac:dyDescent="0.3">
      <c r="A94" t="s">
        <v>17</v>
      </c>
      <c r="B94">
        <v>1075</v>
      </c>
      <c r="C94">
        <v>173</v>
      </c>
      <c r="D94">
        <f t="shared" si="1"/>
        <v>902</v>
      </c>
    </row>
    <row r="95" spans="1:4" x14ac:dyDescent="0.3">
      <c r="A95" t="s">
        <v>17</v>
      </c>
      <c r="B95">
        <v>171</v>
      </c>
      <c r="C95">
        <v>277</v>
      </c>
      <c r="D95">
        <f t="shared" si="1"/>
        <v>-106</v>
      </c>
    </row>
    <row r="96" spans="1:4" x14ac:dyDescent="0.3">
      <c r="A96" t="s">
        <v>34</v>
      </c>
      <c r="B96">
        <v>1487</v>
      </c>
      <c r="C96">
        <v>337</v>
      </c>
      <c r="D96">
        <f t="shared" si="1"/>
        <v>1150</v>
      </c>
    </row>
    <row r="97" spans="1:4" x14ac:dyDescent="0.3">
      <c r="A97" t="s">
        <v>34</v>
      </c>
      <c r="B97">
        <v>454</v>
      </c>
      <c r="C97">
        <v>105</v>
      </c>
      <c r="D97">
        <f t="shared" si="1"/>
        <v>349</v>
      </c>
    </row>
    <row r="98" spans="1:4" x14ac:dyDescent="0.3">
      <c r="A98" t="s">
        <v>27</v>
      </c>
      <c r="B98">
        <v>187</v>
      </c>
      <c r="C98">
        <v>236</v>
      </c>
      <c r="D98">
        <f t="shared" si="1"/>
        <v>-49</v>
      </c>
    </row>
    <row r="99" spans="1:4" x14ac:dyDescent="0.3">
      <c r="A99" t="s">
        <v>27</v>
      </c>
      <c r="B99">
        <v>513</v>
      </c>
      <c r="C99">
        <v>441</v>
      </c>
      <c r="D99">
        <f t="shared" si="1"/>
        <v>72</v>
      </c>
    </row>
    <row r="100" spans="1:4" x14ac:dyDescent="0.3">
      <c r="A100" t="s">
        <v>21</v>
      </c>
      <c r="B100">
        <v>628</v>
      </c>
      <c r="C100">
        <v>183</v>
      </c>
      <c r="D100">
        <f t="shared" si="1"/>
        <v>445</v>
      </c>
    </row>
    <row r="101" spans="1:4" x14ac:dyDescent="0.3">
      <c r="A101" t="s">
        <v>17</v>
      </c>
      <c r="B101">
        <v>278</v>
      </c>
      <c r="C101">
        <v>218</v>
      </c>
      <c r="D101">
        <f t="shared" si="1"/>
        <v>60</v>
      </c>
    </row>
    <row r="102" spans="1:4" x14ac:dyDescent="0.3">
      <c r="A102" t="s">
        <v>17</v>
      </c>
      <c r="B102">
        <v>1854</v>
      </c>
      <c r="C102">
        <v>161</v>
      </c>
      <c r="D102">
        <f t="shared" si="1"/>
        <v>1693</v>
      </c>
    </row>
    <row r="103" spans="1:4" x14ac:dyDescent="0.3">
      <c r="A103" t="s">
        <v>34</v>
      </c>
      <c r="B103">
        <v>1710</v>
      </c>
      <c r="C103">
        <v>378</v>
      </c>
      <c r="D103">
        <f t="shared" si="1"/>
        <v>1332</v>
      </c>
    </row>
    <row r="104" spans="1:4" x14ac:dyDescent="0.3">
      <c r="A104" t="s">
        <v>27</v>
      </c>
      <c r="B104">
        <v>330</v>
      </c>
      <c r="C104">
        <v>232</v>
      </c>
      <c r="D104">
        <f t="shared" si="1"/>
        <v>98</v>
      </c>
    </row>
    <row r="105" spans="1:4" x14ac:dyDescent="0.3">
      <c r="A105" t="s">
        <v>34</v>
      </c>
      <c r="B105">
        <v>1293</v>
      </c>
      <c r="C105">
        <v>408</v>
      </c>
      <c r="D105">
        <f t="shared" si="1"/>
        <v>885</v>
      </c>
    </row>
    <row r="106" spans="1:4" x14ac:dyDescent="0.3">
      <c r="A106" t="s">
        <v>27</v>
      </c>
      <c r="B106">
        <v>1696</v>
      </c>
      <c r="C106">
        <v>71</v>
      </c>
      <c r="D106">
        <f t="shared" si="1"/>
        <v>1625</v>
      </c>
    </row>
    <row r="107" spans="1:4" x14ac:dyDescent="0.3">
      <c r="A107" t="s">
        <v>21</v>
      </c>
      <c r="B107">
        <v>1902</v>
      </c>
      <c r="C107">
        <v>196</v>
      </c>
      <c r="D107">
        <f t="shared" si="1"/>
        <v>1706</v>
      </c>
    </row>
    <row r="108" spans="1:4" x14ac:dyDescent="0.3">
      <c r="A108" t="s">
        <v>34</v>
      </c>
      <c r="B108">
        <v>1441</v>
      </c>
      <c r="C108">
        <v>268</v>
      </c>
      <c r="D108">
        <f t="shared" si="1"/>
        <v>1173</v>
      </c>
    </row>
    <row r="109" spans="1:4" x14ac:dyDescent="0.3">
      <c r="A109" t="s">
        <v>17</v>
      </c>
      <c r="B109">
        <v>452</v>
      </c>
      <c r="C109">
        <v>161</v>
      </c>
      <c r="D109">
        <f t="shared" si="1"/>
        <v>291</v>
      </c>
    </row>
    <row r="110" spans="1:4" x14ac:dyDescent="0.3">
      <c r="A110" t="s">
        <v>34</v>
      </c>
      <c r="B110">
        <v>1494</v>
      </c>
      <c r="C110">
        <v>375</v>
      </c>
      <c r="D110">
        <f t="shared" si="1"/>
        <v>1119</v>
      </c>
    </row>
    <row r="111" spans="1:4" x14ac:dyDescent="0.3">
      <c r="A111" t="s">
        <v>34</v>
      </c>
      <c r="B111">
        <v>1514</v>
      </c>
      <c r="C111">
        <v>141</v>
      </c>
      <c r="D111">
        <f t="shared" si="1"/>
        <v>1373</v>
      </c>
    </row>
    <row r="112" spans="1:4" x14ac:dyDescent="0.3">
      <c r="A112" t="s">
        <v>27</v>
      </c>
      <c r="B112">
        <v>1937</v>
      </c>
      <c r="C112">
        <v>210</v>
      </c>
      <c r="D112">
        <f t="shared" si="1"/>
        <v>1727</v>
      </c>
    </row>
    <row r="113" spans="1:4" x14ac:dyDescent="0.3">
      <c r="A113" t="s">
        <v>17</v>
      </c>
      <c r="B113">
        <v>736</v>
      </c>
      <c r="C113">
        <v>163</v>
      </c>
      <c r="D113">
        <f t="shared" si="1"/>
        <v>573</v>
      </c>
    </row>
    <row r="114" spans="1:4" x14ac:dyDescent="0.3">
      <c r="A114" t="s">
        <v>21</v>
      </c>
      <c r="B114">
        <v>1502</v>
      </c>
      <c r="C114">
        <v>70</v>
      </c>
      <c r="D114">
        <f t="shared" si="1"/>
        <v>1432</v>
      </c>
    </row>
    <row r="115" spans="1:4" x14ac:dyDescent="0.3">
      <c r="A115" t="s">
        <v>34</v>
      </c>
      <c r="B115">
        <v>1623</v>
      </c>
      <c r="C115">
        <v>246</v>
      </c>
      <c r="D115">
        <f t="shared" si="1"/>
        <v>1377</v>
      </c>
    </row>
    <row r="116" spans="1:4" x14ac:dyDescent="0.3">
      <c r="A116" t="s">
        <v>27</v>
      </c>
      <c r="B116">
        <v>1592</v>
      </c>
      <c r="C116">
        <v>233</v>
      </c>
      <c r="D116">
        <f t="shared" si="1"/>
        <v>1359</v>
      </c>
    </row>
    <row r="117" spans="1:4" x14ac:dyDescent="0.3">
      <c r="A117" t="s">
        <v>34</v>
      </c>
      <c r="B117">
        <v>1004</v>
      </c>
      <c r="C117">
        <v>128</v>
      </c>
      <c r="D117">
        <f t="shared" si="1"/>
        <v>876</v>
      </c>
    </row>
    <row r="118" spans="1:4" x14ac:dyDescent="0.3">
      <c r="A118" t="s">
        <v>34</v>
      </c>
      <c r="B118">
        <v>1092</v>
      </c>
      <c r="C118">
        <v>408</v>
      </c>
      <c r="D118">
        <f t="shared" si="1"/>
        <v>684</v>
      </c>
    </row>
    <row r="119" spans="1:4" x14ac:dyDescent="0.3">
      <c r="A119" t="s">
        <v>21</v>
      </c>
      <c r="B119">
        <v>1155</v>
      </c>
      <c r="C119">
        <v>425</v>
      </c>
      <c r="D119">
        <f t="shared" si="1"/>
        <v>730</v>
      </c>
    </row>
    <row r="120" spans="1:4" x14ac:dyDescent="0.3">
      <c r="A120" t="s">
        <v>34</v>
      </c>
      <c r="B120">
        <v>1137</v>
      </c>
      <c r="C120">
        <v>226</v>
      </c>
      <c r="D120">
        <f t="shared" si="1"/>
        <v>911</v>
      </c>
    </row>
    <row r="121" spans="1:4" x14ac:dyDescent="0.3">
      <c r="A121" t="s">
        <v>17</v>
      </c>
      <c r="B121">
        <v>1900</v>
      </c>
      <c r="C121">
        <v>311</v>
      </c>
      <c r="D121">
        <f t="shared" si="1"/>
        <v>1589</v>
      </c>
    </row>
    <row r="122" spans="1:4" x14ac:dyDescent="0.3">
      <c r="A122" t="s">
        <v>34</v>
      </c>
      <c r="B122">
        <v>1814</v>
      </c>
      <c r="C122">
        <v>49</v>
      </c>
      <c r="D122">
        <f t="shared" si="1"/>
        <v>1765</v>
      </c>
    </row>
    <row r="123" spans="1:4" x14ac:dyDescent="0.3">
      <c r="A123" t="s">
        <v>17</v>
      </c>
      <c r="B123">
        <v>1980</v>
      </c>
      <c r="C123">
        <v>204</v>
      </c>
      <c r="D123">
        <f t="shared" si="1"/>
        <v>1776</v>
      </c>
    </row>
    <row r="124" spans="1:4" x14ac:dyDescent="0.3">
      <c r="A124" t="s">
        <v>34</v>
      </c>
      <c r="B124">
        <v>1786</v>
      </c>
      <c r="C124">
        <v>257</v>
      </c>
      <c r="D124">
        <f t="shared" si="1"/>
        <v>1529</v>
      </c>
    </row>
    <row r="125" spans="1:4" x14ac:dyDescent="0.3">
      <c r="A125" t="s">
        <v>27</v>
      </c>
      <c r="B125">
        <v>1495</v>
      </c>
      <c r="C125">
        <v>35</v>
      </c>
      <c r="D125">
        <f t="shared" si="1"/>
        <v>1460</v>
      </c>
    </row>
    <row r="126" spans="1:4" x14ac:dyDescent="0.3">
      <c r="A126" t="s">
        <v>34</v>
      </c>
      <c r="B126">
        <v>1013</v>
      </c>
      <c r="C126">
        <v>110</v>
      </c>
      <c r="D126">
        <f t="shared" si="1"/>
        <v>903</v>
      </c>
    </row>
    <row r="127" spans="1:4" x14ac:dyDescent="0.3">
      <c r="A127" t="s">
        <v>21</v>
      </c>
      <c r="B127">
        <v>816</v>
      </c>
      <c r="C127">
        <v>196</v>
      </c>
      <c r="D127">
        <f t="shared" si="1"/>
        <v>620</v>
      </c>
    </row>
    <row r="128" spans="1:4" x14ac:dyDescent="0.3">
      <c r="A128" t="s">
        <v>21</v>
      </c>
      <c r="B128">
        <v>1633</v>
      </c>
      <c r="C128">
        <v>445</v>
      </c>
      <c r="D128">
        <f t="shared" si="1"/>
        <v>1188</v>
      </c>
    </row>
    <row r="129" spans="1:4" x14ac:dyDescent="0.3">
      <c r="A129" t="s">
        <v>21</v>
      </c>
      <c r="B129">
        <v>891</v>
      </c>
      <c r="C129">
        <v>45</v>
      </c>
      <c r="D129">
        <f t="shared" si="1"/>
        <v>846</v>
      </c>
    </row>
    <row r="130" spans="1:4" x14ac:dyDescent="0.3">
      <c r="A130" t="s">
        <v>17</v>
      </c>
      <c r="B130">
        <v>1855</v>
      </c>
      <c r="C130">
        <v>133</v>
      </c>
      <c r="D130">
        <f t="shared" si="1"/>
        <v>1722</v>
      </c>
    </row>
    <row r="131" spans="1:4" x14ac:dyDescent="0.3">
      <c r="A131" t="s">
        <v>21</v>
      </c>
      <c r="B131">
        <v>651</v>
      </c>
      <c r="C131">
        <v>353</v>
      </c>
      <c r="D131">
        <f t="shared" ref="D131:D194" si="2">(B131-C131)</f>
        <v>298</v>
      </c>
    </row>
    <row r="132" spans="1:4" x14ac:dyDescent="0.3">
      <c r="A132" t="s">
        <v>34</v>
      </c>
      <c r="B132">
        <v>118</v>
      </c>
      <c r="C132">
        <v>262</v>
      </c>
      <c r="D132">
        <f t="shared" si="2"/>
        <v>-144</v>
      </c>
    </row>
    <row r="133" spans="1:4" x14ac:dyDescent="0.3">
      <c r="A133" t="s">
        <v>21</v>
      </c>
      <c r="B133">
        <v>1331</v>
      </c>
      <c r="C133">
        <v>430</v>
      </c>
      <c r="D133">
        <f t="shared" si="2"/>
        <v>901</v>
      </c>
    </row>
    <row r="134" spans="1:4" x14ac:dyDescent="0.3">
      <c r="A134" t="s">
        <v>34</v>
      </c>
      <c r="B134">
        <v>1748</v>
      </c>
      <c r="C134">
        <v>176</v>
      </c>
      <c r="D134">
        <f t="shared" si="2"/>
        <v>1572</v>
      </c>
    </row>
    <row r="135" spans="1:4" x14ac:dyDescent="0.3">
      <c r="A135" t="s">
        <v>21</v>
      </c>
      <c r="B135">
        <v>663</v>
      </c>
      <c r="C135">
        <v>236</v>
      </c>
      <c r="D135">
        <f t="shared" si="2"/>
        <v>427</v>
      </c>
    </row>
    <row r="136" spans="1:4" x14ac:dyDescent="0.3">
      <c r="A136" t="s">
        <v>17</v>
      </c>
      <c r="B136">
        <v>1040</v>
      </c>
      <c r="C136">
        <v>149</v>
      </c>
      <c r="D136">
        <f t="shared" si="2"/>
        <v>891</v>
      </c>
    </row>
    <row r="137" spans="1:4" x14ac:dyDescent="0.3">
      <c r="A137" t="s">
        <v>17</v>
      </c>
      <c r="B137">
        <v>1166</v>
      </c>
      <c r="C137">
        <v>442</v>
      </c>
      <c r="D137">
        <f t="shared" si="2"/>
        <v>724</v>
      </c>
    </row>
    <row r="138" spans="1:4" x14ac:dyDescent="0.3">
      <c r="A138" t="s">
        <v>17</v>
      </c>
      <c r="B138">
        <v>115</v>
      </c>
      <c r="C138">
        <v>281</v>
      </c>
      <c r="D138">
        <f t="shared" si="2"/>
        <v>-166</v>
      </c>
    </row>
    <row r="139" spans="1:4" x14ac:dyDescent="0.3">
      <c r="A139" t="s">
        <v>27</v>
      </c>
      <c r="B139">
        <v>1249</v>
      </c>
      <c r="C139">
        <v>351</v>
      </c>
      <c r="D139">
        <f t="shared" si="2"/>
        <v>898</v>
      </c>
    </row>
    <row r="140" spans="1:4" x14ac:dyDescent="0.3">
      <c r="A140" t="s">
        <v>21</v>
      </c>
      <c r="B140">
        <v>1501</v>
      </c>
      <c r="C140">
        <v>75</v>
      </c>
      <c r="D140">
        <f t="shared" si="2"/>
        <v>1426</v>
      </c>
    </row>
    <row r="141" spans="1:4" x14ac:dyDescent="0.3">
      <c r="A141" t="s">
        <v>27</v>
      </c>
      <c r="B141">
        <v>1411</v>
      </c>
      <c r="C141">
        <v>186</v>
      </c>
      <c r="D141">
        <f t="shared" si="2"/>
        <v>1225</v>
      </c>
    </row>
    <row r="142" spans="1:4" x14ac:dyDescent="0.3">
      <c r="A142" t="s">
        <v>27</v>
      </c>
      <c r="B142">
        <v>1556</v>
      </c>
      <c r="C142">
        <v>476</v>
      </c>
      <c r="D142">
        <f t="shared" si="2"/>
        <v>1080</v>
      </c>
    </row>
    <row r="143" spans="1:4" x14ac:dyDescent="0.3">
      <c r="A143" t="s">
        <v>34</v>
      </c>
      <c r="B143">
        <v>1159</v>
      </c>
      <c r="C143">
        <v>411</v>
      </c>
      <c r="D143">
        <f t="shared" si="2"/>
        <v>748</v>
      </c>
    </row>
    <row r="144" spans="1:4" x14ac:dyDescent="0.3">
      <c r="A144" t="s">
        <v>17</v>
      </c>
      <c r="B144">
        <v>927</v>
      </c>
      <c r="C144">
        <v>358</v>
      </c>
      <c r="D144">
        <f t="shared" si="2"/>
        <v>569</v>
      </c>
    </row>
    <row r="145" spans="1:4" x14ac:dyDescent="0.3">
      <c r="A145" t="s">
        <v>27</v>
      </c>
      <c r="B145">
        <v>152</v>
      </c>
      <c r="C145">
        <v>355</v>
      </c>
      <c r="D145">
        <f t="shared" si="2"/>
        <v>-203</v>
      </c>
    </row>
    <row r="146" spans="1:4" x14ac:dyDescent="0.3">
      <c r="A146" t="s">
        <v>34</v>
      </c>
      <c r="B146">
        <v>1957</v>
      </c>
      <c r="C146">
        <v>234</v>
      </c>
      <c r="D146">
        <f t="shared" si="2"/>
        <v>1723</v>
      </c>
    </row>
    <row r="147" spans="1:4" x14ac:dyDescent="0.3">
      <c r="A147" t="s">
        <v>17</v>
      </c>
      <c r="B147">
        <v>1294</v>
      </c>
      <c r="C147">
        <v>382</v>
      </c>
      <c r="D147">
        <f t="shared" si="2"/>
        <v>912</v>
      </c>
    </row>
    <row r="148" spans="1:4" x14ac:dyDescent="0.3">
      <c r="A148" t="s">
        <v>27</v>
      </c>
      <c r="B148">
        <v>1587</v>
      </c>
      <c r="C148">
        <v>385</v>
      </c>
      <c r="D148">
        <f t="shared" si="2"/>
        <v>1202</v>
      </c>
    </row>
    <row r="149" spans="1:4" x14ac:dyDescent="0.3">
      <c r="A149" t="s">
        <v>34</v>
      </c>
      <c r="B149">
        <v>1707</v>
      </c>
      <c r="C149">
        <v>263</v>
      </c>
      <c r="D149">
        <f t="shared" si="2"/>
        <v>1444</v>
      </c>
    </row>
    <row r="150" spans="1:4" x14ac:dyDescent="0.3">
      <c r="A150" t="s">
        <v>21</v>
      </c>
      <c r="B150">
        <v>1138</v>
      </c>
      <c r="C150">
        <v>173</v>
      </c>
      <c r="D150">
        <f t="shared" si="2"/>
        <v>965</v>
      </c>
    </row>
    <row r="151" spans="1:4" x14ac:dyDescent="0.3">
      <c r="A151" t="s">
        <v>17</v>
      </c>
      <c r="B151">
        <v>1895</v>
      </c>
      <c r="C151">
        <v>305</v>
      </c>
      <c r="D151">
        <f t="shared" si="2"/>
        <v>1590</v>
      </c>
    </row>
    <row r="152" spans="1:4" x14ac:dyDescent="0.3">
      <c r="A152" t="s">
        <v>27</v>
      </c>
      <c r="B152">
        <v>362</v>
      </c>
      <c r="C152">
        <v>399</v>
      </c>
      <c r="D152">
        <f t="shared" si="2"/>
        <v>-37</v>
      </c>
    </row>
    <row r="153" spans="1:4" x14ac:dyDescent="0.3">
      <c r="A153" t="s">
        <v>27</v>
      </c>
      <c r="B153">
        <v>1662</v>
      </c>
      <c r="C153">
        <v>487</v>
      </c>
      <c r="D153">
        <f t="shared" si="2"/>
        <v>1175</v>
      </c>
    </row>
    <row r="154" spans="1:4" x14ac:dyDescent="0.3">
      <c r="A154" t="s">
        <v>21</v>
      </c>
      <c r="B154">
        <v>1440</v>
      </c>
      <c r="C154">
        <v>65</v>
      </c>
      <c r="D154">
        <f t="shared" si="2"/>
        <v>1375</v>
      </c>
    </row>
    <row r="155" spans="1:4" x14ac:dyDescent="0.3">
      <c r="A155" t="s">
        <v>17</v>
      </c>
      <c r="B155">
        <v>1884</v>
      </c>
      <c r="C155">
        <v>177</v>
      </c>
      <c r="D155">
        <f t="shared" si="2"/>
        <v>1707</v>
      </c>
    </row>
    <row r="156" spans="1:4" x14ac:dyDescent="0.3">
      <c r="A156" t="s">
        <v>27</v>
      </c>
      <c r="B156">
        <v>861</v>
      </c>
      <c r="C156">
        <v>153</v>
      </c>
      <c r="D156">
        <f t="shared" si="2"/>
        <v>708</v>
      </c>
    </row>
    <row r="157" spans="1:4" x14ac:dyDescent="0.3">
      <c r="A157" t="s">
        <v>27</v>
      </c>
      <c r="B157">
        <v>1063</v>
      </c>
      <c r="C157">
        <v>47</v>
      </c>
      <c r="D157">
        <f t="shared" si="2"/>
        <v>1016</v>
      </c>
    </row>
    <row r="158" spans="1:4" x14ac:dyDescent="0.3">
      <c r="A158" t="s">
        <v>17</v>
      </c>
      <c r="B158">
        <v>1371</v>
      </c>
      <c r="C158">
        <v>56</v>
      </c>
      <c r="D158">
        <f t="shared" si="2"/>
        <v>1315</v>
      </c>
    </row>
    <row r="159" spans="1:4" x14ac:dyDescent="0.3">
      <c r="A159" t="s">
        <v>34</v>
      </c>
      <c r="B159">
        <v>345</v>
      </c>
      <c r="C159">
        <v>464</v>
      </c>
      <c r="D159">
        <f t="shared" si="2"/>
        <v>-119</v>
      </c>
    </row>
    <row r="160" spans="1:4" x14ac:dyDescent="0.3">
      <c r="A160" t="s">
        <v>27</v>
      </c>
      <c r="B160">
        <v>946</v>
      </c>
      <c r="C160">
        <v>47</v>
      </c>
      <c r="D160">
        <f t="shared" si="2"/>
        <v>899</v>
      </c>
    </row>
    <row r="161" spans="1:4" x14ac:dyDescent="0.3">
      <c r="A161" t="s">
        <v>17</v>
      </c>
      <c r="B161">
        <v>510</v>
      </c>
      <c r="C161">
        <v>195</v>
      </c>
      <c r="D161">
        <f t="shared" si="2"/>
        <v>315</v>
      </c>
    </row>
    <row r="162" spans="1:4" x14ac:dyDescent="0.3">
      <c r="A162" t="s">
        <v>27</v>
      </c>
      <c r="B162">
        <v>393</v>
      </c>
      <c r="C162">
        <v>181</v>
      </c>
      <c r="D162">
        <f t="shared" si="2"/>
        <v>212</v>
      </c>
    </row>
    <row r="163" spans="1:4" x14ac:dyDescent="0.3">
      <c r="A163" t="s">
        <v>21</v>
      </c>
      <c r="B163">
        <v>1098</v>
      </c>
      <c r="C163">
        <v>190</v>
      </c>
      <c r="D163">
        <f t="shared" si="2"/>
        <v>908</v>
      </c>
    </row>
    <row r="164" spans="1:4" x14ac:dyDescent="0.3">
      <c r="A164" t="s">
        <v>21</v>
      </c>
      <c r="B164">
        <v>1399</v>
      </c>
      <c r="C164">
        <v>49</v>
      </c>
      <c r="D164">
        <f t="shared" si="2"/>
        <v>1350</v>
      </c>
    </row>
    <row r="165" spans="1:4" x14ac:dyDescent="0.3">
      <c r="A165" t="s">
        <v>17</v>
      </c>
      <c r="B165">
        <v>1658</v>
      </c>
      <c r="C165">
        <v>416</v>
      </c>
      <c r="D165">
        <f t="shared" si="2"/>
        <v>1242</v>
      </c>
    </row>
    <row r="166" spans="1:4" x14ac:dyDescent="0.3">
      <c r="A166" t="s">
        <v>27</v>
      </c>
      <c r="B166">
        <v>1102</v>
      </c>
      <c r="C166">
        <v>422</v>
      </c>
      <c r="D166">
        <f t="shared" si="2"/>
        <v>680</v>
      </c>
    </row>
    <row r="167" spans="1:4" x14ac:dyDescent="0.3">
      <c r="A167" t="s">
        <v>17</v>
      </c>
      <c r="B167">
        <v>1358</v>
      </c>
      <c r="C167">
        <v>242</v>
      </c>
      <c r="D167">
        <f t="shared" si="2"/>
        <v>1116</v>
      </c>
    </row>
    <row r="168" spans="1:4" x14ac:dyDescent="0.3">
      <c r="A168" t="s">
        <v>27</v>
      </c>
      <c r="B168">
        <v>1077</v>
      </c>
      <c r="C168">
        <v>216</v>
      </c>
      <c r="D168">
        <f t="shared" si="2"/>
        <v>861</v>
      </c>
    </row>
    <row r="169" spans="1:4" x14ac:dyDescent="0.3">
      <c r="A169" t="s">
        <v>34</v>
      </c>
      <c r="B169">
        <v>1596</v>
      </c>
      <c r="C169">
        <v>211</v>
      </c>
      <c r="D169">
        <f t="shared" si="2"/>
        <v>1385</v>
      </c>
    </row>
    <row r="170" spans="1:4" x14ac:dyDescent="0.3">
      <c r="A170" t="s">
        <v>17</v>
      </c>
      <c r="B170">
        <v>490</v>
      </c>
      <c r="C170">
        <v>29</v>
      </c>
      <c r="D170">
        <f t="shared" si="2"/>
        <v>461</v>
      </c>
    </row>
    <row r="171" spans="1:4" x14ac:dyDescent="0.3">
      <c r="A171" t="s">
        <v>27</v>
      </c>
      <c r="B171">
        <v>609</v>
      </c>
      <c r="C171">
        <v>135</v>
      </c>
      <c r="D171">
        <f t="shared" si="2"/>
        <v>474</v>
      </c>
    </row>
    <row r="172" spans="1:4" x14ac:dyDescent="0.3">
      <c r="A172" t="s">
        <v>21</v>
      </c>
      <c r="B172">
        <v>364</v>
      </c>
      <c r="C172">
        <v>72</v>
      </c>
      <c r="D172">
        <f t="shared" si="2"/>
        <v>292</v>
      </c>
    </row>
    <row r="173" spans="1:4" x14ac:dyDescent="0.3">
      <c r="A173" t="s">
        <v>34</v>
      </c>
      <c r="B173">
        <v>442</v>
      </c>
      <c r="C173">
        <v>53</v>
      </c>
      <c r="D173">
        <f t="shared" si="2"/>
        <v>389</v>
      </c>
    </row>
    <row r="174" spans="1:4" x14ac:dyDescent="0.3">
      <c r="A174" t="s">
        <v>17</v>
      </c>
      <c r="B174">
        <v>1033</v>
      </c>
      <c r="C174">
        <v>392</v>
      </c>
      <c r="D174">
        <f t="shared" si="2"/>
        <v>641</v>
      </c>
    </row>
    <row r="175" spans="1:4" x14ac:dyDescent="0.3">
      <c r="A175" t="s">
        <v>34</v>
      </c>
      <c r="B175">
        <v>988</v>
      </c>
      <c r="C175">
        <v>474</v>
      </c>
      <c r="D175">
        <f t="shared" si="2"/>
        <v>514</v>
      </c>
    </row>
    <row r="176" spans="1:4" x14ac:dyDescent="0.3">
      <c r="A176" t="s">
        <v>21</v>
      </c>
      <c r="B176">
        <v>1946</v>
      </c>
      <c r="C176">
        <v>270</v>
      </c>
      <c r="D176">
        <f t="shared" si="2"/>
        <v>1676</v>
      </c>
    </row>
    <row r="177" spans="1:4" x14ac:dyDescent="0.3">
      <c r="A177" t="s">
        <v>34</v>
      </c>
      <c r="B177">
        <v>1957</v>
      </c>
      <c r="C177">
        <v>490</v>
      </c>
      <c r="D177">
        <f t="shared" si="2"/>
        <v>1467</v>
      </c>
    </row>
    <row r="178" spans="1:4" x14ac:dyDescent="0.3">
      <c r="A178" t="s">
        <v>21</v>
      </c>
      <c r="B178">
        <v>559</v>
      </c>
      <c r="C178">
        <v>392</v>
      </c>
      <c r="D178">
        <f t="shared" si="2"/>
        <v>167</v>
      </c>
    </row>
    <row r="179" spans="1:4" x14ac:dyDescent="0.3">
      <c r="A179" t="s">
        <v>21</v>
      </c>
      <c r="B179">
        <v>1307</v>
      </c>
      <c r="C179">
        <v>278</v>
      </c>
      <c r="D179">
        <f t="shared" si="2"/>
        <v>1029</v>
      </c>
    </row>
    <row r="180" spans="1:4" x14ac:dyDescent="0.3">
      <c r="A180" t="s">
        <v>21</v>
      </c>
      <c r="B180">
        <v>1432</v>
      </c>
      <c r="C180">
        <v>425</v>
      </c>
      <c r="D180">
        <f t="shared" si="2"/>
        <v>1007</v>
      </c>
    </row>
    <row r="181" spans="1:4" x14ac:dyDescent="0.3">
      <c r="A181" t="s">
        <v>34</v>
      </c>
      <c r="B181">
        <v>623</v>
      </c>
      <c r="C181">
        <v>414</v>
      </c>
      <c r="D181">
        <f t="shared" si="2"/>
        <v>209</v>
      </c>
    </row>
    <row r="182" spans="1:4" x14ac:dyDescent="0.3">
      <c r="A182" t="s">
        <v>34</v>
      </c>
      <c r="B182">
        <v>198</v>
      </c>
      <c r="C182">
        <v>358</v>
      </c>
      <c r="D182">
        <f t="shared" si="2"/>
        <v>-160</v>
      </c>
    </row>
    <row r="183" spans="1:4" x14ac:dyDescent="0.3">
      <c r="A183" t="s">
        <v>17</v>
      </c>
      <c r="B183">
        <v>198</v>
      </c>
      <c r="C183">
        <v>373</v>
      </c>
      <c r="D183">
        <f t="shared" si="2"/>
        <v>-175</v>
      </c>
    </row>
    <row r="184" spans="1:4" x14ac:dyDescent="0.3">
      <c r="A184" t="s">
        <v>27</v>
      </c>
      <c r="B184">
        <v>353</v>
      </c>
      <c r="C184">
        <v>300</v>
      </c>
      <c r="D184">
        <f t="shared" si="2"/>
        <v>53</v>
      </c>
    </row>
    <row r="185" spans="1:4" x14ac:dyDescent="0.3">
      <c r="A185" t="s">
        <v>27</v>
      </c>
      <c r="B185">
        <v>520</v>
      </c>
      <c r="C185">
        <v>375</v>
      </c>
      <c r="D185">
        <f t="shared" si="2"/>
        <v>145</v>
      </c>
    </row>
    <row r="186" spans="1:4" x14ac:dyDescent="0.3">
      <c r="A186" t="s">
        <v>17</v>
      </c>
      <c r="B186">
        <v>961</v>
      </c>
      <c r="C186">
        <v>358</v>
      </c>
      <c r="D186">
        <f t="shared" si="2"/>
        <v>603</v>
      </c>
    </row>
    <row r="187" spans="1:4" x14ac:dyDescent="0.3">
      <c r="A187" t="s">
        <v>27</v>
      </c>
      <c r="B187">
        <v>1375</v>
      </c>
      <c r="C187">
        <v>330</v>
      </c>
      <c r="D187">
        <f t="shared" si="2"/>
        <v>1045</v>
      </c>
    </row>
    <row r="188" spans="1:4" x14ac:dyDescent="0.3">
      <c r="A188" t="s">
        <v>17</v>
      </c>
      <c r="B188">
        <v>1147</v>
      </c>
      <c r="C188">
        <v>388</v>
      </c>
      <c r="D188">
        <f t="shared" si="2"/>
        <v>759</v>
      </c>
    </row>
    <row r="189" spans="1:4" x14ac:dyDescent="0.3">
      <c r="A189" t="s">
        <v>34</v>
      </c>
      <c r="B189">
        <v>1707</v>
      </c>
      <c r="C189">
        <v>74</v>
      </c>
      <c r="D189">
        <f t="shared" si="2"/>
        <v>1633</v>
      </c>
    </row>
    <row r="190" spans="1:4" x14ac:dyDescent="0.3">
      <c r="A190" t="s">
        <v>34</v>
      </c>
      <c r="B190">
        <v>1693</v>
      </c>
      <c r="C190">
        <v>154</v>
      </c>
      <c r="D190">
        <f t="shared" si="2"/>
        <v>1539</v>
      </c>
    </row>
    <row r="191" spans="1:4" x14ac:dyDescent="0.3">
      <c r="A191" t="s">
        <v>27</v>
      </c>
      <c r="B191">
        <v>833</v>
      </c>
      <c r="C191">
        <v>380</v>
      </c>
      <c r="D191">
        <f t="shared" si="2"/>
        <v>453</v>
      </c>
    </row>
    <row r="192" spans="1:4" x14ac:dyDescent="0.3">
      <c r="A192" t="s">
        <v>21</v>
      </c>
      <c r="B192">
        <v>1222</v>
      </c>
      <c r="C192">
        <v>274</v>
      </c>
      <c r="D192">
        <f t="shared" si="2"/>
        <v>948</v>
      </c>
    </row>
    <row r="193" spans="1:4" x14ac:dyDescent="0.3">
      <c r="A193" t="s">
        <v>17</v>
      </c>
      <c r="B193">
        <v>777</v>
      </c>
      <c r="C193">
        <v>140</v>
      </c>
      <c r="D193">
        <f t="shared" si="2"/>
        <v>637</v>
      </c>
    </row>
    <row r="194" spans="1:4" x14ac:dyDescent="0.3">
      <c r="A194" t="s">
        <v>34</v>
      </c>
      <c r="B194">
        <v>1957</v>
      </c>
      <c r="C194">
        <v>76</v>
      </c>
      <c r="D194">
        <f t="shared" si="2"/>
        <v>1881</v>
      </c>
    </row>
    <row r="195" spans="1:4" x14ac:dyDescent="0.3">
      <c r="A195" t="s">
        <v>27</v>
      </c>
      <c r="B195">
        <v>405</v>
      </c>
      <c r="C195">
        <v>66</v>
      </c>
      <c r="D195">
        <f t="shared" ref="D195:D201" si="3">(B195-C195)</f>
        <v>339</v>
      </c>
    </row>
    <row r="196" spans="1:4" x14ac:dyDescent="0.3">
      <c r="A196" t="s">
        <v>34</v>
      </c>
      <c r="B196">
        <v>1581</v>
      </c>
      <c r="C196">
        <v>71</v>
      </c>
      <c r="D196">
        <f t="shared" si="3"/>
        <v>1510</v>
      </c>
    </row>
    <row r="197" spans="1:4" x14ac:dyDescent="0.3">
      <c r="A197" t="s">
        <v>27</v>
      </c>
      <c r="B197">
        <v>1035</v>
      </c>
      <c r="C197">
        <v>171</v>
      </c>
      <c r="D197">
        <f t="shared" si="3"/>
        <v>864</v>
      </c>
    </row>
    <row r="198" spans="1:4" x14ac:dyDescent="0.3">
      <c r="A198" t="s">
        <v>34</v>
      </c>
      <c r="B198">
        <v>1765</v>
      </c>
      <c r="C198">
        <v>109</v>
      </c>
      <c r="D198">
        <f t="shared" si="3"/>
        <v>1656</v>
      </c>
    </row>
    <row r="199" spans="1:4" x14ac:dyDescent="0.3">
      <c r="A199" t="s">
        <v>27</v>
      </c>
      <c r="B199">
        <v>837</v>
      </c>
      <c r="C199">
        <v>430</v>
      </c>
      <c r="D199">
        <f t="shared" si="3"/>
        <v>407</v>
      </c>
    </row>
    <row r="200" spans="1:4" x14ac:dyDescent="0.3">
      <c r="A200" t="s">
        <v>17</v>
      </c>
      <c r="B200">
        <v>337</v>
      </c>
      <c r="C200">
        <v>68</v>
      </c>
      <c r="D200">
        <f t="shared" si="3"/>
        <v>269</v>
      </c>
    </row>
    <row r="201" spans="1:4" x14ac:dyDescent="0.3">
      <c r="A201" t="s">
        <v>21</v>
      </c>
      <c r="B201">
        <v>119</v>
      </c>
      <c r="C201">
        <v>456</v>
      </c>
      <c r="D201">
        <f t="shared" si="3"/>
        <v>-337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BE7B9-5E17-4542-9AF5-4AE9DADDC4A0}">
  <sheetPr>
    <tabColor theme="7" tint="0.39997558519241921"/>
  </sheetPr>
  <dimension ref="A1:AE201"/>
  <sheetViews>
    <sheetView tabSelected="1" topLeftCell="I1" zoomScale="95" zoomScaleNormal="100" workbookViewId="0">
      <selection activeCell="S35" sqref="S35"/>
    </sheetView>
  </sheetViews>
  <sheetFormatPr defaultRowHeight="14.4" x14ac:dyDescent="0.3"/>
  <cols>
    <col min="1" max="1" width="17.5546875" customWidth="1"/>
    <col min="2" max="2" width="10.21875" customWidth="1"/>
    <col min="3" max="3" width="15.5546875" customWidth="1"/>
    <col min="4" max="4" width="11.33203125" customWidth="1"/>
    <col min="5" max="5" width="18.5546875" customWidth="1"/>
    <col min="7" max="7" width="24.44140625" bestFit="1" customWidth="1"/>
    <col min="8" max="8" width="16.77734375" bestFit="1" customWidth="1"/>
    <col min="9" max="9" width="9.6640625" bestFit="1" customWidth="1"/>
    <col min="10" max="10" width="7.5546875" bestFit="1" customWidth="1"/>
    <col min="11" max="11" width="8.6640625" bestFit="1" customWidth="1"/>
    <col min="12" max="12" width="10.77734375" bestFit="1" customWidth="1"/>
    <col min="13" max="13" width="13.88671875" bestFit="1" customWidth="1"/>
    <col min="14" max="14" width="24.109375" bestFit="1" customWidth="1"/>
  </cols>
  <sheetData>
    <row r="1" spans="1:31" x14ac:dyDescent="0.3">
      <c r="A1" s="1" t="s">
        <v>547</v>
      </c>
      <c r="B1" s="1" t="s">
        <v>1</v>
      </c>
      <c r="C1" s="14" t="s">
        <v>548</v>
      </c>
      <c r="D1" s="14" t="s">
        <v>549</v>
      </c>
      <c r="E1" s="14" t="s">
        <v>690</v>
      </c>
      <c r="F1" s="14"/>
    </row>
    <row r="2" spans="1:31" x14ac:dyDescent="0.3">
      <c r="A2" s="5" t="s">
        <v>220</v>
      </c>
      <c r="B2" s="5" t="s">
        <v>23</v>
      </c>
      <c r="C2">
        <v>1535</v>
      </c>
      <c r="D2">
        <v>445</v>
      </c>
      <c r="E2">
        <f t="shared" ref="E2:E33" si="0">((C2-D2))</f>
        <v>1090</v>
      </c>
    </row>
    <row r="3" spans="1:31" ht="23.4" x14ac:dyDescent="0.3">
      <c r="A3" s="5" t="s">
        <v>220</v>
      </c>
      <c r="B3" s="5" t="s">
        <v>29</v>
      </c>
      <c r="C3">
        <v>1135</v>
      </c>
      <c r="D3">
        <v>88</v>
      </c>
      <c r="E3">
        <f t="shared" si="0"/>
        <v>1047</v>
      </c>
      <c r="G3" s="45" t="s">
        <v>691</v>
      </c>
      <c r="H3" s="45" t="s">
        <v>652</v>
      </c>
      <c r="Y3" s="180" t="s">
        <v>711</v>
      </c>
      <c r="Z3" s="172"/>
      <c r="AA3" s="172"/>
      <c r="AB3" s="172"/>
      <c r="AC3" s="172"/>
      <c r="AD3" s="172"/>
      <c r="AE3" s="172"/>
    </row>
    <row r="4" spans="1:31" x14ac:dyDescent="0.3">
      <c r="A4" s="5" t="s">
        <v>220</v>
      </c>
      <c r="B4" s="5" t="s">
        <v>39</v>
      </c>
      <c r="C4">
        <v>1312</v>
      </c>
      <c r="D4">
        <v>310</v>
      </c>
      <c r="E4">
        <f t="shared" si="0"/>
        <v>1002</v>
      </c>
      <c r="G4" s="45" t="s">
        <v>666</v>
      </c>
      <c r="H4" t="s">
        <v>39</v>
      </c>
      <c r="I4" t="s">
        <v>29</v>
      </c>
      <c r="J4" t="s">
        <v>14</v>
      </c>
      <c r="K4" t="s">
        <v>23</v>
      </c>
      <c r="Y4" s="108"/>
    </row>
    <row r="5" spans="1:31" x14ac:dyDescent="0.3">
      <c r="A5" s="5" t="s">
        <v>220</v>
      </c>
      <c r="B5" s="5" t="s">
        <v>14</v>
      </c>
      <c r="C5">
        <v>584</v>
      </c>
      <c r="D5">
        <v>169</v>
      </c>
      <c r="E5">
        <f t="shared" si="0"/>
        <v>415</v>
      </c>
      <c r="G5" s="46" t="s">
        <v>220</v>
      </c>
      <c r="H5">
        <v>1002</v>
      </c>
      <c r="I5">
        <v>1047</v>
      </c>
      <c r="J5">
        <v>415</v>
      </c>
      <c r="K5">
        <v>1090</v>
      </c>
      <c r="Y5" s="178" t="s">
        <v>712</v>
      </c>
      <c r="Z5" s="172"/>
      <c r="AA5" s="172"/>
      <c r="AB5" s="172"/>
      <c r="AC5" s="172"/>
      <c r="AD5" s="172"/>
      <c r="AE5" s="172"/>
    </row>
    <row r="6" spans="1:31" x14ac:dyDescent="0.3">
      <c r="A6" s="5" t="s">
        <v>142</v>
      </c>
      <c r="B6" s="5" t="s">
        <v>39</v>
      </c>
      <c r="C6">
        <v>1697</v>
      </c>
      <c r="D6">
        <v>414</v>
      </c>
      <c r="E6">
        <f t="shared" si="0"/>
        <v>1283</v>
      </c>
      <c r="G6" s="46" t="s">
        <v>142</v>
      </c>
      <c r="H6">
        <v>1283</v>
      </c>
      <c r="I6">
        <v>517</v>
      </c>
      <c r="J6">
        <v>186</v>
      </c>
      <c r="K6">
        <v>994</v>
      </c>
      <c r="Y6" s="179"/>
      <c r="Z6" s="172"/>
      <c r="AA6" s="172"/>
      <c r="AB6" s="172"/>
      <c r="AC6" s="172"/>
      <c r="AD6" s="172"/>
      <c r="AE6" s="172"/>
    </row>
    <row r="7" spans="1:31" x14ac:dyDescent="0.3">
      <c r="A7" s="5" t="s">
        <v>142</v>
      </c>
      <c r="B7" s="5" t="s">
        <v>23</v>
      </c>
      <c r="C7">
        <v>1197</v>
      </c>
      <c r="D7">
        <v>203</v>
      </c>
      <c r="E7">
        <f t="shared" si="0"/>
        <v>994</v>
      </c>
      <c r="G7" s="46" t="s">
        <v>154</v>
      </c>
      <c r="H7">
        <v>1382</v>
      </c>
      <c r="I7">
        <v>893</v>
      </c>
      <c r="J7">
        <v>1295</v>
      </c>
      <c r="K7">
        <v>337</v>
      </c>
      <c r="Y7" s="178" t="s">
        <v>713</v>
      </c>
      <c r="Z7" s="172"/>
      <c r="AA7" s="172"/>
      <c r="AB7" s="172"/>
      <c r="AC7" s="172"/>
      <c r="AD7" s="172"/>
      <c r="AE7" s="172"/>
    </row>
    <row r="8" spans="1:31" x14ac:dyDescent="0.3">
      <c r="A8" s="5" t="s">
        <v>142</v>
      </c>
      <c r="B8" s="5" t="s">
        <v>29</v>
      </c>
      <c r="C8">
        <v>656</v>
      </c>
      <c r="D8">
        <v>139</v>
      </c>
      <c r="E8">
        <f t="shared" si="0"/>
        <v>517</v>
      </c>
      <c r="G8" s="46" t="s">
        <v>44</v>
      </c>
      <c r="H8">
        <v>1670</v>
      </c>
      <c r="I8">
        <v>629</v>
      </c>
      <c r="J8">
        <v>835</v>
      </c>
      <c r="K8">
        <v>-123</v>
      </c>
      <c r="Y8" s="172"/>
      <c r="Z8" s="172"/>
      <c r="AA8" s="172"/>
      <c r="AB8" s="172"/>
      <c r="AC8" s="172"/>
      <c r="AD8" s="172"/>
      <c r="AE8" s="172"/>
    </row>
    <row r="9" spans="1:31" x14ac:dyDescent="0.3">
      <c r="A9" s="5" t="s">
        <v>142</v>
      </c>
      <c r="B9" s="5" t="s">
        <v>14</v>
      </c>
      <c r="C9">
        <v>436</v>
      </c>
      <c r="D9">
        <v>250</v>
      </c>
      <c r="E9">
        <f t="shared" si="0"/>
        <v>186</v>
      </c>
      <c r="G9" s="46" t="s">
        <v>439</v>
      </c>
      <c r="H9">
        <v>64</v>
      </c>
      <c r="I9">
        <v>-219</v>
      </c>
      <c r="J9">
        <v>1357</v>
      </c>
      <c r="K9">
        <v>91</v>
      </c>
      <c r="Y9" s="172"/>
      <c r="Z9" s="172"/>
      <c r="AA9" s="172"/>
      <c r="AB9" s="172"/>
      <c r="AC9" s="172"/>
      <c r="AD9" s="172"/>
      <c r="AE9" s="172"/>
    </row>
    <row r="10" spans="1:31" x14ac:dyDescent="0.3">
      <c r="A10" s="5" t="s">
        <v>154</v>
      </c>
      <c r="B10" s="5" t="s">
        <v>39</v>
      </c>
      <c r="C10">
        <v>1753</v>
      </c>
      <c r="D10">
        <v>371</v>
      </c>
      <c r="E10">
        <f t="shared" si="0"/>
        <v>1382</v>
      </c>
      <c r="G10" s="46" t="s">
        <v>553</v>
      </c>
      <c r="H10">
        <v>309</v>
      </c>
      <c r="I10">
        <v>1672</v>
      </c>
      <c r="J10">
        <v>547</v>
      </c>
      <c r="K10">
        <v>514</v>
      </c>
      <c r="Y10" s="172"/>
      <c r="Z10" s="172"/>
      <c r="AA10" s="172"/>
      <c r="AB10" s="172"/>
      <c r="AC10" s="172"/>
      <c r="AD10" s="172"/>
      <c r="AE10" s="172"/>
    </row>
    <row r="11" spans="1:31" x14ac:dyDescent="0.3">
      <c r="A11" s="5" t="s">
        <v>154</v>
      </c>
      <c r="B11" s="5" t="s">
        <v>14</v>
      </c>
      <c r="C11">
        <v>1335</v>
      </c>
      <c r="D11">
        <v>40</v>
      </c>
      <c r="E11">
        <f t="shared" si="0"/>
        <v>1295</v>
      </c>
      <c r="G11" s="46" t="s">
        <v>303</v>
      </c>
      <c r="H11">
        <v>-164</v>
      </c>
      <c r="I11">
        <v>1845</v>
      </c>
      <c r="J11">
        <v>429</v>
      </c>
      <c r="K11">
        <v>160</v>
      </c>
    </row>
    <row r="12" spans="1:31" x14ac:dyDescent="0.3">
      <c r="A12" s="5" t="s">
        <v>154</v>
      </c>
      <c r="B12" s="5" t="s">
        <v>29</v>
      </c>
      <c r="C12">
        <v>1048</v>
      </c>
      <c r="D12">
        <v>155</v>
      </c>
      <c r="E12">
        <f t="shared" si="0"/>
        <v>893</v>
      </c>
      <c r="G12" s="46" t="s">
        <v>554</v>
      </c>
      <c r="H12">
        <v>961</v>
      </c>
      <c r="I12">
        <v>159</v>
      </c>
      <c r="J12">
        <v>1316</v>
      </c>
      <c r="K12">
        <v>317</v>
      </c>
    </row>
    <row r="13" spans="1:31" x14ac:dyDescent="0.3">
      <c r="A13" s="5" t="s">
        <v>154</v>
      </c>
      <c r="B13" s="5" t="s">
        <v>23</v>
      </c>
      <c r="C13">
        <v>403</v>
      </c>
      <c r="D13">
        <v>66</v>
      </c>
      <c r="E13">
        <f t="shared" si="0"/>
        <v>337</v>
      </c>
      <c r="G13" s="46" t="s">
        <v>256</v>
      </c>
      <c r="H13">
        <v>-318</v>
      </c>
      <c r="I13">
        <v>541</v>
      </c>
      <c r="J13">
        <v>1495</v>
      </c>
      <c r="K13">
        <v>475</v>
      </c>
    </row>
    <row r="14" spans="1:31" x14ac:dyDescent="0.3">
      <c r="A14" s="5" t="s">
        <v>44</v>
      </c>
      <c r="B14" s="5" t="s">
        <v>39</v>
      </c>
      <c r="C14">
        <v>1779</v>
      </c>
      <c r="D14">
        <v>109</v>
      </c>
      <c r="E14">
        <f t="shared" si="0"/>
        <v>1670</v>
      </c>
      <c r="G14" s="46" t="s">
        <v>482</v>
      </c>
      <c r="H14">
        <v>-197</v>
      </c>
      <c r="I14">
        <v>352</v>
      </c>
      <c r="J14">
        <v>328</v>
      </c>
      <c r="K14">
        <v>319</v>
      </c>
    </row>
    <row r="15" spans="1:31" x14ac:dyDescent="0.3">
      <c r="A15" s="5" t="s">
        <v>44</v>
      </c>
      <c r="B15" s="5" t="s">
        <v>14</v>
      </c>
      <c r="C15">
        <v>1238</v>
      </c>
      <c r="D15">
        <v>403</v>
      </c>
      <c r="E15">
        <f t="shared" si="0"/>
        <v>835</v>
      </c>
      <c r="G15" s="46" t="s">
        <v>30</v>
      </c>
      <c r="H15">
        <v>1334</v>
      </c>
      <c r="I15">
        <v>1325</v>
      </c>
      <c r="J15">
        <v>37</v>
      </c>
      <c r="K15">
        <v>1032</v>
      </c>
    </row>
    <row r="16" spans="1:31" x14ac:dyDescent="0.3">
      <c r="A16" s="5" t="s">
        <v>44</v>
      </c>
      <c r="B16" s="5" t="s">
        <v>29</v>
      </c>
      <c r="C16">
        <v>911</v>
      </c>
      <c r="D16">
        <v>282</v>
      </c>
      <c r="E16">
        <f t="shared" si="0"/>
        <v>629</v>
      </c>
      <c r="G16" s="46" t="s">
        <v>76</v>
      </c>
      <c r="H16">
        <v>1058</v>
      </c>
      <c r="I16">
        <v>76</v>
      </c>
      <c r="J16">
        <v>1665</v>
      </c>
      <c r="K16">
        <v>190</v>
      </c>
    </row>
    <row r="17" spans="1:23" x14ac:dyDescent="0.3">
      <c r="A17" s="5" t="s">
        <v>44</v>
      </c>
      <c r="B17" s="5" t="s">
        <v>23</v>
      </c>
      <c r="C17">
        <v>308</v>
      </c>
      <c r="D17">
        <v>431</v>
      </c>
      <c r="E17">
        <f t="shared" si="0"/>
        <v>-123</v>
      </c>
      <c r="G17" s="46" t="s">
        <v>72</v>
      </c>
      <c r="H17">
        <v>37</v>
      </c>
      <c r="I17">
        <v>1609</v>
      </c>
      <c r="J17">
        <v>1229</v>
      </c>
      <c r="K17">
        <v>28</v>
      </c>
    </row>
    <row r="18" spans="1:23" x14ac:dyDescent="0.3">
      <c r="A18" s="5" t="s">
        <v>439</v>
      </c>
      <c r="B18" s="5" t="s">
        <v>14</v>
      </c>
      <c r="C18">
        <v>1420</v>
      </c>
      <c r="D18">
        <v>63</v>
      </c>
      <c r="E18">
        <f t="shared" si="0"/>
        <v>1357</v>
      </c>
      <c r="G18" s="46" t="s">
        <v>184</v>
      </c>
      <c r="H18">
        <v>1045</v>
      </c>
      <c r="I18">
        <v>1247</v>
      </c>
      <c r="J18">
        <v>197</v>
      </c>
      <c r="K18">
        <v>333</v>
      </c>
    </row>
    <row r="19" spans="1:23" x14ac:dyDescent="0.3">
      <c r="A19" s="5" t="s">
        <v>439</v>
      </c>
      <c r="B19" s="5" t="s">
        <v>23</v>
      </c>
      <c r="C19">
        <v>144</v>
      </c>
      <c r="D19">
        <v>53</v>
      </c>
      <c r="E19">
        <f t="shared" si="0"/>
        <v>91</v>
      </c>
      <c r="G19" s="46" t="s">
        <v>82</v>
      </c>
      <c r="H19">
        <v>1428</v>
      </c>
      <c r="I19">
        <v>1572</v>
      </c>
      <c r="J19">
        <v>260</v>
      </c>
      <c r="K19">
        <v>1100</v>
      </c>
    </row>
    <row r="20" spans="1:23" x14ac:dyDescent="0.3">
      <c r="A20" s="5" t="s">
        <v>439</v>
      </c>
      <c r="B20" s="5" t="s">
        <v>39</v>
      </c>
      <c r="C20">
        <v>505</v>
      </c>
      <c r="D20">
        <v>441</v>
      </c>
      <c r="E20">
        <f t="shared" si="0"/>
        <v>64</v>
      </c>
      <c r="G20" s="46" t="s">
        <v>555</v>
      </c>
      <c r="H20">
        <v>98</v>
      </c>
      <c r="I20">
        <v>377</v>
      </c>
      <c r="J20">
        <v>1125</v>
      </c>
      <c r="K20">
        <v>-32</v>
      </c>
    </row>
    <row r="21" spans="1:23" x14ac:dyDescent="0.3">
      <c r="A21" s="5" t="s">
        <v>439</v>
      </c>
      <c r="B21" s="5" t="s">
        <v>29</v>
      </c>
      <c r="C21">
        <v>226</v>
      </c>
      <c r="D21">
        <v>445</v>
      </c>
      <c r="E21">
        <f t="shared" si="0"/>
        <v>-219</v>
      </c>
      <c r="G21" s="46" t="s">
        <v>556</v>
      </c>
      <c r="H21">
        <v>-19</v>
      </c>
      <c r="I21">
        <v>666</v>
      </c>
      <c r="J21">
        <v>1680</v>
      </c>
      <c r="K21">
        <v>1006</v>
      </c>
    </row>
    <row r="22" spans="1:23" x14ac:dyDescent="0.3">
      <c r="A22" s="5" t="s">
        <v>553</v>
      </c>
      <c r="B22" s="5" t="s">
        <v>29</v>
      </c>
      <c r="C22">
        <v>1757</v>
      </c>
      <c r="D22">
        <v>85</v>
      </c>
      <c r="E22">
        <f t="shared" si="0"/>
        <v>1672</v>
      </c>
      <c r="G22" s="46" t="s">
        <v>557</v>
      </c>
      <c r="H22">
        <v>-179</v>
      </c>
      <c r="I22">
        <v>1025</v>
      </c>
      <c r="J22">
        <v>599</v>
      </c>
      <c r="K22">
        <v>1706</v>
      </c>
    </row>
    <row r="23" spans="1:23" x14ac:dyDescent="0.3">
      <c r="A23" s="5" t="s">
        <v>553</v>
      </c>
      <c r="B23" s="5" t="s">
        <v>14</v>
      </c>
      <c r="C23">
        <v>987</v>
      </c>
      <c r="D23">
        <v>440</v>
      </c>
      <c r="E23">
        <f t="shared" si="0"/>
        <v>547</v>
      </c>
      <c r="G23" s="46" t="s">
        <v>558</v>
      </c>
      <c r="H23">
        <v>1662</v>
      </c>
      <c r="I23">
        <v>1872</v>
      </c>
      <c r="J23">
        <v>107</v>
      </c>
      <c r="K23">
        <v>118</v>
      </c>
      <c r="M23" s="163" t="s">
        <v>697</v>
      </c>
      <c r="N23" s="164"/>
      <c r="O23" s="164"/>
      <c r="P23" s="164"/>
      <c r="Q23" s="164"/>
      <c r="R23" s="164"/>
    </row>
    <row r="24" spans="1:23" x14ac:dyDescent="0.3">
      <c r="A24" s="5" t="s">
        <v>553</v>
      </c>
      <c r="B24" s="5" t="s">
        <v>23</v>
      </c>
      <c r="C24">
        <v>883</v>
      </c>
      <c r="D24">
        <v>369</v>
      </c>
      <c r="E24">
        <f t="shared" si="0"/>
        <v>514</v>
      </c>
      <c r="G24" s="46" t="s">
        <v>559</v>
      </c>
      <c r="H24">
        <v>285</v>
      </c>
      <c r="I24">
        <v>1224</v>
      </c>
      <c r="J24">
        <v>-20</v>
      </c>
      <c r="K24">
        <v>367</v>
      </c>
      <c r="M24" s="164" t="s">
        <v>698</v>
      </c>
      <c r="N24" s="164"/>
      <c r="O24" s="164"/>
      <c r="P24" s="164"/>
      <c r="Q24" s="164"/>
      <c r="R24" s="164"/>
    </row>
    <row r="25" spans="1:23" x14ac:dyDescent="0.3">
      <c r="A25" s="5" t="s">
        <v>553</v>
      </c>
      <c r="B25" s="5" t="s">
        <v>39</v>
      </c>
      <c r="C25">
        <v>350</v>
      </c>
      <c r="D25">
        <v>41</v>
      </c>
      <c r="E25">
        <f t="shared" si="0"/>
        <v>309</v>
      </c>
      <c r="G25" s="46" t="s">
        <v>158</v>
      </c>
      <c r="H25">
        <v>439</v>
      </c>
      <c r="I25">
        <v>262</v>
      </c>
      <c r="J25">
        <v>636</v>
      </c>
      <c r="K25">
        <v>1484</v>
      </c>
    </row>
    <row r="26" spans="1:23" x14ac:dyDescent="0.3">
      <c r="A26" s="5" t="s">
        <v>303</v>
      </c>
      <c r="B26" s="5" t="s">
        <v>29</v>
      </c>
      <c r="C26">
        <v>1960</v>
      </c>
      <c r="D26">
        <v>115</v>
      </c>
      <c r="E26">
        <f t="shared" si="0"/>
        <v>1845</v>
      </c>
      <c r="G26" s="46" t="s">
        <v>190</v>
      </c>
      <c r="H26">
        <v>386</v>
      </c>
      <c r="I26">
        <v>576</v>
      </c>
      <c r="J26">
        <v>37</v>
      </c>
      <c r="K26">
        <v>1657</v>
      </c>
    </row>
    <row r="27" spans="1:23" x14ac:dyDescent="0.3">
      <c r="A27" s="5" t="s">
        <v>303</v>
      </c>
      <c r="B27" s="5" t="s">
        <v>14</v>
      </c>
      <c r="C27">
        <v>704</v>
      </c>
      <c r="D27">
        <v>275</v>
      </c>
      <c r="E27">
        <f t="shared" si="0"/>
        <v>429</v>
      </c>
      <c r="G27" s="46" t="s">
        <v>270</v>
      </c>
      <c r="H27">
        <v>540</v>
      </c>
      <c r="I27">
        <v>1397</v>
      </c>
      <c r="J27">
        <v>1603</v>
      </c>
      <c r="K27">
        <v>1044</v>
      </c>
    </row>
    <row r="28" spans="1:23" x14ac:dyDescent="0.3">
      <c r="A28" s="5" t="s">
        <v>303</v>
      </c>
      <c r="B28" s="5" t="s">
        <v>23</v>
      </c>
      <c r="C28">
        <v>224</v>
      </c>
      <c r="D28">
        <v>64</v>
      </c>
      <c r="E28">
        <f t="shared" si="0"/>
        <v>160</v>
      </c>
      <c r="G28" s="46" t="s">
        <v>560</v>
      </c>
      <c r="H28">
        <v>-106</v>
      </c>
      <c r="I28">
        <v>902</v>
      </c>
      <c r="J28">
        <v>1150</v>
      </c>
      <c r="K28">
        <v>349</v>
      </c>
    </row>
    <row r="29" spans="1:23" x14ac:dyDescent="0.3">
      <c r="A29" s="5" t="s">
        <v>303</v>
      </c>
      <c r="B29" s="5" t="s">
        <v>39</v>
      </c>
      <c r="C29">
        <v>170</v>
      </c>
      <c r="D29">
        <v>334</v>
      </c>
      <c r="E29">
        <f t="shared" si="0"/>
        <v>-164</v>
      </c>
      <c r="G29" s="46" t="s">
        <v>62</v>
      </c>
      <c r="H29">
        <v>72</v>
      </c>
      <c r="I29">
        <v>-49</v>
      </c>
      <c r="J29">
        <v>445</v>
      </c>
      <c r="K29">
        <v>60</v>
      </c>
      <c r="M29" s="45" t="s">
        <v>666</v>
      </c>
      <c r="N29" t="s">
        <v>691</v>
      </c>
      <c r="P29" s="164" t="s">
        <v>735</v>
      </c>
      <c r="Q29" s="164"/>
      <c r="R29" s="164"/>
      <c r="S29" s="164"/>
      <c r="T29" s="164"/>
      <c r="U29" s="164"/>
      <c r="V29" s="172"/>
      <c r="W29" s="172"/>
    </row>
    <row r="30" spans="1:23" x14ac:dyDescent="0.3">
      <c r="A30" s="5" t="s">
        <v>554</v>
      </c>
      <c r="B30" s="5" t="s">
        <v>14</v>
      </c>
      <c r="C30">
        <v>1701</v>
      </c>
      <c r="D30">
        <v>385</v>
      </c>
      <c r="E30">
        <f t="shared" si="0"/>
        <v>1316</v>
      </c>
      <c r="G30" s="46" t="s">
        <v>123</v>
      </c>
      <c r="H30">
        <v>1332</v>
      </c>
      <c r="I30">
        <v>1693</v>
      </c>
      <c r="J30">
        <v>98</v>
      </c>
      <c r="K30">
        <v>885</v>
      </c>
      <c r="M30" s="165" t="s">
        <v>220</v>
      </c>
      <c r="N30">
        <v>3554</v>
      </c>
      <c r="P30" s="164" t="s">
        <v>699</v>
      </c>
      <c r="Q30" s="164"/>
      <c r="R30" s="164"/>
      <c r="S30" s="164"/>
      <c r="T30" s="164"/>
      <c r="U30" s="164"/>
      <c r="V30" s="172"/>
      <c r="W30" s="172"/>
    </row>
    <row r="31" spans="1:23" x14ac:dyDescent="0.3">
      <c r="A31" s="5" t="s">
        <v>554</v>
      </c>
      <c r="B31" s="5" t="s">
        <v>39</v>
      </c>
      <c r="C31">
        <v>1391</v>
      </c>
      <c r="D31">
        <v>430</v>
      </c>
      <c r="E31">
        <f t="shared" si="0"/>
        <v>961</v>
      </c>
      <c r="G31" s="46" t="s">
        <v>561</v>
      </c>
      <c r="H31">
        <v>1706</v>
      </c>
      <c r="I31">
        <v>1625</v>
      </c>
      <c r="J31">
        <v>1173</v>
      </c>
      <c r="K31">
        <v>291</v>
      </c>
      <c r="M31" s="165" t="s">
        <v>142</v>
      </c>
      <c r="N31">
        <v>2980</v>
      </c>
    </row>
    <row r="32" spans="1:23" x14ac:dyDescent="0.3">
      <c r="A32" s="5" t="s">
        <v>554</v>
      </c>
      <c r="B32" s="5" t="s">
        <v>23</v>
      </c>
      <c r="C32">
        <v>804</v>
      </c>
      <c r="D32">
        <v>487</v>
      </c>
      <c r="E32">
        <f t="shared" si="0"/>
        <v>317</v>
      </c>
      <c r="G32" s="46" t="s">
        <v>209</v>
      </c>
      <c r="H32">
        <v>1373</v>
      </c>
      <c r="I32">
        <v>1119</v>
      </c>
      <c r="J32">
        <v>1727</v>
      </c>
      <c r="K32">
        <v>573</v>
      </c>
      <c r="M32" s="165" t="s">
        <v>154</v>
      </c>
      <c r="N32">
        <v>3907</v>
      </c>
    </row>
    <row r="33" spans="1:14" x14ac:dyDescent="0.3">
      <c r="A33" s="5" t="s">
        <v>554</v>
      </c>
      <c r="B33" s="5" t="s">
        <v>29</v>
      </c>
      <c r="C33">
        <v>508</v>
      </c>
      <c r="D33">
        <v>349</v>
      </c>
      <c r="E33">
        <f t="shared" si="0"/>
        <v>159</v>
      </c>
      <c r="G33" s="46" t="s">
        <v>106</v>
      </c>
      <c r="H33">
        <v>1377</v>
      </c>
      <c r="I33">
        <v>1432</v>
      </c>
      <c r="J33">
        <v>1359</v>
      </c>
      <c r="K33">
        <v>876</v>
      </c>
      <c r="M33" s="165" t="s">
        <v>44</v>
      </c>
      <c r="N33">
        <v>3011</v>
      </c>
    </row>
    <row r="34" spans="1:14" x14ac:dyDescent="0.3">
      <c r="A34" s="5" t="s">
        <v>256</v>
      </c>
      <c r="B34" s="5" t="s">
        <v>14</v>
      </c>
      <c r="C34">
        <v>1756</v>
      </c>
      <c r="D34">
        <v>261</v>
      </c>
      <c r="E34">
        <f t="shared" ref="E34:E65" si="1">((C34-D34))</f>
        <v>1495</v>
      </c>
      <c r="G34" s="46" t="s">
        <v>15</v>
      </c>
      <c r="H34">
        <v>730</v>
      </c>
      <c r="I34">
        <v>684</v>
      </c>
      <c r="J34">
        <v>911</v>
      </c>
      <c r="K34">
        <v>1589</v>
      </c>
      <c r="M34" s="165" t="s">
        <v>439</v>
      </c>
      <c r="N34">
        <v>1293</v>
      </c>
    </row>
    <row r="35" spans="1:14" x14ac:dyDescent="0.3">
      <c r="A35" s="5" t="s">
        <v>256</v>
      </c>
      <c r="B35" s="5" t="s">
        <v>29</v>
      </c>
      <c r="C35">
        <v>653</v>
      </c>
      <c r="D35">
        <v>112</v>
      </c>
      <c r="E35">
        <f t="shared" si="1"/>
        <v>541</v>
      </c>
      <c r="G35" s="46" t="s">
        <v>562</v>
      </c>
      <c r="H35">
        <v>1776</v>
      </c>
      <c r="I35">
        <v>1765</v>
      </c>
      <c r="J35">
        <v>1529</v>
      </c>
      <c r="K35">
        <v>1460</v>
      </c>
      <c r="M35" s="165" t="s">
        <v>553</v>
      </c>
      <c r="N35">
        <v>3042</v>
      </c>
    </row>
    <row r="36" spans="1:14" x14ac:dyDescent="0.3">
      <c r="A36" s="5" t="s">
        <v>256</v>
      </c>
      <c r="B36" s="5" t="s">
        <v>23</v>
      </c>
      <c r="C36">
        <v>576</v>
      </c>
      <c r="D36">
        <v>101</v>
      </c>
      <c r="E36">
        <f t="shared" si="1"/>
        <v>475</v>
      </c>
      <c r="G36" s="46" t="s">
        <v>119</v>
      </c>
      <c r="H36">
        <v>620</v>
      </c>
      <c r="I36">
        <v>903</v>
      </c>
      <c r="J36">
        <v>1188</v>
      </c>
      <c r="K36">
        <v>846</v>
      </c>
      <c r="M36" s="165" t="s">
        <v>303</v>
      </c>
      <c r="N36">
        <v>2270</v>
      </c>
    </row>
    <row r="37" spans="1:14" x14ac:dyDescent="0.3">
      <c r="A37" s="5" t="s">
        <v>256</v>
      </c>
      <c r="B37" s="5" t="s">
        <v>39</v>
      </c>
      <c r="C37">
        <v>160</v>
      </c>
      <c r="D37">
        <v>478</v>
      </c>
      <c r="E37">
        <f t="shared" si="1"/>
        <v>-318</v>
      </c>
      <c r="G37" s="46" t="s">
        <v>563</v>
      </c>
      <c r="H37">
        <v>298</v>
      </c>
      <c r="I37">
        <v>1722</v>
      </c>
      <c r="J37">
        <v>-144</v>
      </c>
      <c r="K37">
        <v>901</v>
      </c>
      <c r="M37" s="165" t="s">
        <v>554</v>
      </c>
      <c r="N37">
        <v>2753</v>
      </c>
    </row>
    <row r="38" spans="1:14" x14ac:dyDescent="0.3">
      <c r="A38" s="5" t="s">
        <v>482</v>
      </c>
      <c r="B38" s="5" t="s">
        <v>29</v>
      </c>
      <c r="C38">
        <v>645</v>
      </c>
      <c r="D38">
        <v>293</v>
      </c>
      <c r="E38">
        <f t="shared" si="1"/>
        <v>352</v>
      </c>
      <c r="G38" s="46" t="s">
        <v>564</v>
      </c>
      <c r="H38">
        <v>427</v>
      </c>
      <c r="I38">
        <v>1572</v>
      </c>
      <c r="J38">
        <v>891</v>
      </c>
      <c r="K38">
        <v>724</v>
      </c>
      <c r="M38" s="165" t="s">
        <v>256</v>
      </c>
      <c r="N38">
        <v>2193</v>
      </c>
    </row>
    <row r="39" spans="1:14" x14ac:dyDescent="0.3">
      <c r="A39" s="5" t="s">
        <v>482</v>
      </c>
      <c r="B39" s="5" t="s">
        <v>14</v>
      </c>
      <c r="C39">
        <v>826</v>
      </c>
      <c r="D39">
        <v>498</v>
      </c>
      <c r="E39">
        <f t="shared" si="1"/>
        <v>328</v>
      </c>
      <c r="G39" s="46" t="s">
        <v>212</v>
      </c>
      <c r="H39">
        <v>898</v>
      </c>
      <c r="I39">
        <v>-166</v>
      </c>
      <c r="J39">
        <v>1426</v>
      </c>
      <c r="K39">
        <v>1225</v>
      </c>
      <c r="M39" s="165" t="s">
        <v>482</v>
      </c>
      <c r="N39">
        <v>802</v>
      </c>
    </row>
    <row r="40" spans="1:14" x14ac:dyDescent="0.3">
      <c r="A40" s="5" t="s">
        <v>482</v>
      </c>
      <c r="B40" s="5" t="s">
        <v>23</v>
      </c>
      <c r="C40">
        <v>460</v>
      </c>
      <c r="D40">
        <v>141</v>
      </c>
      <c r="E40">
        <f t="shared" si="1"/>
        <v>319</v>
      </c>
      <c r="G40" s="46" t="s">
        <v>565</v>
      </c>
      <c r="H40">
        <v>748</v>
      </c>
      <c r="I40">
        <v>1080</v>
      </c>
      <c r="J40">
        <v>569</v>
      </c>
      <c r="K40">
        <v>-203</v>
      </c>
      <c r="M40" s="165" t="s">
        <v>30</v>
      </c>
      <c r="N40">
        <v>3728</v>
      </c>
    </row>
    <row r="41" spans="1:14" x14ac:dyDescent="0.3">
      <c r="A41" s="5" t="s">
        <v>482</v>
      </c>
      <c r="B41" s="5" t="s">
        <v>39</v>
      </c>
      <c r="C41">
        <v>214</v>
      </c>
      <c r="D41">
        <v>411</v>
      </c>
      <c r="E41">
        <f t="shared" si="1"/>
        <v>-197</v>
      </c>
      <c r="G41" s="46" t="s">
        <v>237</v>
      </c>
      <c r="H41">
        <v>912</v>
      </c>
      <c r="I41">
        <v>1723</v>
      </c>
      <c r="J41">
        <v>1202</v>
      </c>
      <c r="K41">
        <v>1444</v>
      </c>
      <c r="M41" s="165" t="s">
        <v>76</v>
      </c>
      <c r="N41">
        <v>2989</v>
      </c>
    </row>
    <row r="42" spans="1:14" x14ac:dyDescent="0.3">
      <c r="A42" s="5" t="s">
        <v>30</v>
      </c>
      <c r="B42" s="5" t="s">
        <v>39</v>
      </c>
      <c r="C42">
        <v>1534</v>
      </c>
      <c r="D42">
        <v>200</v>
      </c>
      <c r="E42">
        <f t="shared" si="1"/>
        <v>1334</v>
      </c>
      <c r="G42" s="46" t="s">
        <v>121</v>
      </c>
      <c r="H42">
        <v>1590</v>
      </c>
      <c r="I42">
        <v>965</v>
      </c>
      <c r="J42">
        <v>-37</v>
      </c>
      <c r="K42">
        <v>1175</v>
      </c>
      <c r="M42" s="165" t="s">
        <v>72</v>
      </c>
      <c r="N42">
        <v>2903</v>
      </c>
    </row>
    <row r="43" spans="1:14" x14ac:dyDescent="0.3">
      <c r="A43" s="5" t="s">
        <v>30</v>
      </c>
      <c r="B43" s="5" t="s">
        <v>29</v>
      </c>
      <c r="C43">
        <v>1528</v>
      </c>
      <c r="D43">
        <v>203</v>
      </c>
      <c r="E43">
        <f t="shared" si="1"/>
        <v>1325</v>
      </c>
      <c r="G43" s="46" t="s">
        <v>139</v>
      </c>
      <c r="H43">
        <v>1707</v>
      </c>
      <c r="I43">
        <v>1375</v>
      </c>
      <c r="J43">
        <v>708</v>
      </c>
      <c r="K43">
        <v>1016</v>
      </c>
      <c r="M43" s="165" t="s">
        <v>184</v>
      </c>
      <c r="N43">
        <v>2822</v>
      </c>
    </row>
    <row r="44" spans="1:14" x14ac:dyDescent="0.3">
      <c r="A44" s="5" t="s">
        <v>30</v>
      </c>
      <c r="B44" s="5" t="s">
        <v>23</v>
      </c>
      <c r="C44">
        <v>1210</v>
      </c>
      <c r="D44">
        <v>178</v>
      </c>
      <c r="E44">
        <f t="shared" si="1"/>
        <v>1032</v>
      </c>
      <c r="G44" s="46" t="s">
        <v>186</v>
      </c>
      <c r="H44">
        <v>-119</v>
      </c>
      <c r="I44">
        <v>1315</v>
      </c>
      <c r="J44">
        <v>899</v>
      </c>
      <c r="K44">
        <v>315</v>
      </c>
      <c r="M44" s="165" t="s">
        <v>82</v>
      </c>
      <c r="N44">
        <v>4360</v>
      </c>
    </row>
    <row r="45" spans="1:14" x14ac:dyDescent="0.3">
      <c r="A45" s="5" t="s">
        <v>30</v>
      </c>
      <c r="B45" s="5" t="s">
        <v>14</v>
      </c>
      <c r="C45">
        <v>485</v>
      </c>
      <c r="D45">
        <v>448</v>
      </c>
      <c r="E45">
        <f t="shared" si="1"/>
        <v>37</v>
      </c>
      <c r="G45" s="46" t="s">
        <v>566</v>
      </c>
      <c r="H45">
        <v>908</v>
      </c>
      <c r="I45">
        <v>212</v>
      </c>
      <c r="J45">
        <v>1350</v>
      </c>
      <c r="K45">
        <v>1242</v>
      </c>
      <c r="M45" s="165" t="s">
        <v>555</v>
      </c>
      <c r="N45">
        <v>1568</v>
      </c>
    </row>
    <row r="46" spans="1:14" x14ac:dyDescent="0.3">
      <c r="A46" s="5" t="s">
        <v>76</v>
      </c>
      <c r="B46" s="5" t="s">
        <v>14</v>
      </c>
      <c r="C46">
        <v>1751</v>
      </c>
      <c r="D46">
        <v>86</v>
      </c>
      <c r="E46">
        <f t="shared" si="1"/>
        <v>1665</v>
      </c>
      <c r="G46" s="46" t="s">
        <v>567</v>
      </c>
      <c r="H46">
        <v>1116</v>
      </c>
      <c r="I46">
        <v>680</v>
      </c>
      <c r="J46">
        <v>861</v>
      </c>
      <c r="K46">
        <v>1385</v>
      </c>
      <c r="M46" s="165" t="s">
        <v>556</v>
      </c>
      <c r="N46">
        <v>3333</v>
      </c>
    </row>
    <row r="47" spans="1:14" x14ac:dyDescent="0.3">
      <c r="A47" s="5" t="s">
        <v>76</v>
      </c>
      <c r="B47" s="5" t="s">
        <v>39</v>
      </c>
      <c r="C47">
        <v>1078</v>
      </c>
      <c r="D47">
        <v>20</v>
      </c>
      <c r="E47">
        <f t="shared" si="1"/>
        <v>1058</v>
      </c>
      <c r="G47" s="46" t="s">
        <v>222</v>
      </c>
      <c r="H47">
        <v>474</v>
      </c>
      <c r="I47">
        <v>461</v>
      </c>
      <c r="J47">
        <v>292</v>
      </c>
      <c r="K47">
        <v>389</v>
      </c>
      <c r="M47" s="165" t="s">
        <v>557</v>
      </c>
      <c r="N47">
        <v>3151</v>
      </c>
    </row>
    <row r="48" spans="1:14" x14ac:dyDescent="0.3">
      <c r="A48" s="5" t="s">
        <v>76</v>
      </c>
      <c r="B48" s="5" t="s">
        <v>23</v>
      </c>
      <c r="C48">
        <v>221</v>
      </c>
      <c r="D48">
        <v>31</v>
      </c>
      <c r="E48">
        <f t="shared" si="1"/>
        <v>190</v>
      </c>
      <c r="G48" s="46" t="s">
        <v>568</v>
      </c>
      <c r="H48">
        <v>514</v>
      </c>
      <c r="I48">
        <v>641</v>
      </c>
      <c r="J48">
        <v>1676</v>
      </c>
      <c r="K48">
        <v>1467</v>
      </c>
      <c r="M48" s="165" t="s">
        <v>558</v>
      </c>
      <c r="N48">
        <v>3759</v>
      </c>
    </row>
    <row r="49" spans="1:14" x14ac:dyDescent="0.3">
      <c r="A49" s="5" t="s">
        <v>76</v>
      </c>
      <c r="B49" s="5" t="s">
        <v>29</v>
      </c>
      <c r="C49">
        <v>215</v>
      </c>
      <c r="D49">
        <v>139</v>
      </c>
      <c r="E49">
        <f t="shared" si="1"/>
        <v>76</v>
      </c>
      <c r="G49" s="46" t="s">
        <v>398</v>
      </c>
      <c r="H49">
        <v>1029</v>
      </c>
      <c r="I49">
        <v>167</v>
      </c>
      <c r="J49">
        <v>1007</v>
      </c>
      <c r="K49">
        <v>209</v>
      </c>
      <c r="M49" s="165" t="s">
        <v>559</v>
      </c>
      <c r="N49">
        <v>1856</v>
      </c>
    </row>
    <row r="50" spans="1:14" x14ac:dyDescent="0.3">
      <c r="A50" s="5" t="s">
        <v>72</v>
      </c>
      <c r="B50" s="5" t="s">
        <v>29</v>
      </c>
      <c r="C50">
        <v>1685</v>
      </c>
      <c r="D50">
        <v>76</v>
      </c>
      <c r="E50">
        <f t="shared" si="1"/>
        <v>1609</v>
      </c>
      <c r="G50" s="46" t="s">
        <v>569</v>
      </c>
      <c r="H50">
        <v>-175</v>
      </c>
      <c r="I50">
        <v>-160</v>
      </c>
      <c r="J50">
        <v>53</v>
      </c>
      <c r="K50">
        <v>145</v>
      </c>
      <c r="M50" s="165" t="s">
        <v>158</v>
      </c>
      <c r="N50">
        <v>2821</v>
      </c>
    </row>
    <row r="51" spans="1:14" x14ac:dyDescent="0.3">
      <c r="A51" s="5" t="s">
        <v>72</v>
      </c>
      <c r="B51" s="5" t="s">
        <v>14</v>
      </c>
      <c r="C51">
        <v>1300</v>
      </c>
      <c r="D51">
        <v>71</v>
      </c>
      <c r="E51">
        <f t="shared" si="1"/>
        <v>1229</v>
      </c>
      <c r="G51" s="46" t="s">
        <v>570</v>
      </c>
      <c r="H51">
        <v>1045</v>
      </c>
      <c r="I51">
        <v>603</v>
      </c>
      <c r="J51">
        <v>759</v>
      </c>
      <c r="K51">
        <v>1633</v>
      </c>
      <c r="M51" s="165" t="s">
        <v>190</v>
      </c>
      <c r="N51">
        <v>2656</v>
      </c>
    </row>
    <row r="52" spans="1:14" x14ac:dyDescent="0.3">
      <c r="A52" s="5" t="s">
        <v>72</v>
      </c>
      <c r="B52" s="5" t="s">
        <v>39</v>
      </c>
      <c r="C52">
        <v>248</v>
      </c>
      <c r="D52">
        <v>211</v>
      </c>
      <c r="E52">
        <f t="shared" si="1"/>
        <v>37</v>
      </c>
      <c r="G52" s="46" t="s">
        <v>350</v>
      </c>
      <c r="H52">
        <v>453</v>
      </c>
      <c r="I52">
        <v>1539</v>
      </c>
      <c r="J52">
        <v>948</v>
      </c>
      <c r="K52">
        <v>637</v>
      </c>
      <c r="M52" s="165" t="s">
        <v>270</v>
      </c>
      <c r="N52">
        <v>4584</v>
      </c>
    </row>
    <row r="53" spans="1:14" x14ac:dyDescent="0.3">
      <c r="A53" s="5" t="s">
        <v>72</v>
      </c>
      <c r="B53" s="5" t="s">
        <v>23</v>
      </c>
      <c r="C53">
        <v>422</v>
      </c>
      <c r="D53">
        <v>394</v>
      </c>
      <c r="E53">
        <f t="shared" si="1"/>
        <v>28</v>
      </c>
      <c r="G53" s="46" t="s">
        <v>74</v>
      </c>
      <c r="H53">
        <v>339</v>
      </c>
      <c r="I53">
        <v>1881</v>
      </c>
      <c r="J53">
        <v>1510</v>
      </c>
      <c r="K53">
        <v>864</v>
      </c>
      <c r="M53" s="165" t="s">
        <v>560</v>
      </c>
      <c r="N53">
        <v>2295</v>
      </c>
    </row>
    <row r="54" spans="1:14" x14ac:dyDescent="0.3">
      <c r="A54" s="5" t="s">
        <v>184</v>
      </c>
      <c r="B54" s="5" t="s">
        <v>29</v>
      </c>
      <c r="C54">
        <v>1429</v>
      </c>
      <c r="D54">
        <v>182</v>
      </c>
      <c r="E54">
        <f t="shared" si="1"/>
        <v>1247</v>
      </c>
      <c r="G54" s="46" t="s">
        <v>24</v>
      </c>
      <c r="H54">
        <v>407</v>
      </c>
      <c r="I54">
        <v>1656</v>
      </c>
      <c r="J54">
        <v>269</v>
      </c>
      <c r="K54">
        <v>-337</v>
      </c>
      <c r="M54" s="165" t="s">
        <v>62</v>
      </c>
      <c r="N54">
        <v>528</v>
      </c>
    </row>
    <row r="55" spans="1:14" x14ac:dyDescent="0.3">
      <c r="A55" s="5" t="s">
        <v>184</v>
      </c>
      <c r="B55" s="5" t="s">
        <v>39</v>
      </c>
      <c r="C55">
        <v>1520</v>
      </c>
      <c r="D55">
        <v>475</v>
      </c>
      <c r="E55">
        <f t="shared" si="1"/>
        <v>1045</v>
      </c>
      <c r="M55" s="165" t="s">
        <v>123</v>
      </c>
      <c r="N55">
        <v>4008</v>
      </c>
    </row>
    <row r="56" spans="1:14" x14ac:dyDescent="0.3">
      <c r="A56" s="5" t="s">
        <v>184</v>
      </c>
      <c r="B56" s="5" t="s">
        <v>23</v>
      </c>
      <c r="C56">
        <v>728</v>
      </c>
      <c r="D56">
        <v>395</v>
      </c>
      <c r="E56">
        <f t="shared" si="1"/>
        <v>333</v>
      </c>
      <c r="M56" s="165" t="s">
        <v>561</v>
      </c>
      <c r="N56">
        <v>4795</v>
      </c>
    </row>
    <row r="57" spans="1:14" x14ac:dyDescent="0.3">
      <c r="A57" s="5" t="s">
        <v>184</v>
      </c>
      <c r="B57" s="5" t="s">
        <v>14</v>
      </c>
      <c r="C57">
        <v>557</v>
      </c>
      <c r="D57">
        <v>360</v>
      </c>
      <c r="E57">
        <f t="shared" si="1"/>
        <v>197</v>
      </c>
      <c r="M57" s="165" t="s">
        <v>209</v>
      </c>
      <c r="N57">
        <v>4792</v>
      </c>
    </row>
    <row r="58" spans="1:14" x14ac:dyDescent="0.3">
      <c r="A58" s="5" t="s">
        <v>82</v>
      </c>
      <c r="B58" s="5" t="s">
        <v>29</v>
      </c>
      <c r="C58">
        <v>1592</v>
      </c>
      <c r="D58">
        <v>20</v>
      </c>
      <c r="E58">
        <f t="shared" si="1"/>
        <v>1572</v>
      </c>
      <c r="M58" s="165" t="s">
        <v>106</v>
      </c>
      <c r="N58">
        <v>5044</v>
      </c>
    </row>
    <row r="59" spans="1:14" x14ac:dyDescent="0.3">
      <c r="A59" s="5" t="s">
        <v>82</v>
      </c>
      <c r="B59" s="5" t="s">
        <v>39</v>
      </c>
      <c r="C59">
        <v>1842</v>
      </c>
      <c r="D59">
        <v>414</v>
      </c>
      <c r="E59">
        <f t="shared" si="1"/>
        <v>1428</v>
      </c>
      <c r="M59" s="165" t="s">
        <v>15</v>
      </c>
      <c r="N59">
        <v>3914</v>
      </c>
    </row>
    <row r="60" spans="1:14" x14ac:dyDescent="0.3">
      <c r="A60" s="5" t="s">
        <v>82</v>
      </c>
      <c r="B60" s="5" t="s">
        <v>23</v>
      </c>
      <c r="C60">
        <v>1409</v>
      </c>
      <c r="D60">
        <v>309</v>
      </c>
      <c r="E60">
        <f t="shared" si="1"/>
        <v>1100</v>
      </c>
      <c r="M60" s="165" t="s">
        <v>562</v>
      </c>
      <c r="N60">
        <v>6530</v>
      </c>
    </row>
    <row r="61" spans="1:14" x14ac:dyDescent="0.3">
      <c r="A61" s="5" t="s">
        <v>82</v>
      </c>
      <c r="B61" s="5" t="s">
        <v>14</v>
      </c>
      <c r="C61">
        <v>751</v>
      </c>
      <c r="D61">
        <v>491</v>
      </c>
      <c r="E61">
        <f t="shared" si="1"/>
        <v>260</v>
      </c>
      <c r="M61" s="165" t="s">
        <v>119</v>
      </c>
      <c r="N61">
        <v>3557</v>
      </c>
    </row>
    <row r="62" spans="1:14" x14ac:dyDescent="0.3">
      <c r="A62" s="5" t="s">
        <v>555</v>
      </c>
      <c r="B62" s="5" t="s">
        <v>14</v>
      </c>
      <c r="C62">
        <v>1472</v>
      </c>
      <c r="D62">
        <v>347</v>
      </c>
      <c r="E62">
        <f t="shared" si="1"/>
        <v>1125</v>
      </c>
      <c r="M62" s="165" t="s">
        <v>563</v>
      </c>
      <c r="N62">
        <v>2777</v>
      </c>
    </row>
    <row r="63" spans="1:14" x14ac:dyDescent="0.3">
      <c r="A63" s="5" t="s">
        <v>555</v>
      </c>
      <c r="B63" s="5" t="s">
        <v>29</v>
      </c>
      <c r="C63">
        <v>778</v>
      </c>
      <c r="D63">
        <v>401</v>
      </c>
      <c r="E63">
        <f t="shared" si="1"/>
        <v>377</v>
      </c>
      <c r="M63" s="165" t="s">
        <v>564</v>
      </c>
      <c r="N63">
        <v>3614</v>
      </c>
    </row>
    <row r="64" spans="1:14" x14ac:dyDescent="0.3">
      <c r="A64" s="5" t="s">
        <v>555</v>
      </c>
      <c r="B64" s="5" t="s">
        <v>39</v>
      </c>
      <c r="C64">
        <v>443</v>
      </c>
      <c r="D64">
        <v>345</v>
      </c>
      <c r="E64">
        <f t="shared" si="1"/>
        <v>98</v>
      </c>
      <c r="M64" s="165" t="s">
        <v>212</v>
      </c>
      <c r="N64">
        <v>3383</v>
      </c>
    </row>
    <row r="65" spans="1:14" x14ac:dyDescent="0.3">
      <c r="A65" s="5" t="s">
        <v>555</v>
      </c>
      <c r="B65" s="5" t="s">
        <v>23</v>
      </c>
      <c r="C65">
        <v>123</v>
      </c>
      <c r="D65">
        <v>155</v>
      </c>
      <c r="E65">
        <f t="shared" si="1"/>
        <v>-32</v>
      </c>
      <c r="M65" s="165" t="s">
        <v>565</v>
      </c>
      <c r="N65">
        <v>2194</v>
      </c>
    </row>
    <row r="66" spans="1:14" x14ac:dyDescent="0.3">
      <c r="A66" s="5" t="s">
        <v>556</v>
      </c>
      <c r="B66" s="5" t="s">
        <v>14</v>
      </c>
      <c r="C66">
        <v>1911</v>
      </c>
      <c r="D66">
        <v>231</v>
      </c>
      <c r="E66">
        <f t="shared" ref="E66:E97" si="2">((C66-D66))</f>
        <v>1680</v>
      </c>
      <c r="M66" s="165" t="s">
        <v>237</v>
      </c>
      <c r="N66">
        <v>5281</v>
      </c>
    </row>
    <row r="67" spans="1:14" x14ac:dyDescent="0.3">
      <c r="A67" s="5" t="s">
        <v>556</v>
      </c>
      <c r="B67" s="5" t="s">
        <v>23</v>
      </c>
      <c r="C67">
        <v>1218</v>
      </c>
      <c r="D67">
        <v>212</v>
      </c>
      <c r="E67">
        <f t="shared" si="2"/>
        <v>1006</v>
      </c>
      <c r="M67" s="165" t="s">
        <v>121</v>
      </c>
      <c r="N67">
        <v>3693</v>
      </c>
    </row>
    <row r="68" spans="1:14" x14ac:dyDescent="0.3">
      <c r="A68" s="5" t="s">
        <v>556</v>
      </c>
      <c r="B68" s="5" t="s">
        <v>29</v>
      </c>
      <c r="C68">
        <v>817</v>
      </c>
      <c r="D68">
        <v>151</v>
      </c>
      <c r="E68">
        <f t="shared" si="2"/>
        <v>666</v>
      </c>
      <c r="M68" s="165" t="s">
        <v>139</v>
      </c>
      <c r="N68">
        <v>4806</v>
      </c>
    </row>
    <row r="69" spans="1:14" x14ac:dyDescent="0.3">
      <c r="A69" s="5" t="s">
        <v>556</v>
      </c>
      <c r="B69" s="5" t="s">
        <v>39</v>
      </c>
      <c r="C69">
        <v>198</v>
      </c>
      <c r="D69">
        <v>217</v>
      </c>
      <c r="E69">
        <f t="shared" si="2"/>
        <v>-19</v>
      </c>
      <c r="M69" s="165" t="s">
        <v>186</v>
      </c>
      <c r="N69">
        <v>2410</v>
      </c>
    </row>
    <row r="70" spans="1:14" x14ac:dyDescent="0.3">
      <c r="A70" s="5" t="s">
        <v>557</v>
      </c>
      <c r="B70" s="5" t="s">
        <v>23</v>
      </c>
      <c r="C70">
        <v>1918</v>
      </c>
      <c r="D70">
        <v>212</v>
      </c>
      <c r="E70">
        <f t="shared" si="2"/>
        <v>1706</v>
      </c>
      <c r="M70" s="165" t="s">
        <v>566</v>
      </c>
      <c r="N70">
        <v>3712</v>
      </c>
    </row>
    <row r="71" spans="1:14" x14ac:dyDescent="0.3">
      <c r="A71" s="5" t="s">
        <v>557</v>
      </c>
      <c r="B71" s="5" t="s">
        <v>29</v>
      </c>
      <c r="C71">
        <v>1433</v>
      </c>
      <c r="D71">
        <v>408</v>
      </c>
      <c r="E71">
        <f t="shared" si="2"/>
        <v>1025</v>
      </c>
      <c r="M71" s="165" t="s">
        <v>567</v>
      </c>
      <c r="N71">
        <v>4042</v>
      </c>
    </row>
    <row r="72" spans="1:14" x14ac:dyDescent="0.3">
      <c r="A72" s="5" t="s">
        <v>557</v>
      </c>
      <c r="B72" s="5" t="s">
        <v>14</v>
      </c>
      <c r="C72">
        <v>752</v>
      </c>
      <c r="D72">
        <v>153</v>
      </c>
      <c r="E72">
        <f t="shared" si="2"/>
        <v>599</v>
      </c>
      <c r="M72" s="165" t="s">
        <v>222</v>
      </c>
      <c r="N72">
        <v>1616</v>
      </c>
    </row>
    <row r="73" spans="1:14" x14ac:dyDescent="0.3">
      <c r="A73" s="5" t="s">
        <v>557</v>
      </c>
      <c r="B73" s="5" t="s">
        <v>39</v>
      </c>
      <c r="C73">
        <v>250</v>
      </c>
      <c r="D73">
        <v>429</v>
      </c>
      <c r="E73">
        <f t="shared" si="2"/>
        <v>-179</v>
      </c>
      <c r="M73" s="165" t="s">
        <v>568</v>
      </c>
      <c r="N73">
        <v>4298</v>
      </c>
    </row>
    <row r="74" spans="1:14" x14ac:dyDescent="0.3">
      <c r="A74" s="5" t="s">
        <v>558</v>
      </c>
      <c r="B74" s="5" t="s">
        <v>29</v>
      </c>
      <c r="C74">
        <v>1939</v>
      </c>
      <c r="D74">
        <v>67</v>
      </c>
      <c r="E74">
        <f t="shared" si="2"/>
        <v>1872</v>
      </c>
      <c r="M74" s="165" t="s">
        <v>398</v>
      </c>
      <c r="N74">
        <v>2412</v>
      </c>
    </row>
    <row r="75" spans="1:14" x14ac:dyDescent="0.3">
      <c r="A75" s="5" t="s">
        <v>558</v>
      </c>
      <c r="B75" s="5" t="s">
        <v>39</v>
      </c>
      <c r="C75">
        <v>1929</v>
      </c>
      <c r="D75">
        <v>267</v>
      </c>
      <c r="E75">
        <f t="shared" si="2"/>
        <v>1662</v>
      </c>
      <c r="M75" s="165" t="s">
        <v>569</v>
      </c>
      <c r="N75">
        <v>-137</v>
      </c>
    </row>
    <row r="76" spans="1:14" x14ac:dyDescent="0.3">
      <c r="A76" s="5" t="s">
        <v>558</v>
      </c>
      <c r="B76" s="5" t="s">
        <v>23</v>
      </c>
      <c r="C76">
        <v>307</v>
      </c>
      <c r="D76">
        <v>189</v>
      </c>
      <c r="E76">
        <f t="shared" si="2"/>
        <v>118</v>
      </c>
      <c r="M76" s="165" t="s">
        <v>570</v>
      </c>
      <c r="N76">
        <v>4040</v>
      </c>
    </row>
    <row r="77" spans="1:14" x14ac:dyDescent="0.3">
      <c r="A77" s="5" t="s">
        <v>558</v>
      </c>
      <c r="B77" s="5" t="s">
        <v>14</v>
      </c>
      <c r="C77">
        <v>437</v>
      </c>
      <c r="D77">
        <v>330</v>
      </c>
      <c r="E77">
        <f t="shared" si="2"/>
        <v>107</v>
      </c>
      <c r="M77" s="165" t="s">
        <v>350</v>
      </c>
      <c r="N77">
        <v>3577</v>
      </c>
    </row>
    <row r="78" spans="1:14" x14ac:dyDescent="0.3">
      <c r="A78" s="5" t="s">
        <v>559</v>
      </c>
      <c r="B78" s="5" t="s">
        <v>29</v>
      </c>
      <c r="C78">
        <v>1527</v>
      </c>
      <c r="D78">
        <v>303</v>
      </c>
      <c r="E78">
        <f t="shared" si="2"/>
        <v>1224</v>
      </c>
      <c r="M78" s="165" t="s">
        <v>74</v>
      </c>
      <c r="N78">
        <v>4594</v>
      </c>
    </row>
    <row r="79" spans="1:14" x14ac:dyDescent="0.3">
      <c r="A79" s="5" t="s">
        <v>559</v>
      </c>
      <c r="B79" s="5" t="s">
        <v>23</v>
      </c>
      <c r="C79">
        <v>414</v>
      </c>
      <c r="D79">
        <v>47</v>
      </c>
      <c r="E79">
        <f t="shared" si="2"/>
        <v>367</v>
      </c>
      <c r="M79" s="165" t="s">
        <v>24</v>
      </c>
      <c r="N79">
        <v>1995</v>
      </c>
    </row>
    <row r="80" spans="1:14" x14ac:dyDescent="0.3">
      <c r="A80" s="5" t="s">
        <v>559</v>
      </c>
      <c r="B80" s="5" t="s">
        <v>39</v>
      </c>
      <c r="C80">
        <v>643</v>
      </c>
      <c r="D80">
        <v>358</v>
      </c>
      <c r="E80">
        <f t="shared" si="2"/>
        <v>285</v>
      </c>
    </row>
    <row r="81" spans="1:5" x14ac:dyDescent="0.3">
      <c r="A81" s="5" t="s">
        <v>559</v>
      </c>
      <c r="B81" s="5" t="s">
        <v>14</v>
      </c>
      <c r="C81">
        <v>201</v>
      </c>
      <c r="D81">
        <v>221</v>
      </c>
      <c r="E81">
        <f t="shared" si="2"/>
        <v>-20</v>
      </c>
    </row>
    <row r="82" spans="1:5" x14ac:dyDescent="0.3">
      <c r="A82" s="5" t="s">
        <v>158</v>
      </c>
      <c r="B82" s="5" t="s">
        <v>23</v>
      </c>
      <c r="C82">
        <v>1707</v>
      </c>
      <c r="D82">
        <v>223</v>
      </c>
      <c r="E82">
        <f t="shared" si="2"/>
        <v>1484</v>
      </c>
    </row>
    <row r="83" spans="1:5" x14ac:dyDescent="0.3">
      <c r="A83" s="5" t="s">
        <v>158</v>
      </c>
      <c r="B83" s="5" t="s">
        <v>14</v>
      </c>
      <c r="C83">
        <v>697</v>
      </c>
      <c r="D83">
        <v>61</v>
      </c>
      <c r="E83">
        <f t="shared" si="2"/>
        <v>636</v>
      </c>
    </row>
    <row r="84" spans="1:5" x14ac:dyDescent="0.3">
      <c r="A84" s="5" t="s">
        <v>158</v>
      </c>
      <c r="B84" s="5" t="s">
        <v>39</v>
      </c>
      <c r="C84">
        <v>508</v>
      </c>
      <c r="D84">
        <v>69</v>
      </c>
      <c r="E84">
        <f t="shared" si="2"/>
        <v>439</v>
      </c>
    </row>
    <row r="85" spans="1:5" x14ac:dyDescent="0.3">
      <c r="A85" s="5" t="s">
        <v>158</v>
      </c>
      <c r="B85" s="5" t="s">
        <v>29</v>
      </c>
      <c r="C85">
        <v>703</v>
      </c>
      <c r="D85">
        <v>441</v>
      </c>
      <c r="E85">
        <f t="shared" si="2"/>
        <v>262</v>
      </c>
    </row>
    <row r="86" spans="1:5" x14ac:dyDescent="0.3">
      <c r="A86" s="5" t="s">
        <v>190</v>
      </c>
      <c r="B86" s="5" t="s">
        <v>23</v>
      </c>
      <c r="C86">
        <v>1814</v>
      </c>
      <c r="D86">
        <v>157</v>
      </c>
      <c r="E86">
        <f t="shared" si="2"/>
        <v>1657</v>
      </c>
    </row>
    <row r="87" spans="1:5" x14ac:dyDescent="0.3">
      <c r="A87" s="5" t="s">
        <v>190</v>
      </c>
      <c r="B87" s="5" t="s">
        <v>29</v>
      </c>
      <c r="C87">
        <v>642</v>
      </c>
      <c r="D87">
        <v>66</v>
      </c>
      <c r="E87">
        <f t="shared" si="2"/>
        <v>576</v>
      </c>
    </row>
    <row r="88" spans="1:5" x14ac:dyDescent="0.3">
      <c r="A88" s="5" t="s">
        <v>190</v>
      </c>
      <c r="B88" s="5" t="s">
        <v>39</v>
      </c>
      <c r="C88">
        <v>859</v>
      </c>
      <c r="D88">
        <v>473</v>
      </c>
      <c r="E88">
        <f t="shared" si="2"/>
        <v>386</v>
      </c>
    </row>
    <row r="89" spans="1:5" x14ac:dyDescent="0.3">
      <c r="A89" s="5" t="s">
        <v>190</v>
      </c>
      <c r="B89" s="5" t="s">
        <v>14</v>
      </c>
      <c r="C89">
        <v>191</v>
      </c>
      <c r="D89">
        <v>154</v>
      </c>
      <c r="E89">
        <f t="shared" si="2"/>
        <v>37</v>
      </c>
    </row>
    <row r="90" spans="1:5" x14ac:dyDescent="0.3">
      <c r="A90" s="5" t="s">
        <v>270</v>
      </c>
      <c r="B90" s="5" t="s">
        <v>14</v>
      </c>
      <c r="C90">
        <v>1821</v>
      </c>
      <c r="D90">
        <v>218</v>
      </c>
      <c r="E90">
        <f t="shared" si="2"/>
        <v>1603</v>
      </c>
    </row>
    <row r="91" spans="1:5" x14ac:dyDescent="0.3">
      <c r="A91" s="5" t="s">
        <v>270</v>
      </c>
      <c r="B91" s="5" t="s">
        <v>29</v>
      </c>
      <c r="C91">
        <v>1466</v>
      </c>
      <c r="D91">
        <v>69</v>
      </c>
      <c r="E91">
        <f t="shared" si="2"/>
        <v>1397</v>
      </c>
    </row>
    <row r="92" spans="1:5" x14ac:dyDescent="0.3">
      <c r="A92" s="5" t="s">
        <v>270</v>
      </c>
      <c r="B92" s="5" t="s">
        <v>23</v>
      </c>
      <c r="C92">
        <v>1507</v>
      </c>
      <c r="D92">
        <v>463</v>
      </c>
      <c r="E92">
        <f t="shared" si="2"/>
        <v>1044</v>
      </c>
    </row>
    <row r="93" spans="1:5" x14ac:dyDescent="0.3">
      <c r="A93" s="5" t="s">
        <v>270</v>
      </c>
      <c r="B93" s="5" t="s">
        <v>39</v>
      </c>
      <c r="C93">
        <v>947</v>
      </c>
      <c r="D93">
        <v>407</v>
      </c>
      <c r="E93">
        <f t="shared" si="2"/>
        <v>540</v>
      </c>
    </row>
    <row r="94" spans="1:5" x14ac:dyDescent="0.3">
      <c r="A94" s="5" t="s">
        <v>560</v>
      </c>
      <c r="B94" s="5" t="s">
        <v>14</v>
      </c>
      <c r="C94">
        <v>1487</v>
      </c>
      <c r="D94">
        <v>337</v>
      </c>
      <c r="E94">
        <f t="shared" si="2"/>
        <v>1150</v>
      </c>
    </row>
    <row r="95" spans="1:5" x14ac:dyDescent="0.3">
      <c r="A95" s="5" t="s">
        <v>560</v>
      </c>
      <c r="B95" s="5" t="s">
        <v>29</v>
      </c>
      <c r="C95">
        <v>1075</v>
      </c>
      <c r="D95">
        <v>173</v>
      </c>
      <c r="E95">
        <f t="shared" si="2"/>
        <v>902</v>
      </c>
    </row>
    <row r="96" spans="1:5" x14ac:dyDescent="0.3">
      <c r="A96" s="5" t="s">
        <v>560</v>
      </c>
      <c r="B96" s="5" t="s">
        <v>23</v>
      </c>
      <c r="C96">
        <v>454</v>
      </c>
      <c r="D96">
        <v>105</v>
      </c>
      <c r="E96">
        <f t="shared" si="2"/>
        <v>349</v>
      </c>
    </row>
    <row r="97" spans="1:5" x14ac:dyDescent="0.3">
      <c r="A97" s="5" t="s">
        <v>560</v>
      </c>
      <c r="B97" s="5" t="s">
        <v>39</v>
      </c>
      <c r="C97">
        <v>171</v>
      </c>
      <c r="D97">
        <v>277</v>
      </c>
      <c r="E97">
        <f t="shared" si="2"/>
        <v>-106</v>
      </c>
    </row>
    <row r="98" spans="1:5" x14ac:dyDescent="0.3">
      <c r="A98" s="5" t="s">
        <v>62</v>
      </c>
      <c r="B98" s="5" t="s">
        <v>14</v>
      </c>
      <c r="C98">
        <v>628</v>
      </c>
      <c r="D98">
        <v>183</v>
      </c>
      <c r="E98">
        <f t="shared" ref="E98:E129" si="3">((C98-D98))</f>
        <v>445</v>
      </c>
    </row>
    <row r="99" spans="1:5" x14ac:dyDescent="0.3">
      <c r="A99" s="5" t="s">
        <v>62</v>
      </c>
      <c r="B99" s="5" t="s">
        <v>39</v>
      </c>
      <c r="C99">
        <v>513</v>
      </c>
      <c r="D99">
        <v>441</v>
      </c>
      <c r="E99">
        <f t="shared" si="3"/>
        <v>72</v>
      </c>
    </row>
    <row r="100" spans="1:5" x14ac:dyDescent="0.3">
      <c r="A100" s="5" t="s">
        <v>62</v>
      </c>
      <c r="B100" s="5" t="s">
        <v>23</v>
      </c>
      <c r="C100">
        <v>278</v>
      </c>
      <c r="D100">
        <v>218</v>
      </c>
      <c r="E100">
        <f t="shared" si="3"/>
        <v>60</v>
      </c>
    </row>
    <row r="101" spans="1:5" x14ac:dyDescent="0.3">
      <c r="A101" s="5" t="s">
        <v>62</v>
      </c>
      <c r="B101" s="5" t="s">
        <v>29</v>
      </c>
      <c r="C101">
        <v>187</v>
      </c>
      <c r="D101">
        <v>236</v>
      </c>
      <c r="E101">
        <f t="shared" si="3"/>
        <v>-49</v>
      </c>
    </row>
    <row r="102" spans="1:5" x14ac:dyDescent="0.3">
      <c r="A102" s="5" t="s">
        <v>123</v>
      </c>
      <c r="B102" s="5" t="s">
        <v>29</v>
      </c>
      <c r="C102">
        <v>1854</v>
      </c>
      <c r="D102">
        <v>161</v>
      </c>
      <c r="E102">
        <f t="shared" si="3"/>
        <v>1693</v>
      </c>
    </row>
    <row r="103" spans="1:5" x14ac:dyDescent="0.3">
      <c r="A103" s="5" t="s">
        <v>123</v>
      </c>
      <c r="B103" s="5" t="s">
        <v>39</v>
      </c>
      <c r="C103">
        <v>1710</v>
      </c>
      <c r="D103">
        <v>378</v>
      </c>
      <c r="E103">
        <f t="shared" si="3"/>
        <v>1332</v>
      </c>
    </row>
    <row r="104" spans="1:5" x14ac:dyDescent="0.3">
      <c r="A104" s="5" t="s">
        <v>123</v>
      </c>
      <c r="B104" s="5" t="s">
        <v>23</v>
      </c>
      <c r="C104">
        <v>1293</v>
      </c>
      <c r="D104">
        <v>408</v>
      </c>
      <c r="E104">
        <f t="shared" si="3"/>
        <v>885</v>
      </c>
    </row>
    <row r="105" spans="1:5" x14ac:dyDescent="0.3">
      <c r="A105" s="5" t="s">
        <v>123</v>
      </c>
      <c r="B105" s="5" t="s">
        <v>14</v>
      </c>
      <c r="C105">
        <v>330</v>
      </c>
      <c r="D105">
        <v>232</v>
      </c>
      <c r="E105">
        <f t="shared" si="3"/>
        <v>98</v>
      </c>
    </row>
    <row r="106" spans="1:5" x14ac:dyDescent="0.3">
      <c r="A106" s="5" t="s">
        <v>561</v>
      </c>
      <c r="B106" s="5" t="s">
        <v>39</v>
      </c>
      <c r="C106">
        <v>1902</v>
      </c>
      <c r="D106">
        <v>196</v>
      </c>
      <c r="E106">
        <f t="shared" si="3"/>
        <v>1706</v>
      </c>
    </row>
    <row r="107" spans="1:5" x14ac:dyDescent="0.3">
      <c r="A107" s="5" t="s">
        <v>561</v>
      </c>
      <c r="B107" s="5" t="s">
        <v>29</v>
      </c>
      <c r="C107">
        <v>1696</v>
      </c>
      <c r="D107">
        <v>71</v>
      </c>
      <c r="E107">
        <f t="shared" si="3"/>
        <v>1625</v>
      </c>
    </row>
    <row r="108" spans="1:5" x14ac:dyDescent="0.3">
      <c r="A108" s="5" t="s">
        <v>561</v>
      </c>
      <c r="B108" s="5" t="s">
        <v>14</v>
      </c>
      <c r="C108">
        <v>1441</v>
      </c>
      <c r="D108">
        <v>268</v>
      </c>
      <c r="E108">
        <f t="shared" si="3"/>
        <v>1173</v>
      </c>
    </row>
    <row r="109" spans="1:5" x14ac:dyDescent="0.3">
      <c r="A109" s="5" t="s">
        <v>561</v>
      </c>
      <c r="B109" s="5" t="s">
        <v>23</v>
      </c>
      <c r="C109">
        <v>452</v>
      </c>
      <c r="D109">
        <v>161</v>
      </c>
      <c r="E109">
        <f t="shared" si="3"/>
        <v>291</v>
      </c>
    </row>
    <row r="110" spans="1:5" x14ac:dyDescent="0.3">
      <c r="A110" s="5" t="s">
        <v>209</v>
      </c>
      <c r="B110" s="5" t="s">
        <v>14</v>
      </c>
      <c r="C110">
        <v>1937</v>
      </c>
      <c r="D110">
        <v>210</v>
      </c>
      <c r="E110">
        <f t="shared" si="3"/>
        <v>1727</v>
      </c>
    </row>
    <row r="111" spans="1:5" x14ac:dyDescent="0.3">
      <c r="A111" s="5" t="s">
        <v>209</v>
      </c>
      <c r="B111" s="5" t="s">
        <v>39</v>
      </c>
      <c r="C111">
        <v>1514</v>
      </c>
      <c r="D111">
        <v>141</v>
      </c>
      <c r="E111">
        <f t="shared" si="3"/>
        <v>1373</v>
      </c>
    </row>
    <row r="112" spans="1:5" x14ac:dyDescent="0.3">
      <c r="A112" s="5" t="s">
        <v>209</v>
      </c>
      <c r="B112" s="5" t="s">
        <v>29</v>
      </c>
      <c r="C112">
        <v>1494</v>
      </c>
      <c r="D112">
        <v>375</v>
      </c>
      <c r="E112">
        <f t="shared" si="3"/>
        <v>1119</v>
      </c>
    </row>
    <row r="113" spans="1:5" x14ac:dyDescent="0.3">
      <c r="A113" s="5" t="s">
        <v>209</v>
      </c>
      <c r="B113" s="5" t="s">
        <v>23</v>
      </c>
      <c r="C113">
        <v>736</v>
      </c>
      <c r="D113">
        <v>163</v>
      </c>
      <c r="E113">
        <f t="shared" si="3"/>
        <v>573</v>
      </c>
    </row>
    <row r="114" spans="1:5" x14ac:dyDescent="0.3">
      <c r="A114" s="5" t="s">
        <v>106</v>
      </c>
      <c r="B114" s="5" t="s">
        <v>29</v>
      </c>
      <c r="C114">
        <v>1502</v>
      </c>
      <c r="D114">
        <v>70</v>
      </c>
      <c r="E114">
        <f t="shared" si="3"/>
        <v>1432</v>
      </c>
    </row>
    <row r="115" spans="1:5" x14ac:dyDescent="0.3">
      <c r="A115" s="5" t="s">
        <v>106</v>
      </c>
      <c r="B115" s="5" t="s">
        <v>39</v>
      </c>
      <c r="C115">
        <v>1623</v>
      </c>
      <c r="D115">
        <v>246</v>
      </c>
      <c r="E115">
        <f t="shared" si="3"/>
        <v>1377</v>
      </c>
    </row>
    <row r="116" spans="1:5" x14ac:dyDescent="0.3">
      <c r="A116" s="5" t="s">
        <v>106</v>
      </c>
      <c r="B116" s="5" t="s">
        <v>14</v>
      </c>
      <c r="C116">
        <v>1592</v>
      </c>
      <c r="D116">
        <v>233</v>
      </c>
      <c r="E116">
        <f t="shared" si="3"/>
        <v>1359</v>
      </c>
    </row>
    <row r="117" spans="1:5" x14ac:dyDescent="0.3">
      <c r="A117" s="5" t="s">
        <v>106</v>
      </c>
      <c r="B117" s="5" t="s">
        <v>23</v>
      </c>
      <c r="C117">
        <v>1004</v>
      </c>
      <c r="D117">
        <v>128</v>
      </c>
      <c r="E117">
        <f t="shared" si="3"/>
        <v>876</v>
      </c>
    </row>
    <row r="118" spans="1:5" x14ac:dyDescent="0.3">
      <c r="A118" s="5" t="s">
        <v>15</v>
      </c>
      <c r="B118" s="5" t="s">
        <v>23</v>
      </c>
      <c r="C118">
        <v>1900</v>
      </c>
      <c r="D118">
        <v>311</v>
      </c>
      <c r="E118">
        <f t="shared" si="3"/>
        <v>1589</v>
      </c>
    </row>
    <row r="119" spans="1:5" x14ac:dyDescent="0.3">
      <c r="A119" s="5" t="s">
        <v>15</v>
      </c>
      <c r="B119" s="5" t="s">
        <v>14</v>
      </c>
      <c r="C119">
        <v>1137</v>
      </c>
      <c r="D119">
        <v>226</v>
      </c>
      <c r="E119">
        <f t="shared" si="3"/>
        <v>911</v>
      </c>
    </row>
    <row r="120" spans="1:5" x14ac:dyDescent="0.3">
      <c r="A120" s="5" t="s">
        <v>15</v>
      </c>
      <c r="B120" s="5" t="s">
        <v>39</v>
      </c>
      <c r="C120">
        <v>1155</v>
      </c>
      <c r="D120">
        <v>425</v>
      </c>
      <c r="E120">
        <f t="shared" si="3"/>
        <v>730</v>
      </c>
    </row>
    <row r="121" spans="1:5" x14ac:dyDescent="0.3">
      <c r="A121" s="5" t="s">
        <v>15</v>
      </c>
      <c r="B121" s="5" t="s">
        <v>29</v>
      </c>
      <c r="C121">
        <v>1092</v>
      </c>
      <c r="D121">
        <v>408</v>
      </c>
      <c r="E121">
        <f t="shared" si="3"/>
        <v>684</v>
      </c>
    </row>
    <row r="122" spans="1:5" x14ac:dyDescent="0.3">
      <c r="A122" s="5" t="s">
        <v>562</v>
      </c>
      <c r="B122" s="5" t="s">
        <v>39</v>
      </c>
      <c r="C122">
        <v>1980</v>
      </c>
      <c r="D122">
        <v>204</v>
      </c>
      <c r="E122">
        <f t="shared" si="3"/>
        <v>1776</v>
      </c>
    </row>
    <row r="123" spans="1:5" x14ac:dyDescent="0.3">
      <c r="A123" s="5" t="s">
        <v>562</v>
      </c>
      <c r="B123" s="5" t="s">
        <v>29</v>
      </c>
      <c r="C123">
        <v>1814</v>
      </c>
      <c r="D123">
        <v>49</v>
      </c>
      <c r="E123">
        <f t="shared" si="3"/>
        <v>1765</v>
      </c>
    </row>
    <row r="124" spans="1:5" x14ac:dyDescent="0.3">
      <c r="A124" s="5" t="s">
        <v>562</v>
      </c>
      <c r="B124" s="5" t="s">
        <v>14</v>
      </c>
      <c r="C124">
        <v>1786</v>
      </c>
      <c r="D124">
        <v>257</v>
      </c>
      <c r="E124">
        <f t="shared" si="3"/>
        <v>1529</v>
      </c>
    </row>
    <row r="125" spans="1:5" x14ac:dyDescent="0.3">
      <c r="A125" s="5" t="s">
        <v>562</v>
      </c>
      <c r="B125" s="5" t="s">
        <v>23</v>
      </c>
      <c r="C125">
        <v>1495</v>
      </c>
      <c r="D125">
        <v>35</v>
      </c>
      <c r="E125">
        <f t="shared" si="3"/>
        <v>1460</v>
      </c>
    </row>
    <row r="126" spans="1:5" x14ac:dyDescent="0.3">
      <c r="A126" s="5" t="s">
        <v>119</v>
      </c>
      <c r="B126" s="5" t="s">
        <v>14</v>
      </c>
      <c r="C126">
        <v>1633</v>
      </c>
      <c r="D126">
        <v>445</v>
      </c>
      <c r="E126">
        <f t="shared" si="3"/>
        <v>1188</v>
      </c>
    </row>
    <row r="127" spans="1:5" x14ac:dyDescent="0.3">
      <c r="A127" s="5" t="s">
        <v>119</v>
      </c>
      <c r="B127" s="5" t="s">
        <v>29</v>
      </c>
      <c r="C127">
        <v>1013</v>
      </c>
      <c r="D127">
        <v>110</v>
      </c>
      <c r="E127">
        <f t="shared" si="3"/>
        <v>903</v>
      </c>
    </row>
    <row r="128" spans="1:5" x14ac:dyDescent="0.3">
      <c r="A128" s="5" t="s">
        <v>119</v>
      </c>
      <c r="B128" s="5" t="s">
        <v>23</v>
      </c>
      <c r="C128">
        <v>891</v>
      </c>
      <c r="D128">
        <v>45</v>
      </c>
      <c r="E128">
        <f t="shared" si="3"/>
        <v>846</v>
      </c>
    </row>
    <row r="129" spans="1:5" x14ac:dyDescent="0.3">
      <c r="A129" s="5" t="s">
        <v>119</v>
      </c>
      <c r="B129" s="5" t="s">
        <v>39</v>
      </c>
      <c r="C129">
        <v>816</v>
      </c>
      <c r="D129">
        <v>196</v>
      </c>
      <c r="E129">
        <f t="shared" si="3"/>
        <v>620</v>
      </c>
    </row>
    <row r="130" spans="1:5" x14ac:dyDescent="0.3">
      <c r="A130" s="5" t="s">
        <v>563</v>
      </c>
      <c r="B130" s="5" t="s">
        <v>29</v>
      </c>
      <c r="C130">
        <v>1855</v>
      </c>
      <c r="D130">
        <v>133</v>
      </c>
      <c r="E130">
        <f t="shared" ref="E130:E161" si="4">((C130-D130))</f>
        <v>1722</v>
      </c>
    </row>
    <row r="131" spans="1:5" x14ac:dyDescent="0.3">
      <c r="A131" s="5" t="s">
        <v>563</v>
      </c>
      <c r="B131" s="5" t="s">
        <v>23</v>
      </c>
      <c r="C131">
        <v>1331</v>
      </c>
      <c r="D131">
        <v>430</v>
      </c>
      <c r="E131">
        <f t="shared" si="4"/>
        <v>901</v>
      </c>
    </row>
    <row r="132" spans="1:5" x14ac:dyDescent="0.3">
      <c r="A132" s="5" t="s">
        <v>563</v>
      </c>
      <c r="B132" s="5" t="s">
        <v>39</v>
      </c>
      <c r="C132">
        <v>651</v>
      </c>
      <c r="D132">
        <v>353</v>
      </c>
      <c r="E132">
        <f t="shared" si="4"/>
        <v>298</v>
      </c>
    </row>
    <row r="133" spans="1:5" x14ac:dyDescent="0.3">
      <c r="A133" s="5" t="s">
        <v>563</v>
      </c>
      <c r="B133" s="5" t="s">
        <v>14</v>
      </c>
      <c r="C133">
        <v>118</v>
      </c>
      <c r="D133">
        <v>262</v>
      </c>
      <c r="E133">
        <f t="shared" si="4"/>
        <v>-144</v>
      </c>
    </row>
    <row r="134" spans="1:5" x14ac:dyDescent="0.3">
      <c r="A134" s="5" t="s">
        <v>564</v>
      </c>
      <c r="B134" s="5" t="s">
        <v>29</v>
      </c>
      <c r="C134">
        <v>1748</v>
      </c>
      <c r="D134">
        <v>176</v>
      </c>
      <c r="E134">
        <f t="shared" si="4"/>
        <v>1572</v>
      </c>
    </row>
    <row r="135" spans="1:5" x14ac:dyDescent="0.3">
      <c r="A135" s="5" t="s">
        <v>564</v>
      </c>
      <c r="B135" s="5" t="s">
        <v>14</v>
      </c>
      <c r="C135">
        <v>1040</v>
      </c>
      <c r="D135">
        <v>149</v>
      </c>
      <c r="E135">
        <f t="shared" si="4"/>
        <v>891</v>
      </c>
    </row>
    <row r="136" spans="1:5" x14ac:dyDescent="0.3">
      <c r="A136" s="5" t="s">
        <v>564</v>
      </c>
      <c r="B136" s="5" t="s">
        <v>23</v>
      </c>
      <c r="C136">
        <v>1166</v>
      </c>
      <c r="D136">
        <v>442</v>
      </c>
      <c r="E136">
        <f t="shared" si="4"/>
        <v>724</v>
      </c>
    </row>
    <row r="137" spans="1:5" x14ac:dyDescent="0.3">
      <c r="A137" s="5" t="s">
        <v>564</v>
      </c>
      <c r="B137" s="5" t="s">
        <v>39</v>
      </c>
      <c r="C137">
        <v>663</v>
      </c>
      <c r="D137">
        <v>236</v>
      </c>
      <c r="E137">
        <f t="shared" si="4"/>
        <v>427</v>
      </c>
    </row>
    <row r="138" spans="1:5" x14ac:dyDescent="0.3">
      <c r="A138" s="5" t="s">
        <v>212</v>
      </c>
      <c r="B138" s="5" t="s">
        <v>14</v>
      </c>
      <c r="C138">
        <v>1501</v>
      </c>
      <c r="D138">
        <v>75</v>
      </c>
      <c r="E138">
        <f t="shared" si="4"/>
        <v>1426</v>
      </c>
    </row>
    <row r="139" spans="1:5" x14ac:dyDescent="0.3">
      <c r="A139" s="5" t="s">
        <v>212</v>
      </c>
      <c r="B139" s="5" t="s">
        <v>23</v>
      </c>
      <c r="C139">
        <v>1411</v>
      </c>
      <c r="D139">
        <v>186</v>
      </c>
      <c r="E139">
        <f t="shared" si="4"/>
        <v>1225</v>
      </c>
    </row>
    <row r="140" spans="1:5" x14ac:dyDescent="0.3">
      <c r="A140" s="5" t="s">
        <v>212</v>
      </c>
      <c r="B140" s="5" t="s">
        <v>39</v>
      </c>
      <c r="C140">
        <v>1249</v>
      </c>
      <c r="D140">
        <v>351</v>
      </c>
      <c r="E140">
        <f t="shared" si="4"/>
        <v>898</v>
      </c>
    </row>
    <row r="141" spans="1:5" x14ac:dyDescent="0.3">
      <c r="A141" s="5" t="s">
        <v>212</v>
      </c>
      <c r="B141" s="5" t="s">
        <v>29</v>
      </c>
      <c r="C141">
        <v>115</v>
      </c>
      <c r="D141">
        <v>281</v>
      </c>
      <c r="E141">
        <f t="shared" si="4"/>
        <v>-166</v>
      </c>
    </row>
    <row r="142" spans="1:5" x14ac:dyDescent="0.3">
      <c r="A142" s="5" t="s">
        <v>565</v>
      </c>
      <c r="B142" s="5" t="s">
        <v>29</v>
      </c>
      <c r="C142">
        <v>1556</v>
      </c>
      <c r="D142">
        <v>476</v>
      </c>
      <c r="E142">
        <f t="shared" si="4"/>
        <v>1080</v>
      </c>
    </row>
    <row r="143" spans="1:5" x14ac:dyDescent="0.3">
      <c r="A143" s="5" t="s">
        <v>565</v>
      </c>
      <c r="B143" s="5" t="s">
        <v>39</v>
      </c>
      <c r="C143">
        <v>1159</v>
      </c>
      <c r="D143">
        <v>411</v>
      </c>
      <c r="E143">
        <f t="shared" si="4"/>
        <v>748</v>
      </c>
    </row>
    <row r="144" spans="1:5" x14ac:dyDescent="0.3">
      <c r="A144" s="5" t="s">
        <v>565</v>
      </c>
      <c r="B144" s="5" t="s">
        <v>14</v>
      </c>
      <c r="C144">
        <v>927</v>
      </c>
      <c r="D144">
        <v>358</v>
      </c>
      <c r="E144">
        <f t="shared" si="4"/>
        <v>569</v>
      </c>
    </row>
    <row r="145" spans="1:5" x14ac:dyDescent="0.3">
      <c r="A145" s="5" t="s">
        <v>565</v>
      </c>
      <c r="B145" s="5" t="s">
        <v>23</v>
      </c>
      <c r="C145">
        <v>152</v>
      </c>
      <c r="D145">
        <v>355</v>
      </c>
      <c r="E145">
        <f t="shared" si="4"/>
        <v>-203</v>
      </c>
    </row>
    <row r="146" spans="1:5" x14ac:dyDescent="0.3">
      <c r="A146" s="5" t="s">
        <v>237</v>
      </c>
      <c r="B146" s="5" t="s">
        <v>29</v>
      </c>
      <c r="C146">
        <v>1957</v>
      </c>
      <c r="D146">
        <v>234</v>
      </c>
      <c r="E146">
        <f t="shared" si="4"/>
        <v>1723</v>
      </c>
    </row>
    <row r="147" spans="1:5" x14ac:dyDescent="0.3">
      <c r="A147" s="5" t="s">
        <v>237</v>
      </c>
      <c r="B147" s="5" t="s">
        <v>23</v>
      </c>
      <c r="C147">
        <v>1707</v>
      </c>
      <c r="D147">
        <v>263</v>
      </c>
      <c r="E147">
        <f t="shared" si="4"/>
        <v>1444</v>
      </c>
    </row>
    <row r="148" spans="1:5" x14ac:dyDescent="0.3">
      <c r="A148" s="5" t="s">
        <v>237</v>
      </c>
      <c r="B148" s="5" t="s">
        <v>14</v>
      </c>
      <c r="C148">
        <v>1587</v>
      </c>
      <c r="D148">
        <v>385</v>
      </c>
      <c r="E148">
        <f t="shared" si="4"/>
        <v>1202</v>
      </c>
    </row>
    <row r="149" spans="1:5" x14ac:dyDescent="0.3">
      <c r="A149" s="5" t="s">
        <v>237</v>
      </c>
      <c r="B149" s="5" t="s">
        <v>39</v>
      </c>
      <c r="C149">
        <v>1294</v>
      </c>
      <c r="D149">
        <v>382</v>
      </c>
      <c r="E149">
        <f t="shared" si="4"/>
        <v>912</v>
      </c>
    </row>
    <row r="150" spans="1:5" x14ac:dyDescent="0.3">
      <c r="A150" s="5" t="s">
        <v>121</v>
      </c>
      <c r="B150" s="5" t="s">
        <v>39</v>
      </c>
      <c r="C150">
        <v>1895</v>
      </c>
      <c r="D150">
        <v>305</v>
      </c>
      <c r="E150">
        <f t="shared" si="4"/>
        <v>1590</v>
      </c>
    </row>
    <row r="151" spans="1:5" x14ac:dyDescent="0.3">
      <c r="A151" s="5" t="s">
        <v>121</v>
      </c>
      <c r="B151" s="5" t="s">
        <v>23</v>
      </c>
      <c r="C151">
        <v>1662</v>
      </c>
      <c r="D151">
        <v>487</v>
      </c>
      <c r="E151">
        <f t="shared" si="4"/>
        <v>1175</v>
      </c>
    </row>
    <row r="152" spans="1:5" x14ac:dyDescent="0.3">
      <c r="A152" s="5" t="s">
        <v>121</v>
      </c>
      <c r="B152" s="5" t="s">
        <v>29</v>
      </c>
      <c r="C152">
        <v>1138</v>
      </c>
      <c r="D152">
        <v>173</v>
      </c>
      <c r="E152">
        <f t="shared" si="4"/>
        <v>965</v>
      </c>
    </row>
    <row r="153" spans="1:5" x14ac:dyDescent="0.3">
      <c r="A153" s="5" t="s">
        <v>121</v>
      </c>
      <c r="B153" s="5" t="s">
        <v>14</v>
      </c>
      <c r="C153">
        <v>362</v>
      </c>
      <c r="D153">
        <v>399</v>
      </c>
      <c r="E153">
        <f t="shared" si="4"/>
        <v>-37</v>
      </c>
    </row>
    <row r="154" spans="1:5" x14ac:dyDescent="0.3">
      <c r="A154" s="5" t="s">
        <v>139</v>
      </c>
      <c r="B154" s="5" t="s">
        <v>39</v>
      </c>
      <c r="C154">
        <v>1884</v>
      </c>
      <c r="D154">
        <v>177</v>
      </c>
      <c r="E154">
        <f t="shared" si="4"/>
        <v>1707</v>
      </c>
    </row>
    <row r="155" spans="1:5" x14ac:dyDescent="0.3">
      <c r="A155" s="5" t="s">
        <v>139</v>
      </c>
      <c r="B155" s="5" t="s">
        <v>29</v>
      </c>
      <c r="C155">
        <v>1440</v>
      </c>
      <c r="D155">
        <v>65</v>
      </c>
      <c r="E155">
        <f t="shared" si="4"/>
        <v>1375</v>
      </c>
    </row>
    <row r="156" spans="1:5" x14ac:dyDescent="0.3">
      <c r="A156" s="5" t="s">
        <v>139</v>
      </c>
      <c r="B156" s="5" t="s">
        <v>23</v>
      </c>
      <c r="C156">
        <v>1063</v>
      </c>
      <c r="D156">
        <v>47</v>
      </c>
      <c r="E156">
        <f t="shared" si="4"/>
        <v>1016</v>
      </c>
    </row>
    <row r="157" spans="1:5" x14ac:dyDescent="0.3">
      <c r="A157" s="5" t="s">
        <v>139</v>
      </c>
      <c r="B157" s="5" t="s">
        <v>14</v>
      </c>
      <c r="C157">
        <v>861</v>
      </c>
      <c r="D157">
        <v>153</v>
      </c>
      <c r="E157">
        <f t="shared" si="4"/>
        <v>708</v>
      </c>
    </row>
    <row r="158" spans="1:5" x14ac:dyDescent="0.3">
      <c r="A158" s="5" t="s">
        <v>186</v>
      </c>
      <c r="B158" s="5" t="s">
        <v>29</v>
      </c>
      <c r="C158">
        <v>1371</v>
      </c>
      <c r="D158">
        <v>56</v>
      </c>
      <c r="E158">
        <f t="shared" si="4"/>
        <v>1315</v>
      </c>
    </row>
    <row r="159" spans="1:5" x14ac:dyDescent="0.3">
      <c r="A159" s="5" t="s">
        <v>186</v>
      </c>
      <c r="B159" s="5" t="s">
        <v>14</v>
      </c>
      <c r="C159">
        <v>946</v>
      </c>
      <c r="D159">
        <v>47</v>
      </c>
      <c r="E159">
        <f t="shared" si="4"/>
        <v>899</v>
      </c>
    </row>
    <row r="160" spans="1:5" x14ac:dyDescent="0.3">
      <c r="A160" s="5" t="s">
        <v>186</v>
      </c>
      <c r="B160" s="5" t="s">
        <v>23</v>
      </c>
      <c r="C160">
        <v>510</v>
      </c>
      <c r="D160">
        <v>195</v>
      </c>
      <c r="E160">
        <f t="shared" si="4"/>
        <v>315</v>
      </c>
    </row>
    <row r="161" spans="1:5" x14ac:dyDescent="0.3">
      <c r="A161" s="5" t="s">
        <v>186</v>
      </c>
      <c r="B161" s="5" t="s">
        <v>39</v>
      </c>
      <c r="C161">
        <v>345</v>
      </c>
      <c r="D161">
        <v>464</v>
      </c>
      <c r="E161">
        <f t="shared" si="4"/>
        <v>-119</v>
      </c>
    </row>
    <row r="162" spans="1:5" x14ac:dyDescent="0.3">
      <c r="A162" s="5" t="s">
        <v>566</v>
      </c>
      <c r="B162" s="5" t="s">
        <v>14</v>
      </c>
      <c r="C162">
        <v>1399</v>
      </c>
      <c r="D162">
        <v>49</v>
      </c>
      <c r="E162">
        <f t="shared" ref="E162:E193" si="5">((C162-D162))</f>
        <v>1350</v>
      </c>
    </row>
    <row r="163" spans="1:5" x14ac:dyDescent="0.3">
      <c r="A163" s="5" t="s">
        <v>566</v>
      </c>
      <c r="B163" s="5" t="s">
        <v>23</v>
      </c>
      <c r="C163">
        <v>1658</v>
      </c>
      <c r="D163">
        <v>416</v>
      </c>
      <c r="E163">
        <f t="shared" si="5"/>
        <v>1242</v>
      </c>
    </row>
    <row r="164" spans="1:5" x14ac:dyDescent="0.3">
      <c r="A164" s="5" t="s">
        <v>566</v>
      </c>
      <c r="B164" s="5" t="s">
        <v>39</v>
      </c>
      <c r="C164">
        <v>1098</v>
      </c>
      <c r="D164">
        <v>190</v>
      </c>
      <c r="E164">
        <f t="shared" si="5"/>
        <v>908</v>
      </c>
    </row>
    <row r="165" spans="1:5" x14ac:dyDescent="0.3">
      <c r="A165" s="5" t="s">
        <v>566</v>
      </c>
      <c r="B165" s="5" t="s">
        <v>29</v>
      </c>
      <c r="C165">
        <v>393</v>
      </c>
      <c r="D165">
        <v>181</v>
      </c>
      <c r="E165">
        <f t="shared" si="5"/>
        <v>212</v>
      </c>
    </row>
    <row r="166" spans="1:5" x14ac:dyDescent="0.3">
      <c r="A166" s="5" t="s">
        <v>567</v>
      </c>
      <c r="B166" s="5" t="s">
        <v>23</v>
      </c>
      <c r="C166">
        <v>1596</v>
      </c>
      <c r="D166">
        <v>211</v>
      </c>
      <c r="E166">
        <f t="shared" si="5"/>
        <v>1385</v>
      </c>
    </row>
    <row r="167" spans="1:5" x14ac:dyDescent="0.3">
      <c r="A167" s="5" t="s">
        <v>567</v>
      </c>
      <c r="B167" s="5" t="s">
        <v>39</v>
      </c>
      <c r="C167">
        <v>1358</v>
      </c>
      <c r="D167">
        <v>242</v>
      </c>
      <c r="E167">
        <f t="shared" si="5"/>
        <v>1116</v>
      </c>
    </row>
    <row r="168" spans="1:5" x14ac:dyDescent="0.3">
      <c r="A168" s="5" t="s">
        <v>567</v>
      </c>
      <c r="B168" s="5" t="s">
        <v>14</v>
      </c>
      <c r="C168">
        <v>1077</v>
      </c>
      <c r="D168">
        <v>216</v>
      </c>
      <c r="E168">
        <f t="shared" si="5"/>
        <v>861</v>
      </c>
    </row>
    <row r="169" spans="1:5" x14ac:dyDescent="0.3">
      <c r="A169" s="5" t="s">
        <v>567</v>
      </c>
      <c r="B169" s="5" t="s">
        <v>29</v>
      </c>
      <c r="C169">
        <v>1102</v>
      </c>
      <c r="D169">
        <v>422</v>
      </c>
      <c r="E169">
        <f t="shared" si="5"/>
        <v>680</v>
      </c>
    </row>
    <row r="170" spans="1:5" x14ac:dyDescent="0.3">
      <c r="A170" s="5" t="s">
        <v>222</v>
      </c>
      <c r="B170" s="5" t="s">
        <v>39</v>
      </c>
      <c r="C170">
        <v>609</v>
      </c>
      <c r="D170">
        <v>135</v>
      </c>
      <c r="E170">
        <f t="shared" si="5"/>
        <v>474</v>
      </c>
    </row>
    <row r="171" spans="1:5" x14ac:dyDescent="0.3">
      <c r="A171" s="5" t="s">
        <v>222</v>
      </c>
      <c r="B171" s="5" t="s">
        <v>29</v>
      </c>
      <c r="C171">
        <v>490</v>
      </c>
      <c r="D171">
        <v>29</v>
      </c>
      <c r="E171">
        <f t="shared" si="5"/>
        <v>461</v>
      </c>
    </row>
    <row r="172" spans="1:5" x14ac:dyDescent="0.3">
      <c r="A172" s="5" t="s">
        <v>222</v>
      </c>
      <c r="B172" s="5" t="s">
        <v>23</v>
      </c>
      <c r="C172">
        <v>442</v>
      </c>
      <c r="D172">
        <v>53</v>
      </c>
      <c r="E172">
        <f t="shared" si="5"/>
        <v>389</v>
      </c>
    </row>
    <row r="173" spans="1:5" x14ac:dyDescent="0.3">
      <c r="A173" s="5" t="s">
        <v>222</v>
      </c>
      <c r="B173" s="5" t="s">
        <v>14</v>
      </c>
      <c r="C173">
        <v>364</v>
      </c>
      <c r="D173">
        <v>72</v>
      </c>
      <c r="E173">
        <f t="shared" si="5"/>
        <v>292</v>
      </c>
    </row>
    <row r="174" spans="1:5" x14ac:dyDescent="0.3">
      <c r="A174" s="5" t="s">
        <v>568</v>
      </c>
      <c r="B174" s="5" t="s">
        <v>14</v>
      </c>
      <c r="C174">
        <v>1946</v>
      </c>
      <c r="D174">
        <v>270</v>
      </c>
      <c r="E174">
        <f t="shared" si="5"/>
        <v>1676</v>
      </c>
    </row>
    <row r="175" spans="1:5" x14ac:dyDescent="0.3">
      <c r="A175" s="5" t="s">
        <v>568</v>
      </c>
      <c r="B175" s="5" t="s">
        <v>23</v>
      </c>
      <c r="C175">
        <v>1957</v>
      </c>
      <c r="D175">
        <v>490</v>
      </c>
      <c r="E175">
        <f t="shared" si="5"/>
        <v>1467</v>
      </c>
    </row>
    <row r="176" spans="1:5" x14ac:dyDescent="0.3">
      <c r="A176" s="5" t="s">
        <v>568</v>
      </c>
      <c r="B176" s="5" t="s">
        <v>29</v>
      </c>
      <c r="C176">
        <v>1033</v>
      </c>
      <c r="D176">
        <v>392</v>
      </c>
      <c r="E176">
        <f t="shared" si="5"/>
        <v>641</v>
      </c>
    </row>
    <row r="177" spans="1:5" x14ac:dyDescent="0.3">
      <c r="A177" s="5" t="s">
        <v>568</v>
      </c>
      <c r="B177" s="5" t="s">
        <v>39</v>
      </c>
      <c r="C177">
        <v>988</v>
      </c>
      <c r="D177">
        <v>474</v>
      </c>
      <c r="E177">
        <f t="shared" si="5"/>
        <v>514</v>
      </c>
    </row>
    <row r="178" spans="1:5" x14ac:dyDescent="0.3">
      <c r="A178" s="5" t="s">
        <v>398</v>
      </c>
      <c r="B178" s="5" t="s">
        <v>39</v>
      </c>
      <c r="C178">
        <v>1307</v>
      </c>
      <c r="D178">
        <v>278</v>
      </c>
      <c r="E178">
        <f t="shared" si="5"/>
        <v>1029</v>
      </c>
    </row>
    <row r="179" spans="1:5" x14ac:dyDescent="0.3">
      <c r="A179" s="5" t="s">
        <v>398</v>
      </c>
      <c r="B179" s="5" t="s">
        <v>14</v>
      </c>
      <c r="C179">
        <v>1432</v>
      </c>
      <c r="D179">
        <v>425</v>
      </c>
      <c r="E179">
        <f t="shared" si="5"/>
        <v>1007</v>
      </c>
    </row>
    <row r="180" spans="1:5" x14ac:dyDescent="0.3">
      <c r="A180" s="5" t="s">
        <v>398</v>
      </c>
      <c r="B180" s="5" t="s">
        <v>23</v>
      </c>
      <c r="C180">
        <v>623</v>
      </c>
      <c r="D180">
        <v>414</v>
      </c>
      <c r="E180">
        <f t="shared" si="5"/>
        <v>209</v>
      </c>
    </row>
    <row r="181" spans="1:5" x14ac:dyDescent="0.3">
      <c r="A181" s="5" t="s">
        <v>398</v>
      </c>
      <c r="B181" s="5" t="s">
        <v>29</v>
      </c>
      <c r="C181">
        <v>559</v>
      </c>
      <c r="D181">
        <v>392</v>
      </c>
      <c r="E181">
        <f t="shared" si="5"/>
        <v>167</v>
      </c>
    </row>
    <row r="182" spans="1:5" x14ac:dyDescent="0.3">
      <c r="A182" s="5" t="s">
        <v>569</v>
      </c>
      <c r="B182" s="5" t="s">
        <v>23</v>
      </c>
      <c r="C182">
        <v>520</v>
      </c>
      <c r="D182">
        <v>375</v>
      </c>
      <c r="E182">
        <f t="shared" si="5"/>
        <v>145</v>
      </c>
    </row>
    <row r="183" spans="1:5" x14ac:dyDescent="0.3">
      <c r="A183" s="5" t="s">
        <v>569</v>
      </c>
      <c r="B183" s="5" t="s">
        <v>14</v>
      </c>
      <c r="C183">
        <v>353</v>
      </c>
      <c r="D183">
        <v>300</v>
      </c>
      <c r="E183">
        <f t="shared" si="5"/>
        <v>53</v>
      </c>
    </row>
    <row r="184" spans="1:5" x14ac:dyDescent="0.3">
      <c r="A184" s="5" t="s">
        <v>569</v>
      </c>
      <c r="B184" s="5" t="s">
        <v>29</v>
      </c>
      <c r="C184">
        <v>198</v>
      </c>
      <c r="D184">
        <v>358</v>
      </c>
      <c r="E184">
        <f t="shared" si="5"/>
        <v>-160</v>
      </c>
    </row>
    <row r="185" spans="1:5" x14ac:dyDescent="0.3">
      <c r="A185" s="5" t="s">
        <v>569</v>
      </c>
      <c r="B185" s="5" t="s">
        <v>39</v>
      </c>
      <c r="C185">
        <v>198</v>
      </c>
      <c r="D185">
        <v>373</v>
      </c>
      <c r="E185">
        <f t="shared" si="5"/>
        <v>-175</v>
      </c>
    </row>
    <row r="186" spans="1:5" x14ac:dyDescent="0.3">
      <c r="A186" s="5" t="s">
        <v>570</v>
      </c>
      <c r="B186" s="5" t="s">
        <v>23</v>
      </c>
      <c r="C186">
        <v>1707</v>
      </c>
      <c r="D186">
        <v>74</v>
      </c>
      <c r="E186">
        <f t="shared" si="5"/>
        <v>1633</v>
      </c>
    </row>
    <row r="187" spans="1:5" x14ac:dyDescent="0.3">
      <c r="A187" s="5" t="s">
        <v>570</v>
      </c>
      <c r="B187" s="5" t="s">
        <v>39</v>
      </c>
      <c r="C187">
        <v>1375</v>
      </c>
      <c r="D187">
        <v>330</v>
      </c>
      <c r="E187">
        <f t="shared" si="5"/>
        <v>1045</v>
      </c>
    </row>
    <row r="188" spans="1:5" x14ac:dyDescent="0.3">
      <c r="A188" s="5" t="s">
        <v>570</v>
      </c>
      <c r="B188" s="5" t="s">
        <v>14</v>
      </c>
      <c r="C188">
        <v>1147</v>
      </c>
      <c r="D188">
        <v>388</v>
      </c>
      <c r="E188">
        <f t="shared" si="5"/>
        <v>759</v>
      </c>
    </row>
    <row r="189" spans="1:5" x14ac:dyDescent="0.3">
      <c r="A189" s="5" t="s">
        <v>570</v>
      </c>
      <c r="B189" s="5" t="s">
        <v>29</v>
      </c>
      <c r="C189">
        <v>961</v>
      </c>
      <c r="D189">
        <v>358</v>
      </c>
      <c r="E189">
        <f t="shared" si="5"/>
        <v>603</v>
      </c>
    </row>
    <row r="190" spans="1:5" x14ac:dyDescent="0.3">
      <c r="A190" s="5" t="s">
        <v>350</v>
      </c>
      <c r="B190" s="5" t="s">
        <v>29</v>
      </c>
      <c r="C190">
        <v>1693</v>
      </c>
      <c r="D190">
        <v>154</v>
      </c>
      <c r="E190">
        <f t="shared" si="5"/>
        <v>1539</v>
      </c>
    </row>
    <row r="191" spans="1:5" x14ac:dyDescent="0.3">
      <c r="A191" s="5" t="s">
        <v>350</v>
      </c>
      <c r="B191" s="5" t="s">
        <v>14</v>
      </c>
      <c r="C191">
        <v>1222</v>
      </c>
      <c r="D191">
        <v>274</v>
      </c>
      <c r="E191">
        <f t="shared" si="5"/>
        <v>948</v>
      </c>
    </row>
    <row r="192" spans="1:5" x14ac:dyDescent="0.3">
      <c r="A192" s="5" t="s">
        <v>350</v>
      </c>
      <c r="B192" s="5" t="s">
        <v>23</v>
      </c>
      <c r="C192">
        <v>777</v>
      </c>
      <c r="D192">
        <v>140</v>
      </c>
      <c r="E192">
        <f t="shared" si="5"/>
        <v>637</v>
      </c>
    </row>
    <row r="193" spans="1:5" x14ac:dyDescent="0.3">
      <c r="A193" s="5" t="s">
        <v>350</v>
      </c>
      <c r="B193" s="5" t="s">
        <v>39</v>
      </c>
      <c r="C193">
        <v>833</v>
      </c>
      <c r="D193">
        <v>380</v>
      </c>
      <c r="E193">
        <f t="shared" si="5"/>
        <v>453</v>
      </c>
    </row>
    <row r="194" spans="1:5" x14ac:dyDescent="0.3">
      <c r="A194" s="5" t="s">
        <v>74</v>
      </c>
      <c r="B194" s="5" t="s">
        <v>29</v>
      </c>
      <c r="C194">
        <v>1957</v>
      </c>
      <c r="D194">
        <v>76</v>
      </c>
      <c r="E194">
        <f t="shared" ref="E194:E201" si="6">((C194-D194))</f>
        <v>1881</v>
      </c>
    </row>
    <row r="195" spans="1:5" x14ac:dyDescent="0.3">
      <c r="A195" s="5" t="s">
        <v>74</v>
      </c>
      <c r="B195" s="5" t="s">
        <v>14</v>
      </c>
      <c r="C195">
        <v>1581</v>
      </c>
      <c r="D195">
        <v>71</v>
      </c>
      <c r="E195">
        <f t="shared" si="6"/>
        <v>1510</v>
      </c>
    </row>
    <row r="196" spans="1:5" x14ac:dyDescent="0.3">
      <c r="A196" s="5" t="s">
        <v>74</v>
      </c>
      <c r="B196" s="5" t="s">
        <v>23</v>
      </c>
      <c r="C196">
        <v>1035</v>
      </c>
      <c r="D196">
        <v>171</v>
      </c>
      <c r="E196">
        <f t="shared" si="6"/>
        <v>864</v>
      </c>
    </row>
    <row r="197" spans="1:5" x14ac:dyDescent="0.3">
      <c r="A197" s="5" t="s">
        <v>74</v>
      </c>
      <c r="B197" s="5" t="s">
        <v>39</v>
      </c>
      <c r="C197">
        <v>405</v>
      </c>
      <c r="D197">
        <v>66</v>
      </c>
      <c r="E197">
        <f t="shared" si="6"/>
        <v>339</v>
      </c>
    </row>
    <row r="198" spans="1:5" x14ac:dyDescent="0.3">
      <c r="A198" s="5" t="s">
        <v>24</v>
      </c>
      <c r="B198" s="5" t="s">
        <v>29</v>
      </c>
      <c r="C198">
        <v>1765</v>
      </c>
      <c r="D198">
        <v>109</v>
      </c>
      <c r="E198">
        <f t="shared" si="6"/>
        <v>1656</v>
      </c>
    </row>
    <row r="199" spans="1:5" x14ac:dyDescent="0.3">
      <c r="A199" s="5" t="s">
        <v>24</v>
      </c>
      <c r="B199" s="5" t="s">
        <v>39</v>
      </c>
      <c r="C199">
        <v>837</v>
      </c>
      <c r="D199">
        <v>430</v>
      </c>
      <c r="E199">
        <f t="shared" si="6"/>
        <v>407</v>
      </c>
    </row>
    <row r="200" spans="1:5" x14ac:dyDescent="0.3">
      <c r="A200" s="5" t="s">
        <v>24</v>
      </c>
      <c r="B200" s="5" t="s">
        <v>14</v>
      </c>
      <c r="C200">
        <v>337</v>
      </c>
      <c r="D200">
        <v>68</v>
      </c>
      <c r="E200">
        <f t="shared" si="6"/>
        <v>269</v>
      </c>
    </row>
    <row r="201" spans="1:5" x14ac:dyDescent="0.3">
      <c r="A201" s="5" t="s">
        <v>24</v>
      </c>
      <c r="B201" s="5" t="s">
        <v>23</v>
      </c>
      <c r="C201">
        <v>119</v>
      </c>
      <c r="D201">
        <v>456</v>
      </c>
      <c r="E201">
        <f t="shared" si="6"/>
        <v>-337</v>
      </c>
    </row>
  </sheetData>
  <conditionalFormatting pivot="1" sqref="N30:N79">
    <cfRule type="colorScale" priority="4">
      <colorScale>
        <cfvo type="min"/>
        <cfvo type="max"/>
        <color theme="7" tint="0.79998168889431442"/>
        <color theme="7" tint="-0.249977111117893"/>
      </colorScale>
    </cfRule>
  </conditionalFormatting>
  <conditionalFormatting pivot="1" sqref="N30:N79">
    <cfRule type="top10" dxfId="17" priority="3" rank="2"/>
  </conditionalFormatting>
  <conditionalFormatting pivot="1" sqref="N30:N79">
    <cfRule type="top10" dxfId="16" priority="2" rank="1"/>
  </conditionalFormatting>
  <conditionalFormatting sqref="N29:N79">
    <cfRule type="top10" dxfId="15" priority="1" rank="3"/>
  </conditionalFormatting>
  <pageMargins left="0.7" right="0.7" top="0.75" bottom="0.75" header="0.3" footer="0.3"/>
  <drawing r:id="rId3"/>
  <tableParts count="1"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F4C17-D862-4550-8DE9-F4019E047F9C}">
  <sheetPr>
    <tabColor rgb="FF0070C0"/>
  </sheetPr>
  <dimension ref="A1:Y201"/>
  <sheetViews>
    <sheetView zoomScale="87" zoomScaleNormal="55" workbookViewId="0">
      <selection activeCell="C5" sqref="C5"/>
    </sheetView>
  </sheetViews>
  <sheetFormatPr defaultRowHeight="14.4" x14ac:dyDescent="0.3"/>
  <cols>
    <col min="1" max="1" width="17.5546875" customWidth="1"/>
    <col min="2" max="2" width="10.6640625" customWidth="1"/>
    <col min="3" max="3" width="16.6640625" customWidth="1"/>
  </cols>
  <sheetData>
    <row r="1" spans="1:25" x14ac:dyDescent="0.3">
      <c r="A1" t="s">
        <v>547</v>
      </c>
      <c r="B1" t="s">
        <v>700</v>
      </c>
      <c r="C1" t="s">
        <v>701</v>
      </c>
    </row>
    <row r="2" spans="1:25" x14ac:dyDescent="0.3">
      <c r="A2" t="s">
        <v>220</v>
      </c>
      <c r="B2">
        <f>(Table12[[#This Row],[New_Followers]]-Table12[[#This Row],[Unfollows]])</f>
        <v>1090</v>
      </c>
      <c r="C2">
        <f t="shared" ref="C2:C33" si="0">AVERAGE(B2:B201)</f>
        <v>800.52499999999998</v>
      </c>
    </row>
    <row r="3" spans="1:25" ht="23.4" x14ac:dyDescent="0.3">
      <c r="A3" t="s">
        <v>220</v>
      </c>
      <c r="B3">
        <f>(Table12[[#This Row],[New_Followers]]-Table12[[#This Row],[Unfollows]])</f>
        <v>1047</v>
      </c>
      <c r="C3">
        <f t="shared" si="0"/>
        <v>799.070351758794</v>
      </c>
      <c r="S3" s="181" t="s">
        <v>711</v>
      </c>
      <c r="T3" s="182"/>
      <c r="U3" s="182"/>
      <c r="V3" s="182"/>
      <c r="W3" s="182"/>
      <c r="X3" s="182"/>
      <c r="Y3" s="182"/>
    </row>
    <row r="4" spans="1:25" x14ac:dyDescent="0.3">
      <c r="A4" t="s">
        <v>220</v>
      </c>
      <c r="B4">
        <f>(Table12[[#This Row],[New_Followers]]-Table12[[#This Row],[Unfollows]])</f>
        <v>1002</v>
      </c>
      <c r="C4">
        <f t="shared" si="0"/>
        <v>797.81818181818187</v>
      </c>
      <c r="S4" s="108"/>
    </row>
    <row r="5" spans="1:25" x14ac:dyDescent="0.3">
      <c r="A5" t="s">
        <v>220</v>
      </c>
      <c r="B5">
        <f>(Table12[[#This Row],[New_Followers]]-Table12[[#This Row],[Unfollows]])</f>
        <v>415</v>
      </c>
      <c r="C5">
        <f t="shared" si="0"/>
        <v>796.7817258883249</v>
      </c>
      <c r="S5" s="183" t="s">
        <v>717</v>
      </c>
      <c r="T5" s="184"/>
      <c r="U5" s="184"/>
      <c r="V5" s="184"/>
      <c r="W5" s="184"/>
      <c r="X5" s="184"/>
      <c r="Y5" s="184"/>
    </row>
    <row r="6" spans="1:25" x14ac:dyDescent="0.3">
      <c r="A6" t="s">
        <v>142</v>
      </c>
      <c r="B6">
        <f>(Table12[[#This Row],[New_Followers]]-Table12[[#This Row],[Unfollows]])</f>
        <v>1283</v>
      </c>
      <c r="C6">
        <f t="shared" si="0"/>
        <v>798.7295918367347</v>
      </c>
      <c r="S6" s="185"/>
      <c r="T6" s="184"/>
      <c r="U6" s="184"/>
      <c r="V6" s="184"/>
      <c r="W6" s="184"/>
      <c r="X6" s="184"/>
      <c r="Y6" s="184"/>
    </row>
    <row r="7" spans="1:25" x14ac:dyDescent="0.3">
      <c r="A7" t="s">
        <v>142</v>
      </c>
      <c r="B7">
        <f>(Table12[[#This Row],[New_Followers]]-Table12[[#This Row],[Unfollows]])</f>
        <v>994</v>
      </c>
      <c r="C7">
        <f t="shared" si="0"/>
        <v>796.2461538461539</v>
      </c>
      <c r="S7" s="186"/>
      <c r="T7" s="184"/>
      <c r="U7" s="184"/>
      <c r="V7" s="184"/>
      <c r="W7" s="184"/>
      <c r="X7" s="184"/>
      <c r="Y7" s="184"/>
    </row>
    <row r="8" spans="1:25" x14ac:dyDescent="0.3">
      <c r="A8" t="s">
        <v>142</v>
      </c>
      <c r="B8">
        <f>(Table12[[#This Row],[New_Followers]]-Table12[[#This Row],[Unfollows]])</f>
        <v>517</v>
      </c>
      <c r="C8">
        <f t="shared" si="0"/>
        <v>795.2268041237113</v>
      </c>
      <c r="S8" s="184"/>
      <c r="T8" s="184"/>
      <c r="U8" s="184"/>
      <c r="V8" s="184"/>
      <c r="W8" s="184"/>
      <c r="X8" s="184"/>
      <c r="Y8" s="184"/>
    </row>
    <row r="9" spans="1:25" x14ac:dyDescent="0.3">
      <c r="A9" t="s">
        <v>142</v>
      </c>
      <c r="B9">
        <f>(Table12[[#This Row],[New_Followers]]-Table12[[#This Row],[Unfollows]])</f>
        <v>186</v>
      </c>
      <c r="C9">
        <f t="shared" si="0"/>
        <v>796.66839378238342</v>
      </c>
      <c r="S9" s="184"/>
      <c r="T9" s="184"/>
      <c r="U9" s="184"/>
      <c r="V9" s="184"/>
      <c r="W9" s="184"/>
      <c r="X9" s="184"/>
      <c r="Y9" s="184"/>
    </row>
    <row r="10" spans="1:25" x14ac:dyDescent="0.3">
      <c r="A10" t="s">
        <v>154</v>
      </c>
      <c r="B10">
        <f>(Table12[[#This Row],[New_Followers]]-Table12[[#This Row],[Unfollows]])</f>
        <v>1382</v>
      </c>
      <c r="C10">
        <f t="shared" si="0"/>
        <v>799.84895833333337</v>
      </c>
    </row>
    <row r="11" spans="1:25" x14ac:dyDescent="0.3">
      <c r="A11" t="s">
        <v>154</v>
      </c>
      <c r="B11">
        <f>(Table12[[#This Row],[New_Followers]]-Table12[[#This Row],[Unfollows]])</f>
        <v>1295</v>
      </c>
      <c r="C11">
        <f t="shared" si="0"/>
        <v>796.80104712041884</v>
      </c>
    </row>
    <row r="12" spans="1:25" x14ac:dyDescent="0.3">
      <c r="A12" t="s">
        <v>154</v>
      </c>
      <c r="B12">
        <f>(Table12[[#This Row],[New_Followers]]-Table12[[#This Row],[Unfollows]])</f>
        <v>893</v>
      </c>
      <c r="C12">
        <f t="shared" si="0"/>
        <v>794.17894736842106</v>
      </c>
    </row>
    <row r="13" spans="1:25" x14ac:dyDescent="0.3">
      <c r="A13" t="s">
        <v>154</v>
      </c>
      <c r="B13">
        <f>(Table12[[#This Row],[New_Followers]]-Table12[[#This Row],[Unfollows]])</f>
        <v>337</v>
      </c>
      <c r="C13">
        <f t="shared" si="0"/>
        <v>793.65608465608466</v>
      </c>
    </row>
    <row r="14" spans="1:25" x14ac:dyDescent="0.3">
      <c r="A14" t="s">
        <v>44</v>
      </c>
      <c r="B14">
        <f>(Table12[[#This Row],[New_Followers]]-Table12[[#This Row],[Unfollows]])</f>
        <v>1670</v>
      </c>
      <c r="C14">
        <f t="shared" si="0"/>
        <v>796.08510638297878</v>
      </c>
    </row>
    <row r="15" spans="1:25" x14ac:dyDescent="0.3">
      <c r="A15" t="s">
        <v>44</v>
      </c>
      <c r="B15">
        <f>(Table12[[#This Row],[New_Followers]]-Table12[[#This Row],[Unfollows]])</f>
        <v>835</v>
      </c>
      <c r="C15">
        <f t="shared" si="0"/>
        <v>791.41176470588232</v>
      </c>
    </row>
    <row r="16" spans="1:25" x14ac:dyDescent="0.3">
      <c r="A16" t="s">
        <v>44</v>
      </c>
      <c r="B16">
        <f>(Table12[[#This Row],[New_Followers]]-Table12[[#This Row],[Unfollows]])</f>
        <v>629</v>
      </c>
      <c r="C16">
        <f t="shared" si="0"/>
        <v>791.17741935483866</v>
      </c>
    </row>
    <row r="17" spans="1:13" x14ac:dyDescent="0.3">
      <c r="A17" t="s">
        <v>44</v>
      </c>
      <c r="B17">
        <f>(Table12[[#This Row],[New_Followers]]-Table12[[#This Row],[Unfollows]])</f>
        <v>-123</v>
      </c>
      <c r="C17">
        <f t="shared" si="0"/>
        <v>792.05405405405406</v>
      </c>
    </row>
    <row r="18" spans="1:13" x14ac:dyDescent="0.3">
      <c r="A18" t="s">
        <v>439</v>
      </c>
      <c r="B18">
        <f>(Table12[[#This Row],[New_Followers]]-Table12[[#This Row],[Unfollows]])</f>
        <v>1357</v>
      </c>
      <c r="C18">
        <f t="shared" si="0"/>
        <v>797.0271739130435</v>
      </c>
    </row>
    <row r="19" spans="1:13" x14ac:dyDescent="0.3">
      <c r="A19" t="s">
        <v>439</v>
      </c>
      <c r="B19">
        <f>(Table12[[#This Row],[New_Followers]]-Table12[[#This Row],[Unfollows]])</f>
        <v>91</v>
      </c>
      <c r="C19">
        <f t="shared" si="0"/>
        <v>793.96721311475414</v>
      </c>
    </row>
    <row r="20" spans="1:13" x14ac:dyDescent="0.3">
      <c r="A20" t="s">
        <v>439</v>
      </c>
      <c r="B20">
        <f>(Table12[[#This Row],[New_Followers]]-Table12[[#This Row],[Unfollows]])</f>
        <v>64</v>
      </c>
      <c r="C20">
        <f t="shared" si="0"/>
        <v>797.82967032967031</v>
      </c>
      <c r="G20" s="166" t="s">
        <v>703</v>
      </c>
      <c r="H20" s="167"/>
      <c r="I20" s="167"/>
      <c r="J20" s="167"/>
      <c r="K20" s="167"/>
      <c r="L20" s="167"/>
      <c r="M20" s="167"/>
    </row>
    <row r="21" spans="1:13" x14ac:dyDescent="0.3">
      <c r="A21" t="s">
        <v>439</v>
      </c>
      <c r="B21">
        <f>(Table12[[#This Row],[New_Followers]]-Table12[[#This Row],[Unfollows]])</f>
        <v>-219</v>
      </c>
      <c r="C21">
        <f t="shared" si="0"/>
        <v>801.88397790055251</v>
      </c>
      <c r="G21" s="168" t="s">
        <v>704</v>
      </c>
      <c r="H21" s="167"/>
      <c r="I21" s="167"/>
      <c r="J21" s="167"/>
      <c r="K21" s="167"/>
      <c r="L21" s="167"/>
      <c r="M21" s="167"/>
    </row>
    <row r="22" spans="1:13" x14ac:dyDescent="0.3">
      <c r="A22" t="s">
        <v>553</v>
      </c>
      <c r="B22">
        <f>(Table12[[#This Row],[New_Followers]]-Table12[[#This Row],[Unfollows]])</f>
        <v>1672</v>
      </c>
      <c r="C22">
        <f t="shared" si="0"/>
        <v>807.55555555555554</v>
      </c>
    </row>
    <row r="23" spans="1:13" x14ac:dyDescent="0.3">
      <c r="A23" t="s">
        <v>553</v>
      </c>
      <c r="B23">
        <f>(Table12[[#This Row],[New_Followers]]-Table12[[#This Row],[Unfollows]])</f>
        <v>547</v>
      </c>
      <c r="C23">
        <f t="shared" si="0"/>
        <v>802.72625698324021</v>
      </c>
    </row>
    <row r="24" spans="1:13" x14ac:dyDescent="0.3">
      <c r="A24" t="s">
        <v>553</v>
      </c>
      <c r="B24">
        <f>(Table12[[#This Row],[New_Followers]]-Table12[[#This Row],[Unfollows]])</f>
        <v>514</v>
      </c>
      <c r="C24">
        <f t="shared" si="0"/>
        <v>804.16292134831463</v>
      </c>
      <c r="G24" s="167" t="s">
        <v>705</v>
      </c>
      <c r="H24" s="167"/>
      <c r="I24" s="167"/>
      <c r="J24" s="167"/>
      <c r="K24" s="167"/>
      <c r="L24" s="167"/>
      <c r="M24" s="167"/>
    </row>
    <row r="25" spans="1:13" x14ac:dyDescent="0.3">
      <c r="A25" t="s">
        <v>553</v>
      </c>
      <c r="B25">
        <f>(Table12[[#This Row],[New_Followers]]-Table12[[#This Row],[Unfollows]])</f>
        <v>309</v>
      </c>
      <c r="C25">
        <f t="shared" si="0"/>
        <v>805.80225988700568</v>
      </c>
      <c r="G25" s="167" t="s">
        <v>702</v>
      </c>
      <c r="H25" s="167"/>
      <c r="I25" s="167"/>
      <c r="J25" s="167"/>
      <c r="K25" s="167"/>
      <c r="L25" s="167"/>
      <c r="M25" s="167"/>
    </row>
    <row r="26" spans="1:13" x14ac:dyDescent="0.3">
      <c r="A26" t="s">
        <v>303</v>
      </c>
      <c r="B26">
        <f>(Table12[[#This Row],[New_Followers]]-Table12[[#This Row],[Unfollows]])</f>
        <v>1845</v>
      </c>
      <c r="C26">
        <f t="shared" si="0"/>
        <v>808.625</v>
      </c>
    </row>
    <row r="27" spans="1:13" x14ac:dyDescent="0.3">
      <c r="A27" t="s">
        <v>303</v>
      </c>
      <c r="B27">
        <f>(Table12[[#This Row],[New_Followers]]-Table12[[#This Row],[Unfollows]])</f>
        <v>429</v>
      </c>
      <c r="C27">
        <f t="shared" si="0"/>
        <v>802.70285714285717</v>
      </c>
    </row>
    <row r="28" spans="1:13" x14ac:dyDescent="0.3">
      <c r="A28" t="s">
        <v>303</v>
      </c>
      <c r="B28">
        <f>(Table12[[#This Row],[New_Followers]]-Table12[[#This Row],[Unfollows]])</f>
        <v>160</v>
      </c>
      <c r="C28">
        <f t="shared" si="0"/>
        <v>804.85057471264372</v>
      </c>
    </row>
    <row r="29" spans="1:13" x14ac:dyDescent="0.3">
      <c r="A29" t="s">
        <v>303</v>
      </c>
      <c r="B29">
        <f>(Table12[[#This Row],[New_Followers]]-Table12[[#This Row],[Unfollows]])</f>
        <v>-164</v>
      </c>
      <c r="C29">
        <f t="shared" si="0"/>
        <v>808.5780346820809</v>
      </c>
    </row>
    <row r="30" spans="1:13" x14ac:dyDescent="0.3">
      <c r="A30" t="s">
        <v>554</v>
      </c>
      <c r="B30">
        <f>(Table12[[#This Row],[New_Followers]]-Table12[[#This Row],[Unfollows]])</f>
        <v>1316</v>
      </c>
      <c r="C30">
        <f t="shared" si="0"/>
        <v>814.23255813953483</v>
      </c>
    </row>
    <row r="31" spans="1:13" x14ac:dyDescent="0.3">
      <c r="A31" t="s">
        <v>554</v>
      </c>
      <c r="B31">
        <f>(Table12[[#This Row],[New_Followers]]-Table12[[#This Row],[Unfollows]])</f>
        <v>961</v>
      </c>
      <c r="C31">
        <f t="shared" si="0"/>
        <v>811.29824561403507</v>
      </c>
    </row>
    <row r="32" spans="1:13" x14ac:dyDescent="0.3">
      <c r="A32" t="s">
        <v>554</v>
      </c>
      <c r="B32">
        <f>(Table12[[#This Row],[New_Followers]]-Table12[[#This Row],[Unfollows]])</f>
        <v>317</v>
      </c>
      <c r="C32">
        <f t="shared" si="0"/>
        <v>810.41764705882349</v>
      </c>
    </row>
    <row r="33" spans="1:3" x14ac:dyDescent="0.3">
      <c r="A33" t="s">
        <v>554</v>
      </c>
      <c r="B33">
        <f>(Table12[[#This Row],[New_Followers]]-Table12[[#This Row],[Unfollows]])</f>
        <v>159</v>
      </c>
      <c r="C33">
        <f t="shared" si="0"/>
        <v>813.33727810650885</v>
      </c>
    </row>
    <row r="34" spans="1:3" x14ac:dyDescent="0.3">
      <c r="A34" t="s">
        <v>256</v>
      </c>
      <c r="B34">
        <f>(Table12[[#This Row],[New_Followers]]-Table12[[#This Row],[Unfollows]])</f>
        <v>1495</v>
      </c>
      <c r="C34">
        <f t="shared" ref="C34:C65" si="1">AVERAGE(B34:B233)</f>
        <v>817.23214285714289</v>
      </c>
    </row>
    <row r="35" spans="1:3" x14ac:dyDescent="0.3">
      <c r="A35" t="s">
        <v>256</v>
      </c>
      <c r="B35">
        <f>(Table12[[#This Row],[New_Followers]]-Table12[[#This Row],[Unfollows]])</f>
        <v>541</v>
      </c>
      <c r="C35">
        <f t="shared" si="1"/>
        <v>813.17365269461072</v>
      </c>
    </row>
    <row r="36" spans="1:3" x14ac:dyDescent="0.3">
      <c r="A36" t="s">
        <v>256</v>
      </c>
      <c r="B36">
        <f>(Table12[[#This Row],[New_Followers]]-Table12[[#This Row],[Unfollows]])</f>
        <v>475</v>
      </c>
      <c r="C36">
        <f t="shared" si="1"/>
        <v>814.81325301204822</v>
      </c>
    </row>
    <row r="37" spans="1:3" x14ac:dyDescent="0.3">
      <c r="A37" t="s">
        <v>256</v>
      </c>
      <c r="B37">
        <f>(Table12[[#This Row],[New_Followers]]-Table12[[#This Row],[Unfollows]])</f>
        <v>-318</v>
      </c>
      <c r="C37">
        <f t="shared" si="1"/>
        <v>816.87272727272727</v>
      </c>
    </row>
    <row r="38" spans="1:3" x14ac:dyDescent="0.3">
      <c r="A38" t="s">
        <v>482</v>
      </c>
      <c r="B38">
        <f>(Table12[[#This Row],[New_Followers]]-Table12[[#This Row],[Unfollows]])</f>
        <v>352</v>
      </c>
      <c r="C38">
        <f t="shared" si="1"/>
        <v>823.79268292682923</v>
      </c>
    </row>
    <row r="39" spans="1:3" x14ac:dyDescent="0.3">
      <c r="A39" t="s">
        <v>482</v>
      </c>
      <c r="B39">
        <f>(Table12[[#This Row],[New_Followers]]-Table12[[#This Row],[Unfollows]])</f>
        <v>328</v>
      </c>
      <c r="C39">
        <f t="shared" si="1"/>
        <v>826.68711656441712</v>
      </c>
    </row>
    <row r="40" spans="1:3" x14ac:dyDescent="0.3">
      <c r="A40" t="s">
        <v>482</v>
      </c>
      <c r="B40">
        <f>(Table12[[#This Row],[New_Followers]]-Table12[[#This Row],[Unfollows]])</f>
        <v>319</v>
      </c>
      <c r="C40">
        <f t="shared" si="1"/>
        <v>829.76543209876547</v>
      </c>
    </row>
    <row r="41" spans="1:3" x14ac:dyDescent="0.3">
      <c r="A41" t="s">
        <v>482</v>
      </c>
      <c r="B41">
        <f>(Table12[[#This Row],[New_Followers]]-Table12[[#This Row],[Unfollows]])</f>
        <v>-197</v>
      </c>
      <c r="C41">
        <f t="shared" si="1"/>
        <v>832.93788819875772</v>
      </c>
    </row>
    <row r="42" spans="1:3" x14ac:dyDescent="0.3">
      <c r="A42" t="s">
        <v>30</v>
      </c>
      <c r="B42">
        <f>(Table12[[#This Row],[New_Followers]]-Table12[[#This Row],[Unfollows]])</f>
        <v>1334</v>
      </c>
      <c r="C42">
        <f t="shared" si="1"/>
        <v>839.375</v>
      </c>
    </row>
    <row r="43" spans="1:3" x14ac:dyDescent="0.3">
      <c r="A43" t="s">
        <v>30</v>
      </c>
      <c r="B43">
        <f>(Table12[[#This Row],[New_Followers]]-Table12[[#This Row],[Unfollows]])</f>
        <v>1325</v>
      </c>
      <c r="C43">
        <f t="shared" si="1"/>
        <v>836.2641509433962</v>
      </c>
    </row>
    <row r="44" spans="1:3" x14ac:dyDescent="0.3">
      <c r="A44" t="s">
        <v>30</v>
      </c>
      <c r="B44">
        <f>(Table12[[#This Row],[New_Followers]]-Table12[[#This Row],[Unfollows]])</f>
        <v>1032</v>
      </c>
      <c r="C44">
        <f t="shared" si="1"/>
        <v>833.1708860759494</v>
      </c>
    </row>
    <row r="45" spans="1:3" x14ac:dyDescent="0.3">
      <c r="A45" t="s">
        <v>30</v>
      </c>
      <c r="B45">
        <f>(Table12[[#This Row],[New_Followers]]-Table12[[#This Row],[Unfollows]])</f>
        <v>37</v>
      </c>
      <c r="C45">
        <f t="shared" si="1"/>
        <v>831.90445859872614</v>
      </c>
    </row>
    <row r="46" spans="1:3" x14ac:dyDescent="0.3">
      <c r="A46" t="s">
        <v>76</v>
      </c>
      <c r="B46">
        <f>(Table12[[#This Row],[New_Followers]]-Table12[[#This Row],[Unfollows]])</f>
        <v>1665</v>
      </c>
      <c r="C46">
        <f t="shared" si="1"/>
        <v>837</v>
      </c>
    </row>
    <row r="47" spans="1:3" x14ac:dyDescent="0.3">
      <c r="A47" t="s">
        <v>76</v>
      </c>
      <c r="B47">
        <f>(Table12[[#This Row],[New_Followers]]-Table12[[#This Row],[Unfollows]])</f>
        <v>1058</v>
      </c>
      <c r="C47">
        <f t="shared" si="1"/>
        <v>831.658064516129</v>
      </c>
    </row>
    <row r="48" spans="1:3" x14ac:dyDescent="0.3">
      <c r="A48" t="s">
        <v>76</v>
      </c>
      <c r="B48">
        <f>(Table12[[#This Row],[New_Followers]]-Table12[[#This Row],[Unfollows]])</f>
        <v>190</v>
      </c>
      <c r="C48">
        <f t="shared" si="1"/>
        <v>830.18831168831173</v>
      </c>
    </row>
    <row r="49" spans="1:3" x14ac:dyDescent="0.3">
      <c r="A49" t="s">
        <v>76</v>
      </c>
      <c r="B49">
        <f>(Table12[[#This Row],[New_Followers]]-Table12[[#This Row],[Unfollows]])</f>
        <v>76</v>
      </c>
      <c r="C49">
        <f t="shared" si="1"/>
        <v>834.37254901960785</v>
      </c>
    </row>
    <row r="50" spans="1:3" x14ac:dyDescent="0.3">
      <c r="A50" t="s">
        <v>72</v>
      </c>
      <c r="B50">
        <f>(Table12[[#This Row],[New_Followers]]-Table12[[#This Row],[Unfollows]])</f>
        <v>1609</v>
      </c>
      <c r="C50">
        <f t="shared" si="1"/>
        <v>839.36184210526312</v>
      </c>
    </row>
    <row r="51" spans="1:3" x14ac:dyDescent="0.3">
      <c r="A51" t="s">
        <v>72</v>
      </c>
      <c r="B51">
        <f>(Table12[[#This Row],[New_Followers]]-Table12[[#This Row],[Unfollows]])</f>
        <v>1229</v>
      </c>
      <c r="C51">
        <f t="shared" si="1"/>
        <v>834.26490066225165</v>
      </c>
    </row>
    <row r="52" spans="1:3" x14ac:dyDescent="0.3">
      <c r="A52" t="s">
        <v>72</v>
      </c>
      <c r="B52">
        <f>(Table12[[#This Row],[New_Followers]]-Table12[[#This Row],[Unfollows]])</f>
        <v>37</v>
      </c>
      <c r="C52">
        <f t="shared" si="1"/>
        <v>831.63333333333333</v>
      </c>
    </row>
    <row r="53" spans="1:3" x14ac:dyDescent="0.3">
      <c r="A53" t="s">
        <v>72</v>
      </c>
      <c r="B53">
        <f>(Table12[[#This Row],[New_Followers]]-Table12[[#This Row],[Unfollows]])</f>
        <v>28</v>
      </c>
      <c r="C53">
        <f t="shared" si="1"/>
        <v>836.96644295302008</v>
      </c>
    </row>
    <row r="54" spans="1:3" x14ac:dyDescent="0.3">
      <c r="A54" t="s">
        <v>184</v>
      </c>
      <c r="B54">
        <f>(Table12[[#This Row],[New_Followers]]-Table12[[#This Row],[Unfollows]])</f>
        <v>1247</v>
      </c>
      <c r="C54">
        <f t="shared" si="1"/>
        <v>842.43243243243239</v>
      </c>
    </row>
    <row r="55" spans="1:3" x14ac:dyDescent="0.3">
      <c r="A55" t="s">
        <v>184</v>
      </c>
      <c r="B55">
        <f>(Table12[[#This Row],[New_Followers]]-Table12[[#This Row],[Unfollows]])</f>
        <v>1045</v>
      </c>
      <c r="C55">
        <f t="shared" si="1"/>
        <v>839.6802721088435</v>
      </c>
    </row>
    <row r="56" spans="1:3" x14ac:dyDescent="0.3">
      <c r="A56" t="s">
        <v>184</v>
      </c>
      <c r="B56">
        <f>(Table12[[#This Row],[New_Followers]]-Table12[[#This Row],[Unfollows]])</f>
        <v>333</v>
      </c>
      <c r="C56">
        <f t="shared" si="1"/>
        <v>838.27397260273972</v>
      </c>
    </row>
    <row r="57" spans="1:3" x14ac:dyDescent="0.3">
      <c r="A57" t="s">
        <v>184</v>
      </c>
      <c r="B57">
        <f>(Table12[[#This Row],[New_Followers]]-Table12[[#This Row],[Unfollows]])</f>
        <v>197</v>
      </c>
      <c r="C57">
        <f t="shared" si="1"/>
        <v>841.75862068965512</v>
      </c>
    </row>
    <row r="58" spans="1:3" x14ac:dyDescent="0.3">
      <c r="A58" t="s">
        <v>82</v>
      </c>
      <c r="B58">
        <f>(Table12[[#This Row],[New_Followers]]-Table12[[#This Row],[Unfollows]])</f>
        <v>1572</v>
      </c>
      <c r="C58">
        <f t="shared" si="1"/>
        <v>846.23611111111109</v>
      </c>
    </row>
    <row r="59" spans="1:3" x14ac:dyDescent="0.3">
      <c r="A59" t="s">
        <v>82</v>
      </c>
      <c r="B59">
        <f>(Table12[[#This Row],[New_Followers]]-Table12[[#This Row],[Unfollows]])</f>
        <v>1428</v>
      </c>
      <c r="C59">
        <f t="shared" si="1"/>
        <v>841.16083916083915</v>
      </c>
    </row>
    <row r="60" spans="1:3" x14ac:dyDescent="0.3">
      <c r="A60" t="s">
        <v>82</v>
      </c>
      <c r="B60">
        <f>(Table12[[#This Row],[New_Followers]]-Table12[[#This Row],[Unfollows]])</f>
        <v>1100</v>
      </c>
      <c r="C60">
        <f t="shared" si="1"/>
        <v>837.02816901408448</v>
      </c>
    </row>
    <row r="61" spans="1:3" x14ac:dyDescent="0.3">
      <c r="A61" t="s">
        <v>82</v>
      </c>
      <c r="B61">
        <f>(Table12[[#This Row],[New_Followers]]-Table12[[#This Row],[Unfollows]])</f>
        <v>260</v>
      </c>
      <c r="C61">
        <f t="shared" si="1"/>
        <v>835.16312056737593</v>
      </c>
    </row>
    <row r="62" spans="1:3" x14ac:dyDescent="0.3">
      <c r="A62" t="s">
        <v>555</v>
      </c>
      <c r="B62">
        <f>(Table12[[#This Row],[New_Followers]]-Table12[[#This Row],[Unfollows]])</f>
        <v>1125</v>
      </c>
      <c r="C62">
        <f t="shared" si="1"/>
        <v>839.2714285714286</v>
      </c>
    </row>
    <row r="63" spans="1:3" x14ac:dyDescent="0.3">
      <c r="A63" t="s">
        <v>555</v>
      </c>
      <c r="B63">
        <f>(Table12[[#This Row],[New_Followers]]-Table12[[#This Row],[Unfollows]])</f>
        <v>377</v>
      </c>
      <c r="C63">
        <f t="shared" si="1"/>
        <v>837.21582733812954</v>
      </c>
    </row>
    <row r="64" spans="1:3" x14ac:dyDescent="0.3">
      <c r="A64" t="s">
        <v>555</v>
      </c>
      <c r="B64">
        <f>(Table12[[#This Row],[New_Followers]]-Table12[[#This Row],[Unfollows]])</f>
        <v>98</v>
      </c>
      <c r="C64">
        <f t="shared" si="1"/>
        <v>840.55072463768113</v>
      </c>
    </row>
    <row r="65" spans="1:3" x14ac:dyDescent="0.3">
      <c r="A65" t="s">
        <v>555</v>
      </c>
      <c r="B65">
        <f>(Table12[[#This Row],[New_Followers]]-Table12[[#This Row],[Unfollows]])</f>
        <v>-32</v>
      </c>
      <c r="C65">
        <f t="shared" si="1"/>
        <v>845.97080291970804</v>
      </c>
    </row>
    <row r="66" spans="1:3" x14ac:dyDescent="0.3">
      <c r="A66" t="s">
        <v>556</v>
      </c>
      <c r="B66">
        <f>(Table12[[#This Row],[New_Followers]]-Table12[[#This Row],[Unfollows]])</f>
        <v>1680</v>
      </c>
      <c r="C66">
        <f t="shared" ref="C66:C97" si="2">AVERAGE(B66:B265)</f>
        <v>852.42647058823525</v>
      </c>
    </row>
    <row r="67" spans="1:3" x14ac:dyDescent="0.3">
      <c r="A67" t="s">
        <v>556</v>
      </c>
      <c r="B67">
        <f>(Table12[[#This Row],[New_Followers]]-Table12[[#This Row],[Unfollows]])</f>
        <v>1006</v>
      </c>
      <c r="C67">
        <f t="shared" si="2"/>
        <v>846.2962962962963</v>
      </c>
    </row>
    <row r="68" spans="1:3" x14ac:dyDescent="0.3">
      <c r="A68" t="s">
        <v>556</v>
      </c>
      <c r="B68">
        <f>(Table12[[#This Row],[New_Followers]]-Table12[[#This Row],[Unfollows]])</f>
        <v>666</v>
      </c>
      <c r="C68">
        <f t="shared" si="2"/>
        <v>845.1044776119403</v>
      </c>
    </row>
    <row r="69" spans="1:3" x14ac:dyDescent="0.3">
      <c r="A69" t="s">
        <v>556</v>
      </c>
      <c r="B69">
        <f>(Table12[[#This Row],[New_Followers]]-Table12[[#This Row],[Unfollows]])</f>
        <v>-19</v>
      </c>
      <c r="C69">
        <f t="shared" si="2"/>
        <v>846.4511278195489</v>
      </c>
    </row>
    <row r="70" spans="1:3" x14ac:dyDescent="0.3">
      <c r="A70" t="s">
        <v>557</v>
      </c>
      <c r="B70">
        <f>(Table12[[#This Row],[New_Followers]]-Table12[[#This Row],[Unfollows]])</f>
        <v>1706</v>
      </c>
      <c r="C70">
        <f t="shared" si="2"/>
        <v>853.00757575757575</v>
      </c>
    </row>
    <row r="71" spans="1:3" x14ac:dyDescent="0.3">
      <c r="A71" t="s">
        <v>557</v>
      </c>
      <c r="B71">
        <f>(Table12[[#This Row],[New_Followers]]-Table12[[#This Row],[Unfollows]])</f>
        <v>1025</v>
      </c>
      <c r="C71">
        <f t="shared" si="2"/>
        <v>846.49618320610682</v>
      </c>
    </row>
    <row r="72" spans="1:3" x14ac:dyDescent="0.3">
      <c r="A72" t="s">
        <v>557</v>
      </c>
      <c r="B72">
        <f>(Table12[[#This Row],[New_Followers]]-Table12[[#This Row],[Unfollows]])</f>
        <v>599</v>
      </c>
      <c r="C72">
        <f t="shared" si="2"/>
        <v>845.12307692307695</v>
      </c>
    </row>
    <row r="73" spans="1:3" x14ac:dyDescent="0.3">
      <c r="A73" t="s">
        <v>557</v>
      </c>
      <c r="B73">
        <f>(Table12[[#This Row],[New_Followers]]-Table12[[#This Row],[Unfollows]])</f>
        <v>-179</v>
      </c>
      <c r="C73">
        <f t="shared" si="2"/>
        <v>847.03100775193798</v>
      </c>
    </row>
    <row r="74" spans="1:3" x14ac:dyDescent="0.3">
      <c r="A74" t="s">
        <v>558</v>
      </c>
      <c r="B74">
        <f>(Table12[[#This Row],[New_Followers]]-Table12[[#This Row],[Unfollows]])</f>
        <v>1872</v>
      </c>
      <c r="C74">
        <f t="shared" si="2"/>
        <v>855.046875</v>
      </c>
    </row>
    <row r="75" spans="1:3" x14ac:dyDescent="0.3">
      <c r="A75" t="s">
        <v>558</v>
      </c>
      <c r="B75">
        <f>(Table12[[#This Row],[New_Followers]]-Table12[[#This Row],[Unfollows]])</f>
        <v>1662</v>
      </c>
      <c r="C75">
        <f t="shared" si="2"/>
        <v>847.03937007874015</v>
      </c>
    </row>
    <row r="76" spans="1:3" x14ac:dyDescent="0.3">
      <c r="A76" t="s">
        <v>558</v>
      </c>
      <c r="B76">
        <f>(Table12[[#This Row],[New_Followers]]-Table12[[#This Row],[Unfollows]])</f>
        <v>118</v>
      </c>
      <c r="C76">
        <f t="shared" si="2"/>
        <v>840.57142857142856</v>
      </c>
    </row>
    <row r="77" spans="1:3" x14ac:dyDescent="0.3">
      <c r="A77" t="s">
        <v>558</v>
      </c>
      <c r="B77">
        <f>(Table12[[#This Row],[New_Followers]]-Table12[[#This Row],[Unfollows]])</f>
        <v>107</v>
      </c>
      <c r="C77">
        <f t="shared" si="2"/>
        <v>846.35199999999998</v>
      </c>
    </row>
    <row r="78" spans="1:3" x14ac:dyDescent="0.3">
      <c r="A78" t="s">
        <v>559</v>
      </c>
      <c r="B78">
        <f>(Table12[[#This Row],[New_Followers]]-Table12[[#This Row],[Unfollows]])</f>
        <v>1224</v>
      </c>
      <c r="C78">
        <f t="shared" si="2"/>
        <v>852.31451612903231</v>
      </c>
    </row>
    <row r="79" spans="1:3" x14ac:dyDescent="0.3">
      <c r="A79" t="s">
        <v>559</v>
      </c>
      <c r="B79">
        <f>(Table12[[#This Row],[New_Followers]]-Table12[[#This Row],[Unfollows]])</f>
        <v>367</v>
      </c>
      <c r="C79">
        <f t="shared" si="2"/>
        <v>849.29268292682923</v>
      </c>
    </row>
    <row r="80" spans="1:3" x14ac:dyDescent="0.3">
      <c r="A80" t="s">
        <v>559</v>
      </c>
      <c r="B80">
        <f>(Table12[[#This Row],[New_Followers]]-Table12[[#This Row],[Unfollows]])</f>
        <v>285</v>
      </c>
      <c r="C80">
        <f t="shared" si="2"/>
        <v>853.24590163934431</v>
      </c>
    </row>
    <row r="81" spans="1:3" x14ac:dyDescent="0.3">
      <c r="A81" t="s">
        <v>559</v>
      </c>
      <c r="B81">
        <f>(Table12[[#This Row],[New_Followers]]-Table12[[#This Row],[Unfollows]])</f>
        <v>-20</v>
      </c>
      <c r="C81">
        <f t="shared" si="2"/>
        <v>857.94214876033061</v>
      </c>
    </row>
    <row r="82" spans="1:3" x14ac:dyDescent="0.3">
      <c r="A82" t="s">
        <v>158</v>
      </c>
      <c r="B82">
        <f>(Table12[[#This Row],[New_Followers]]-Table12[[#This Row],[Unfollows]])</f>
        <v>1484</v>
      </c>
      <c r="C82">
        <f t="shared" si="2"/>
        <v>865.25833333333333</v>
      </c>
    </row>
    <row r="83" spans="1:3" x14ac:dyDescent="0.3">
      <c r="A83" t="s">
        <v>158</v>
      </c>
      <c r="B83">
        <f>(Table12[[#This Row],[New_Followers]]-Table12[[#This Row],[Unfollows]])</f>
        <v>636</v>
      </c>
      <c r="C83">
        <f t="shared" si="2"/>
        <v>860.05882352941171</v>
      </c>
    </row>
    <row r="84" spans="1:3" x14ac:dyDescent="0.3">
      <c r="A84" t="s">
        <v>158</v>
      </c>
      <c r="B84">
        <f>(Table12[[#This Row],[New_Followers]]-Table12[[#This Row],[Unfollows]])</f>
        <v>439</v>
      </c>
      <c r="C84">
        <f t="shared" si="2"/>
        <v>861.95762711864404</v>
      </c>
    </row>
    <row r="85" spans="1:3" x14ac:dyDescent="0.3">
      <c r="A85" t="s">
        <v>158</v>
      </c>
      <c r="B85">
        <f>(Table12[[#This Row],[New_Followers]]-Table12[[#This Row],[Unfollows]])</f>
        <v>262</v>
      </c>
      <c r="C85">
        <f t="shared" si="2"/>
        <v>865.57264957264954</v>
      </c>
    </row>
    <row r="86" spans="1:3" x14ac:dyDescent="0.3">
      <c r="A86" t="s">
        <v>190</v>
      </c>
      <c r="B86">
        <f>(Table12[[#This Row],[New_Followers]]-Table12[[#This Row],[Unfollows]])</f>
        <v>1657</v>
      </c>
      <c r="C86">
        <f t="shared" si="2"/>
        <v>870.77586206896547</v>
      </c>
    </row>
    <row r="87" spans="1:3" x14ac:dyDescent="0.3">
      <c r="A87" t="s">
        <v>190</v>
      </c>
      <c r="B87">
        <f>(Table12[[#This Row],[New_Followers]]-Table12[[#This Row],[Unfollows]])</f>
        <v>576</v>
      </c>
      <c r="C87">
        <f t="shared" si="2"/>
        <v>863.93913043478256</v>
      </c>
    </row>
    <row r="88" spans="1:3" x14ac:dyDescent="0.3">
      <c r="A88" t="s">
        <v>190</v>
      </c>
      <c r="B88">
        <f>(Table12[[#This Row],[New_Followers]]-Table12[[#This Row],[Unfollows]])</f>
        <v>386</v>
      </c>
      <c r="C88">
        <f t="shared" si="2"/>
        <v>866.46491228070181</v>
      </c>
    </row>
    <row r="89" spans="1:3" x14ac:dyDescent="0.3">
      <c r="A89" t="s">
        <v>190</v>
      </c>
      <c r="B89">
        <f>(Table12[[#This Row],[New_Followers]]-Table12[[#This Row],[Unfollows]])</f>
        <v>37</v>
      </c>
      <c r="C89">
        <f t="shared" si="2"/>
        <v>870.71681415929208</v>
      </c>
    </row>
    <row r="90" spans="1:3" x14ac:dyDescent="0.3">
      <c r="A90" t="s">
        <v>270</v>
      </c>
      <c r="B90">
        <f>(Table12[[#This Row],[New_Followers]]-Table12[[#This Row],[Unfollows]])</f>
        <v>1603</v>
      </c>
      <c r="C90">
        <f t="shared" si="2"/>
        <v>878.16071428571433</v>
      </c>
    </row>
    <row r="91" spans="1:3" x14ac:dyDescent="0.3">
      <c r="A91" t="s">
        <v>270</v>
      </c>
      <c r="B91">
        <f>(Table12[[#This Row],[New_Followers]]-Table12[[#This Row],[Unfollows]])</f>
        <v>1397</v>
      </c>
      <c r="C91">
        <f t="shared" si="2"/>
        <v>871.63063063063066</v>
      </c>
    </row>
    <row r="92" spans="1:3" x14ac:dyDescent="0.3">
      <c r="A92" t="s">
        <v>270</v>
      </c>
      <c r="B92">
        <f>(Table12[[#This Row],[New_Followers]]-Table12[[#This Row],[Unfollows]])</f>
        <v>1044</v>
      </c>
      <c r="C92">
        <f t="shared" si="2"/>
        <v>866.85454545454547</v>
      </c>
    </row>
    <row r="93" spans="1:3" x14ac:dyDescent="0.3">
      <c r="A93" t="s">
        <v>270</v>
      </c>
      <c r="B93">
        <f>(Table12[[#This Row],[New_Followers]]-Table12[[#This Row],[Unfollows]])</f>
        <v>540</v>
      </c>
      <c r="C93">
        <f t="shared" si="2"/>
        <v>865.2293577981651</v>
      </c>
    </row>
    <row r="94" spans="1:3" x14ac:dyDescent="0.3">
      <c r="A94" t="s">
        <v>560</v>
      </c>
      <c r="B94">
        <f>(Table12[[#This Row],[New_Followers]]-Table12[[#This Row],[Unfollows]])</f>
        <v>1150</v>
      </c>
      <c r="C94">
        <f t="shared" si="2"/>
        <v>868.24074074074076</v>
      </c>
    </row>
    <row r="95" spans="1:3" x14ac:dyDescent="0.3">
      <c r="A95" t="s">
        <v>560</v>
      </c>
      <c r="B95">
        <f>(Table12[[#This Row],[New_Followers]]-Table12[[#This Row],[Unfollows]])</f>
        <v>902</v>
      </c>
      <c r="C95">
        <f t="shared" si="2"/>
        <v>865.60747663551399</v>
      </c>
    </row>
    <row r="96" spans="1:3" x14ac:dyDescent="0.3">
      <c r="A96" t="s">
        <v>560</v>
      </c>
      <c r="B96">
        <f>(Table12[[#This Row],[New_Followers]]-Table12[[#This Row],[Unfollows]])</f>
        <v>349</v>
      </c>
      <c r="C96">
        <f t="shared" si="2"/>
        <v>865.2641509433962</v>
      </c>
    </row>
    <row r="97" spans="1:3" x14ac:dyDescent="0.3">
      <c r="A97" t="s">
        <v>560</v>
      </c>
      <c r="B97">
        <f>(Table12[[#This Row],[New_Followers]]-Table12[[#This Row],[Unfollows]])</f>
        <v>-106</v>
      </c>
      <c r="C97">
        <f t="shared" si="2"/>
        <v>870.18095238095236</v>
      </c>
    </row>
    <row r="98" spans="1:3" x14ac:dyDescent="0.3">
      <c r="A98" t="s">
        <v>62</v>
      </c>
      <c r="B98">
        <f>(Table12[[#This Row],[New_Followers]]-Table12[[#This Row],[Unfollows]])</f>
        <v>445</v>
      </c>
      <c r="C98">
        <f t="shared" ref="C98:C129" si="3">AVERAGE(B98:B297)</f>
        <v>879.56730769230774</v>
      </c>
    </row>
    <row r="99" spans="1:3" x14ac:dyDescent="0.3">
      <c r="A99" t="s">
        <v>62</v>
      </c>
      <c r="B99">
        <f>(Table12[[#This Row],[New_Followers]]-Table12[[#This Row],[Unfollows]])</f>
        <v>72</v>
      </c>
      <c r="C99">
        <f t="shared" si="3"/>
        <v>883.78640776699024</v>
      </c>
    </row>
    <row r="100" spans="1:3" x14ac:dyDescent="0.3">
      <c r="A100" t="s">
        <v>62</v>
      </c>
      <c r="B100">
        <f>(Table12[[#This Row],[New_Followers]]-Table12[[#This Row],[Unfollows]])</f>
        <v>60</v>
      </c>
      <c r="C100">
        <f t="shared" si="3"/>
        <v>891.74509803921569</v>
      </c>
    </row>
    <row r="101" spans="1:3" x14ac:dyDescent="0.3">
      <c r="A101" t="s">
        <v>62</v>
      </c>
      <c r="B101">
        <f>(Table12[[#This Row],[New_Followers]]-Table12[[#This Row],[Unfollows]])</f>
        <v>-49</v>
      </c>
      <c r="C101">
        <f t="shared" si="3"/>
        <v>899.98019801980195</v>
      </c>
    </row>
    <row r="102" spans="1:3" x14ac:dyDescent="0.3">
      <c r="A102" t="s">
        <v>123</v>
      </c>
      <c r="B102">
        <f>(Table12[[#This Row],[New_Followers]]-Table12[[#This Row],[Unfollows]])</f>
        <v>1693</v>
      </c>
      <c r="C102">
        <f t="shared" si="3"/>
        <v>909.47</v>
      </c>
    </row>
    <row r="103" spans="1:3" x14ac:dyDescent="0.3">
      <c r="A103" t="s">
        <v>123</v>
      </c>
      <c r="B103">
        <f>(Table12[[#This Row],[New_Followers]]-Table12[[#This Row],[Unfollows]])</f>
        <v>1332</v>
      </c>
      <c r="C103">
        <f t="shared" si="3"/>
        <v>901.55555555555554</v>
      </c>
    </row>
    <row r="104" spans="1:3" x14ac:dyDescent="0.3">
      <c r="A104" t="s">
        <v>123</v>
      </c>
      <c r="B104">
        <f>(Table12[[#This Row],[New_Followers]]-Table12[[#This Row],[Unfollows]])</f>
        <v>885</v>
      </c>
      <c r="C104">
        <f t="shared" si="3"/>
        <v>897.16326530612241</v>
      </c>
    </row>
    <row r="105" spans="1:3" x14ac:dyDescent="0.3">
      <c r="A105" t="s">
        <v>123</v>
      </c>
      <c r="B105">
        <f>(Table12[[#This Row],[New_Followers]]-Table12[[#This Row],[Unfollows]])</f>
        <v>98</v>
      </c>
      <c r="C105">
        <f t="shared" si="3"/>
        <v>897.28865979381442</v>
      </c>
    </row>
    <row r="106" spans="1:3" x14ac:dyDescent="0.3">
      <c r="A106" t="s">
        <v>561</v>
      </c>
      <c r="B106">
        <f>(Table12[[#This Row],[New_Followers]]-Table12[[#This Row],[Unfollows]])</f>
        <v>1706</v>
      </c>
      <c r="C106">
        <f t="shared" si="3"/>
        <v>905.61458333333337</v>
      </c>
    </row>
    <row r="107" spans="1:3" x14ac:dyDescent="0.3">
      <c r="A107" t="s">
        <v>561</v>
      </c>
      <c r="B107">
        <f>(Table12[[#This Row],[New_Followers]]-Table12[[#This Row],[Unfollows]])</f>
        <v>1625</v>
      </c>
      <c r="C107">
        <f t="shared" si="3"/>
        <v>897.1894736842105</v>
      </c>
    </row>
    <row r="108" spans="1:3" x14ac:dyDescent="0.3">
      <c r="A108" t="s">
        <v>561</v>
      </c>
      <c r="B108">
        <f>(Table12[[#This Row],[New_Followers]]-Table12[[#This Row],[Unfollows]])</f>
        <v>1173</v>
      </c>
      <c r="C108">
        <f t="shared" si="3"/>
        <v>889.44680851063833</v>
      </c>
    </row>
    <row r="109" spans="1:3" x14ac:dyDescent="0.3">
      <c r="A109" t="s">
        <v>561</v>
      </c>
      <c r="B109">
        <f>(Table12[[#This Row],[New_Followers]]-Table12[[#This Row],[Unfollows]])</f>
        <v>291</v>
      </c>
      <c r="C109">
        <f t="shared" si="3"/>
        <v>886.39784946236557</v>
      </c>
    </row>
    <row r="110" spans="1:3" x14ac:dyDescent="0.3">
      <c r="A110" t="s">
        <v>209</v>
      </c>
      <c r="B110">
        <f>(Table12[[#This Row],[New_Followers]]-Table12[[#This Row],[Unfollows]])</f>
        <v>1727</v>
      </c>
      <c r="C110">
        <f t="shared" si="3"/>
        <v>892.86956521739125</v>
      </c>
    </row>
    <row r="111" spans="1:3" x14ac:dyDescent="0.3">
      <c r="A111" t="s">
        <v>209</v>
      </c>
      <c r="B111">
        <f>(Table12[[#This Row],[New_Followers]]-Table12[[#This Row],[Unfollows]])</f>
        <v>1373</v>
      </c>
      <c r="C111">
        <f t="shared" si="3"/>
        <v>883.7032967032967</v>
      </c>
    </row>
    <row r="112" spans="1:3" x14ac:dyDescent="0.3">
      <c r="A112" t="s">
        <v>209</v>
      </c>
      <c r="B112">
        <f>(Table12[[#This Row],[New_Followers]]-Table12[[#This Row],[Unfollows]])</f>
        <v>1119</v>
      </c>
      <c r="C112">
        <f t="shared" si="3"/>
        <v>878.26666666666665</v>
      </c>
    </row>
    <row r="113" spans="1:3" x14ac:dyDescent="0.3">
      <c r="A113" t="s">
        <v>209</v>
      </c>
      <c r="B113">
        <f>(Table12[[#This Row],[New_Followers]]-Table12[[#This Row],[Unfollows]])</f>
        <v>573</v>
      </c>
      <c r="C113">
        <f t="shared" si="3"/>
        <v>875.56179775280896</v>
      </c>
    </row>
    <row r="114" spans="1:3" x14ac:dyDescent="0.3">
      <c r="A114" t="s">
        <v>106</v>
      </c>
      <c r="B114">
        <f>(Table12[[#This Row],[New_Followers]]-Table12[[#This Row],[Unfollows]])</f>
        <v>1432</v>
      </c>
      <c r="C114">
        <f t="shared" si="3"/>
        <v>879</v>
      </c>
    </row>
    <row r="115" spans="1:3" x14ac:dyDescent="0.3">
      <c r="A115" t="s">
        <v>106</v>
      </c>
      <c r="B115">
        <f>(Table12[[#This Row],[New_Followers]]-Table12[[#This Row],[Unfollows]])</f>
        <v>1377</v>
      </c>
      <c r="C115">
        <f t="shared" si="3"/>
        <v>872.64367816091954</v>
      </c>
    </row>
    <row r="116" spans="1:3" x14ac:dyDescent="0.3">
      <c r="A116" t="s">
        <v>106</v>
      </c>
      <c r="B116">
        <f>(Table12[[#This Row],[New_Followers]]-Table12[[#This Row],[Unfollows]])</f>
        <v>1359</v>
      </c>
      <c r="C116">
        <f t="shared" si="3"/>
        <v>866.77906976744191</v>
      </c>
    </row>
    <row r="117" spans="1:3" x14ac:dyDescent="0.3">
      <c r="A117" t="s">
        <v>106</v>
      </c>
      <c r="B117">
        <f>(Table12[[#This Row],[New_Followers]]-Table12[[#This Row],[Unfollows]])</f>
        <v>876</v>
      </c>
      <c r="C117">
        <f t="shared" si="3"/>
        <v>860.98823529411766</v>
      </c>
    </row>
    <row r="118" spans="1:3" x14ac:dyDescent="0.3">
      <c r="A118" t="s">
        <v>15</v>
      </c>
      <c r="B118">
        <f>(Table12[[#This Row],[New_Followers]]-Table12[[#This Row],[Unfollows]])</f>
        <v>1589</v>
      </c>
      <c r="C118">
        <f t="shared" si="3"/>
        <v>860.80952380952385</v>
      </c>
    </row>
    <row r="119" spans="1:3" x14ac:dyDescent="0.3">
      <c r="A119" t="s">
        <v>15</v>
      </c>
      <c r="B119">
        <f>(Table12[[#This Row],[New_Followers]]-Table12[[#This Row],[Unfollows]])</f>
        <v>911</v>
      </c>
      <c r="C119">
        <f t="shared" si="3"/>
        <v>852.03614457831327</v>
      </c>
    </row>
    <row r="120" spans="1:3" x14ac:dyDescent="0.3">
      <c r="A120" t="s">
        <v>15</v>
      </c>
      <c r="B120">
        <f>(Table12[[#This Row],[New_Followers]]-Table12[[#This Row],[Unfollows]])</f>
        <v>730</v>
      </c>
      <c r="C120">
        <f t="shared" si="3"/>
        <v>851.31707317073176</v>
      </c>
    </row>
    <row r="121" spans="1:3" x14ac:dyDescent="0.3">
      <c r="A121" t="s">
        <v>15</v>
      </c>
      <c r="B121">
        <f>(Table12[[#This Row],[New_Followers]]-Table12[[#This Row],[Unfollows]])</f>
        <v>684</v>
      </c>
      <c r="C121">
        <f t="shared" si="3"/>
        <v>852.81481481481478</v>
      </c>
    </row>
    <row r="122" spans="1:3" x14ac:dyDescent="0.3">
      <c r="A122" t="s">
        <v>562</v>
      </c>
      <c r="B122">
        <f>(Table12[[#This Row],[New_Followers]]-Table12[[#This Row],[Unfollows]])</f>
        <v>1776</v>
      </c>
      <c r="C122">
        <f t="shared" si="3"/>
        <v>854.92499999999995</v>
      </c>
    </row>
    <row r="123" spans="1:3" x14ac:dyDescent="0.3">
      <c r="A123" t="s">
        <v>562</v>
      </c>
      <c r="B123">
        <f>(Table12[[#This Row],[New_Followers]]-Table12[[#This Row],[Unfollows]])</f>
        <v>1765</v>
      </c>
      <c r="C123">
        <f t="shared" si="3"/>
        <v>843.2658227848101</v>
      </c>
    </row>
    <row r="124" spans="1:3" x14ac:dyDescent="0.3">
      <c r="A124" t="s">
        <v>562</v>
      </c>
      <c r="B124">
        <f>(Table12[[#This Row],[New_Followers]]-Table12[[#This Row],[Unfollows]])</f>
        <v>1529</v>
      </c>
      <c r="C124">
        <f t="shared" si="3"/>
        <v>831.4487179487179</v>
      </c>
    </row>
    <row r="125" spans="1:3" x14ac:dyDescent="0.3">
      <c r="A125" t="s">
        <v>562</v>
      </c>
      <c r="B125">
        <f>(Table12[[#This Row],[New_Followers]]-Table12[[#This Row],[Unfollows]])</f>
        <v>1460</v>
      </c>
      <c r="C125">
        <f t="shared" si="3"/>
        <v>822.38961038961043</v>
      </c>
    </row>
    <row r="126" spans="1:3" x14ac:dyDescent="0.3">
      <c r="A126" t="s">
        <v>119</v>
      </c>
      <c r="B126">
        <f>(Table12[[#This Row],[New_Followers]]-Table12[[#This Row],[Unfollows]])</f>
        <v>1188</v>
      </c>
      <c r="C126">
        <f t="shared" si="3"/>
        <v>814</v>
      </c>
    </row>
    <row r="127" spans="1:3" x14ac:dyDescent="0.3">
      <c r="A127" t="s">
        <v>119</v>
      </c>
      <c r="B127">
        <f>(Table12[[#This Row],[New_Followers]]-Table12[[#This Row],[Unfollows]])</f>
        <v>903</v>
      </c>
      <c r="C127">
        <f t="shared" si="3"/>
        <v>809.01333333333332</v>
      </c>
    </row>
    <row r="128" spans="1:3" x14ac:dyDescent="0.3">
      <c r="A128" t="s">
        <v>119</v>
      </c>
      <c r="B128">
        <f>(Table12[[#This Row],[New_Followers]]-Table12[[#This Row],[Unfollows]])</f>
        <v>846</v>
      </c>
      <c r="C128">
        <f t="shared" si="3"/>
        <v>807.74324324324323</v>
      </c>
    </row>
    <row r="129" spans="1:3" x14ac:dyDescent="0.3">
      <c r="A129" t="s">
        <v>119</v>
      </c>
      <c r="B129">
        <f>(Table12[[#This Row],[New_Followers]]-Table12[[#This Row],[Unfollows]])</f>
        <v>620</v>
      </c>
      <c r="C129">
        <f t="shared" si="3"/>
        <v>807.21917808219177</v>
      </c>
    </row>
    <row r="130" spans="1:3" x14ac:dyDescent="0.3">
      <c r="A130" t="s">
        <v>563</v>
      </c>
      <c r="B130">
        <f>(Table12[[#This Row],[New_Followers]]-Table12[[#This Row],[Unfollows]])</f>
        <v>1722</v>
      </c>
      <c r="C130">
        <f t="shared" ref="C130:C161" si="4">AVERAGE(B130:B329)</f>
        <v>809.81944444444446</v>
      </c>
    </row>
    <row r="131" spans="1:3" x14ac:dyDescent="0.3">
      <c r="A131" t="s">
        <v>563</v>
      </c>
      <c r="B131">
        <f>(Table12[[#This Row],[New_Followers]]-Table12[[#This Row],[Unfollows]])</f>
        <v>901</v>
      </c>
      <c r="C131">
        <f t="shared" si="4"/>
        <v>796.97183098591552</v>
      </c>
    </row>
    <row r="132" spans="1:3" x14ac:dyDescent="0.3">
      <c r="A132" t="s">
        <v>563</v>
      </c>
      <c r="B132">
        <f>(Table12[[#This Row],[New_Followers]]-Table12[[#This Row],[Unfollows]])</f>
        <v>298</v>
      </c>
      <c r="C132">
        <f t="shared" si="4"/>
        <v>795.48571428571427</v>
      </c>
    </row>
    <row r="133" spans="1:3" x14ac:dyDescent="0.3">
      <c r="A133" t="s">
        <v>563</v>
      </c>
      <c r="B133">
        <f>(Table12[[#This Row],[New_Followers]]-Table12[[#This Row],[Unfollows]])</f>
        <v>-144</v>
      </c>
      <c r="C133">
        <f t="shared" si="4"/>
        <v>802.695652173913</v>
      </c>
    </row>
    <row r="134" spans="1:3" x14ac:dyDescent="0.3">
      <c r="A134" t="s">
        <v>564</v>
      </c>
      <c r="B134">
        <f>(Table12[[#This Row],[New_Followers]]-Table12[[#This Row],[Unfollows]])</f>
        <v>1572</v>
      </c>
      <c r="C134">
        <f t="shared" si="4"/>
        <v>816.61764705882354</v>
      </c>
    </row>
    <row r="135" spans="1:3" x14ac:dyDescent="0.3">
      <c r="A135" t="s">
        <v>564</v>
      </c>
      <c r="B135">
        <f>(Table12[[#This Row],[New_Followers]]-Table12[[#This Row],[Unfollows]])</f>
        <v>891</v>
      </c>
      <c r="C135">
        <f t="shared" si="4"/>
        <v>805.3432835820895</v>
      </c>
    </row>
    <row r="136" spans="1:3" x14ac:dyDescent="0.3">
      <c r="A136" t="s">
        <v>564</v>
      </c>
      <c r="B136">
        <f>(Table12[[#This Row],[New_Followers]]-Table12[[#This Row],[Unfollows]])</f>
        <v>724</v>
      </c>
      <c r="C136">
        <f t="shared" si="4"/>
        <v>804.0454545454545</v>
      </c>
    </row>
    <row r="137" spans="1:3" x14ac:dyDescent="0.3">
      <c r="A137" t="s">
        <v>564</v>
      </c>
      <c r="B137">
        <f>(Table12[[#This Row],[New_Followers]]-Table12[[#This Row],[Unfollows]])</f>
        <v>427</v>
      </c>
      <c r="C137">
        <f t="shared" si="4"/>
        <v>805.27692307692303</v>
      </c>
    </row>
    <row r="138" spans="1:3" x14ac:dyDescent="0.3">
      <c r="A138" t="s">
        <v>212</v>
      </c>
      <c r="B138">
        <f>(Table12[[#This Row],[New_Followers]]-Table12[[#This Row],[Unfollows]])</f>
        <v>1426</v>
      </c>
      <c r="C138">
        <f t="shared" si="4"/>
        <v>811.1875</v>
      </c>
    </row>
    <row r="139" spans="1:3" x14ac:dyDescent="0.3">
      <c r="A139" t="s">
        <v>212</v>
      </c>
      <c r="B139">
        <f>(Table12[[#This Row],[New_Followers]]-Table12[[#This Row],[Unfollows]])</f>
        <v>1225</v>
      </c>
      <c r="C139">
        <f t="shared" si="4"/>
        <v>801.42857142857144</v>
      </c>
    </row>
    <row r="140" spans="1:3" x14ac:dyDescent="0.3">
      <c r="A140" t="s">
        <v>212</v>
      </c>
      <c r="B140">
        <f>(Table12[[#This Row],[New_Followers]]-Table12[[#This Row],[Unfollows]])</f>
        <v>898</v>
      </c>
      <c r="C140">
        <f t="shared" si="4"/>
        <v>794.59677419354841</v>
      </c>
    </row>
    <row r="141" spans="1:3" x14ac:dyDescent="0.3">
      <c r="A141" t="s">
        <v>212</v>
      </c>
      <c r="B141">
        <f>(Table12[[#This Row],[New_Followers]]-Table12[[#This Row],[Unfollows]])</f>
        <v>-166</v>
      </c>
      <c r="C141">
        <f t="shared" si="4"/>
        <v>792.90163934426232</v>
      </c>
    </row>
    <row r="142" spans="1:3" x14ac:dyDescent="0.3">
      <c r="A142" t="s">
        <v>565</v>
      </c>
      <c r="B142">
        <f>(Table12[[#This Row],[New_Followers]]-Table12[[#This Row],[Unfollows]])</f>
        <v>1080</v>
      </c>
      <c r="C142">
        <f t="shared" si="4"/>
        <v>808.88333333333333</v>
      </c>
    </row>
    <row r="143" spans="1:3" x14ac:dyDescent="0.3">
      <c r="A143" t="s">
        <v>565</v>
      </c>
      <c r="B143">
        <f>(Table12[[#This Row],[New_Followers]]-Table12[[#This Row],[Unfollows]])</f>
        <v>748</v>
      </c>
      <c r="C143">
        <f t="shared" si="4"/>
        <v>804.28813559322032</v>
      </c>
    </row>
    <row r="144" spans="1:3" x14ac:dyDescent="0.3">
      <c r="A144" t="s">
        <v>565</v>
      </c>
      <c r="B144">
        <f>(Table12[[#This Row],[New_Followers]]-Table12[[#This Row],[Unfollows]])</f>
        <v>569</v>
      </c>
      <c r="C144">
        <f t="shared" si="4"/>
        <v>805.25862068965512</v>
      </c>
    </row>
    <row r="145" spans="1:3" x14ac:dyDescent="0.3">
      <c r="A145" t="s">
        <v>565</v>
      </c>
      <c r="B145">
        <f>(Table12[[#This Row],[New_Followers]]-Table12[[#This Row],[Unfollows]])</f>
        <v>-203</v>
      </c>
      <c r="C145">
        <f t="shared" si="4"/>
        <v>809.40350877192986</v>
      </c>
    </row>
    <row r="146" spans="1:3" x14ac:dyDescent="0.3">
      <c r="A146" t="s">
        <v>237</v>
      </c>
      <c r="B146">
        <f>(Table12[[#This Row],[New_Followers]]-Table12[[#This Row],[Unfollows]])</f>
        <v>1723</v>
      </c>
      <c r="C146">
        <f t="shared" si="4"/>
        <v>827.48214285714289</v>
      </c>
    </row>
    <row r="147" spans="1:3" x14ac:dyDescent="0.3">
      <c r="A147" t="s">
        <v>237</v>
      </c>
      <c r="B147">
        <f>(Table12[[#This Row],[New_Followers]]-Table12[[#This Row],[Unfollows]])</f>
        <v>1444</v>
      </c>
      <c r="C147">
        <f t="shared" si="4"/>
        <v>811.2</v>
      </c>
    </row>
    <row r="148" spans="1:3" x14ac:dyDescent="0.3">
      <c r="A148" t="s">
        <v>237</v>
      </c>
      <c r="B148">
        <f>(Table12[[#This Row],[New_Followers]]-Table12[[#This Row],[Unfollows]])</f>
        <v>1202</v>
      </c>
      <c r="C148">
        <f t="shared" si="4"/>
        <v>799.48148148148152</v>
      </c>
    </row>
    <row r="149" spans="1:3" x14ac:dyDescent="0.3">
      <c r="A149" t="s">
        <v>237</v>
      </c>
      <c r="B149">
        <f>(Table12[[#This Row],[New_Followers]]-Table12[[#This Row],[Unfollows]])</f>
        <v>912</v>
      </c>
      <c r="C149">
        <f t="shared" si="4"/>
        <v>791.88679245283015</v>
      </c>
    </row>
    <row r="150" spans="1:3" x14ac:dyDescent="0.3">
      <c r="A150" t="s">
        <v>121</v>
      </c>
      <c r="B150">
        <f>(Table12[[#This Row],[New_Followers]]-Table12[[#This Row],[Unfollows]])</f>
        <v>1590</v>
      </c>
      <c r="C150">
        <f t="shared" si="4"/>
        <v>789.57692307692309</v>
      </c>
    </row>
    <row r="151" spans="1:3" x14ac:dyDescent="0.3">
      <c r="A151" t="s">
        <v>121</v>
      </c>
      <c r="B151">
        <f>(Table12[[#This Row],[New_Followers]]-Table12[[#This Row],[Unfollows]])</f>
        <v>1175</v>
      </c>
      <c r="C151">
        <f t="shared" si="4"/>
        <v>773.88235294117646</v>
      </c>
    </row>
    <row r="152" spans="1:3" x14ac:dyDescent="0.3">
      <c r="A152" t="s">
        <v>121</v>
      </c>
      <c r="B152">
        <f>(Table12[[#This Row],[New_Followers]]-Table12[[#This Row],[Unfollows]])</f>
        <v>965</v>
      </c>
      <c r="C152">
        <f t="shared" si="4"/>
        <v>765.86</v>
      </c>
    </row>
    <row r="153" spans="1:3" x14ac:dyDescent="0.3">
      <c r="A153" t="s">
        <v>121</v>
      </c>
      <c r="B153">
        <f>(Table12[[#This Row],[New_Followers]]-Table12[[#This Row],[Unfollows]])</f>
        <v>-37</v>
      </c>
      <c r="C153">
        <f t="shared" si="4"/>
        <v>761.79591836734699</v>
      </c>
    </row>
    <row r="154" spans="1:3" x14ac:dyDescent="0.3">
      <c r="A154" t="s">
        <v>139</v>
      </c>
      <c r="B154">
        <f>(Table12[[#This Row],[New_Followers]]-Table12[[#This Row],[Unfollows]])</f>
        <v>1707</v>
      </c>
      <c r="C154">
        <f t="shared" si="4"/>
        <v>778.4375</v>
      </c>
    </row>
    <row r="155" spans="1:3" x14ac:dyDescent="0.3">
      <c r="A155" t="s">
        <v>139</v>
      </c>
      <c r="B155">
        <f>(Table12[[#This Row],[New_Followers]]-Table12[[#This Row],[Unfollows]])</f>
        <v>1375</v>
      </c>
      <c r="C155">
        <f t="shared" si="4"/>
        <v>758.68085106382978</v>
      </c>
    </row>
    <row r="156" spans="1:3" x14ac:dyDescent="0.3">
      <c r="A156" t="s">
        <v>139</v>
      </c>
      <c r="B156">
        <f>(Table12[[#This Row],[New_Followers]]-Table12[[#This Row],[Unfollows]])</f>
        <v>1016</v>
      </c>
      <c r="C156">
        <f t="shared" si="4"/>
        <v>745.28260869565213</v>
      </c>
    </row>
    <row r="157" spans="1:3" x14ac:dyDescent="0.3">
      <c r="A157" t="s">
        <v>139</v>
      </c>
      <c r="B157">
        <f>(Table12[[#This Row],[New_Followers]]-Table12[[#This Row],[Unfollows]])</f>
        <v>708</v>
      </c>
      <c r="C157">
        <f t="shared" si="4"/>
        <v>739.26666666666665</v>
      </c>
    </row>
    <row r="158" spans="1:3" x14ac:dyDescent="0.3">
      <c r="A158" t="s">
        <v>186</v>
      </c>
      <c r="B158">
        <f>(Table12[[#This Row],[New_Followers]]-Table12[[#This Row],[Unfollows]])</f>
        <v>1315</v>
      </c>
      <c r="C158">
        <f t="shared" si="4"/>
        <v>739.97727272727275</v>
      </c>
    </row>
    <row r="159" spans="1:3" x14ac:dyDescent="0.3">
      <c r="A159" t="s">
        <v>186</v>
      </c>
      <c r="B159">
        <f>(Table12[[#This Row],[New_Followers]]-Table12[[#This Row],[Unfollows]])</f>
        <v>899</v>
      </c>
      <c r="C159">
        <f t="shared" si="4"/>
        <v>726.60465116279067</v>
      </c>
    </row>
    <row r="160" spans="1:3" x14ac:dyDescent="0.3">
      <c r="A160" t="s">
        <v>186</v>
      </c>
      <c r="B160">
        <f>(Table12[[#This Row],[New_Followers]]-Table12[[#This Row],[Unfollows]])</f>
        <v>315</v>
      </c>
      <c r="C160">
        <f t="shared" si="4"/>
        <v>722.5</v>
      </c>
    </row>
    <row r="161" spans="1:3" x14ac:dyDescent="0.3">
      <c r="A161" t="s">
        <v>186</v>
      </c>
      <c r="B161">
        <f>(Table12[[#This Row],[New_Followers]]-Table12[[#This Row],[Unfollows]])</f>
        <v>-119</v>
      </c>
      <c r="C161">
        <f t="shared" si="4"/>
        <v>732.43902439024396</v>
      </c>
    </row>
    <row r="162" spans="1:3" x14ac:dyDescent="0.3">
      <c r="A162" t="s">
        <v>566</v>
      </c>
      <c r="B162">
        <f>(Table12[[#This Row],[New_Followers]]-Table12[[#This Row],[Unfollows]])</f>
        <v>1350</v>
      </c>
      <c r="C162">
        <f t="shared" ref="C162:C193" si="5">AVERAGE(B162:B361)</f>
        <v>753.72500000000002</v>
      </c>
    </row>
    <row r="163" spans="1:3" x14ac:dyDescent="0.3">
      <c r="A163" t="s">
        <v>566</v>
      </c>
      <c r="B163">
        <f>(Table12[[#This Row],[New_Followers]]-Table12[[#This Row],[Unfollows]])</f>
        <v>1242</v>
      </c>
      <c r="C163">
        <f t="shared" si="5"/>
        <v>738.43589743589746</v>
      </c>
    </row>
    <row r="164" spans="1:3" x14ac:dyDescent="0.3">
      <c r="A164" t="s">
        <v>566</v>
      </c>
      <c r="B164">
        <f>(Table12[[#This Row],[New_Followers]]-Table12[[#This Row],[Unfollows]])</f>
        <v>908</v>
      </c>
      <c r="C164">
        <f t="shared" si="5"/>
        <v>725.18421052631584</v>
      </c>
    </row>
    <row r="165" spans="1:3" x14ac:dyDescent="0.3">
      <c r="A165" t="s">
        <v>566</v>
      </c>
      <c r="B165">
        <f>(Table12[[#This Row],[New_Followers]]-Table12[[#This Row],[Unfollows]])</f>
        <v>212</v>
      </c>
      <c r="C165">
        <f t="shared" si="5"/>
        <v>720.24324324324323</v>
      </c>
    </row>
    <row r="166" spans="1:3" x14ac:dyDescent="0.3">
      <c r="A166" t="s">
        <v>567</v>
      </c>
      <c r="B166">
        <f>(Table12[[#This Row],[New_Followers]]-Table12[[#This Row],[Unfollows]])</f>
        <v>1385</v>
      </c>
      <c r="C166">
        <f t="shared" si="5"/>
        <v>734.36111111111109</v>
      </c>
    </row>
    <row r="167" spans="1:3" x14ac:dyDescent="0.3">
      <c r="A167" t="s">
        <v>567</v>
      </c>
      <c r="B167">
        <f>(Table12[[#This Row],[New_Followers]]-Table12[[#This Row],[Unfollows]])</f>
        <v>1116</v>
      </c>
      <c r="C167">
        <f t="shared" si="5"/>
        <v>715.7714285714286</v>
      </c>
    </row>
    <row r="168" spans="1:3" x14ac:dyDescent="0.3">
      <c r="A168" t="s">
        <v>567</v>
      </c>
      <c r="B168">
        <f>(Table12[[#This Row],[New_Followers]]-Table12[[#This Row],[Unfollows]])</f>
        <v>861</v>
      </c>
      <c r="C168">
        <f t="shared" si="5"/>
        <v>704</v>
      </c>
    </row>
    <row r="169" spans="1:3" x14ac:dyDescent="0.3">
      <c r="A169" t="s">
        <v>567</v>
      </c>
      <c r="B169">
        <f>(Table12[[#This Row],[New_Followers]]-Table12[[#This Row],[Unfollows]])</f>
        <v>680</v>
      </c>
      <c r="C169">
        <f t="shared" si="5"/>
        <v>699.24242424242425</v>
      </c>
    </row>
    <row r="170" spans="1:3" x14ac:dyDescent="0.3">
      <c r="A170" t="s">
        <v>222</v>
      </c>
      <c r="B170">
        <f>(Table12[[#This Row],[New_Followers]]-Table12[[#This Row],[Unfollows]])</f>
        <v>474</v>
      </c>
      <c r="C170">
        <f t="shared" si="5"/>
        <v>699.84375</v>
      </c>
    </row>
    <row r="171" spans="1:3" x14ac:dyDescent="0.3">
      <c r="A171" t="s">
        <v>222</v>
      </c>
      <c r="B171">
        <f>(Table12[[#This Row],[New_Followers]]-Table12[[#This Row],[Unfollows]])</f>
        <v>461</v>
      </c>
      <c r="C171">
        <f t="shared" si="5"/>
        <v>707.12903225806451</v>
      </c>
    </row>
    <row r="172" spans="1:3" x14ac:dyDescent="0.3">
      <c r="A172" t="s">
        <v>222</v>
      </c>
      <c r="B172">
        <f>(Table12[[#This Row],[New_Followers]]-Table12[[#This Row],[Unfollows]])</f>
        <v>389</v>
      </c>
      <c r="C172">
        <f t="shared" si="5"/>
        <v>715.33333333333337</v>
      </c>
    </row>
    <row r="173" spans="1:3" x14ac:dyDescent="0.3">
      <c r="A173" t="s">
        <v>222</v>
      </c>
      <c r="B173">
        <f>(Table12[[#This Row],[New_Followers]]-Table12[[#This Row],[Unfollows]])</f>
        <v>292</v>
      </c>
      <c r="C173">
        <f t="shared" si="5"/>
        <v>726.58620689655174</v>
      </c>
    </row>
    <row r="174" spans="1:3" x14ac:dyDescent="0.3">
      <c r="A174" t="s">
        <v>568</v>
      </c>
      <c r="B174">
        <f>(Table12[[#This Row],[New_Followers]]-Table12[[#This Row],[Unfollows]])</f>
        <v>1676</v>
      </c>
      <c r="C174">
        <f t="shared" si="5"/>
        <v>742.10714285714289</v>
      </c>
    </row>
    <row r="175" spans="1:3" x14ac:dyDescent="0.3">
      <c r="A175" t="s">
        <v>568</v>
      </c>
      <c r="B175">
        <f>(Table12[[#This Row],[New_Followers]]-Table12[[#This Row],[Unfollows]])</f>
        <v>1467</v>
      </c>
      <c r="C175">
        <f t="shared" si="5"/>
        <v>707.51851851851848</v>
      </c>
    </row>
    <row r="176" spans="1:3" x14ac:dyDescent="0.3">
      <c r="A176" t="s">
        <v>568</v>
      </c>
      <c r="B176">
        <f>(Table12[[#This Row],[New_Followers]]-Table12[[#This Row],[Unfollows]])</f>
        <v>641</v>
      </c>
      <c r="C176">
        <f t="shared" si="5"/>
        <v>678.30769230769226</v>
      </c>
    </row>
    <row r="177" spans="1:3" x14ac:dyDescent="0.3">
      <c r="A177" t="s">
        <v>568</v>
      </c>
      <c r="B177">
        <f>(Table12[[#This Row],[New_Followers]]-Table12[[#This Row],[Unfollows]])</f>
        <v>514</v>
      </c>
      <c r="C177">
        <f t="shared" si="5"/>
        <v>679.8</v>
      </c>
    </row>
    <row r="178" spans="1:3" x14ac:dyDescent="0.3">
      <c r="A178" t="s">
        <v>398</v>
      </c>
      <c r="B178">
        <f>(Table12[[#This Row],[New_Followers]]-Table12[[#This Row],[Unfollows]])</f>
        <v>1029</v>
      </c>
      <c r="C178">
        <f t="shared" si="5"/>
        <v>686.70833333333337</v>
      </c>
    </row>
    <row r="179" spans="1:3" x14ac:dyDescent="0.3">
      <c r="A179" t="s">
        <v>398</v>
      </c>
      <c r="B179">
        <f>(Table12[[#This Row],[New_Followers]]-Table12[[#This Row],[Unfollows]])</f>
        <v>1007</v>
      </c>
      <c r="C179">
        <f t="shared" si="5"/>
        <v>671.82608695652175</v>
      </c>
    </row>
    <row r="180" spans="1:3" x14ac:dyDescent="0.3">
      <c r="A180" t="s">
        <v>398</v>
      </c>
      <c r="B180">
        <f>(Table12[[#This Row],[New_Followers]]-Table12[[#This Row],[Unfollows]])</f>
        <v>209</v>
      </c>
      <c r="C180">
        <f t="shared" si="5"/>
        <v>656.59090909090912</v>
      </c>
    </row>
    <row r="181" spans="1:3" x14ac:dyDescent="0.3">
      <c r="A181" t="s">
        <v>398</v>
      </c>
      <c r="B181">
        <f>(Table12[[#This Row],[New_Followers]]-Table12[[#This Row],[Unfollows]])</f>
        <v>167</v>
      </c>
      <c r="C181">
        <f t="shared" si="5"/>
        <v>677.90476190476193</v>
      </c>
    </row>
    <row r="182" spans="1:3" x14ac:dyDescent="0.3">
      <c r="A182" t="s">
        <v>569</v>
      </c>
      <c r="B182">
        <f>(Table12[[#This Row],[New_Followers]]-Table12[[#This Row],[Unfollows]])</f>
        <v>145</v>
      </c>
      <c r="C182">
        <f t="shared" si="5"/>
        <v>703.45</v>
      </c>
    </row>
    <row r="183" spans="1:3" x14ac:dyDescent="0.3">
      <c r="A183" t="s">
        <v>569</v>
      </c>
      <c r="B183">
        <f>(Table12[[#This Row],[New_Followers]]-Table12[[#This Row],[Unfollows]])</f>
        <v>53</v>
      </c>
      <c r="C183">
        <f t="shared" si="5"/>
        <v>732.84210526315792</v>
      </c>
    </row>
    <row r="184" spans="1:3" x14ac:dyDescent="0.3">
      <c r="A184" t="s">
        <v>569</v>
      </c>
      <c r="B184">
        <f>(Table12[[#This Row],[New_Followers]]-Table12[[#This Row],[Unfollows]])</f>
        <v>-160</v>
      </c>
      <c r="C184">
        <f t="shared" si="5"/>
        <v>770.61111111111109</v>
      </c>
    </row>
    <row r="185" spans="1:3" x14ac:dyDescent="0.3">
      <c r="A185" t="s">
        <v>569</v>
      </c>
      <c r="B185">
        <f>(Table12[[#This Row],[New_Followers]]-Table12[[#This Row],[Unfollows]])</f>
        <v>-175</v>
      </c>
      <c r="C185">
        <f t="shared" si="5"/>
        <v>825.35294117647061</v>
      </c>
    </row>
    <row r="186" spans="1:3" x14ac:dyDescent="0.3">
      <c r="A186" t="s">
        <v>570</v>
      </c>
      <c r="B186">
        <f>(Table12[[#This Row],[New_Followers]]-Table12[[#This Row],[Unfollows]])</f>
        <v>1633</v>
      </c>
      <c r="C186">
        <f t="shared" si="5"/>
        <v>887.875</v>
      </c>
    </row>
    <row r="187" spans="1:3" x14ac:dyDescent="0.3">
      <c r="A187" t="s">
        <v>570</v>
      </c>
      <c r="B187">
        <f>(Table12[[#This Row],[New_Followers]]-Table12[[#This Row],[Unfollows]])</f>
        <v>1045</v>
      </c>
      <c r="C187">
        <f t="shared" si="5"/>
        <v>838.2</v>
      </c>
    </row>
    <row r="188" spans="1:3" x14ac:dyDescent="0.3">
      <c r="A188" t="s">
        <v>570</v>
      </c>
      <c r="B188">
        <f>(Table12[[#This Row],[New_Followers]]-Table12[[#This Row],[Unfollows]])</f>
        <v>759</v>
      </c>
      <c r="C188">
        <f t="shared" si="5"/>
        <v>823.42857142857144</v>
      </c>
    </row>
    <row r="189" spans="1:3" x14ac:dyDescent="0.3">
      <c r="A189" t="s">
        <v>570</v>
      </c>
      <c r="B189">
        <f>(Table12[[#This Row],[New_Followers]]-Table12[[#This Row],[Unfollows]])</f>
        <v>603</v>
      </c>
      <c r="C189">
        <f t="shared" si="5"/>
        <v>828.38461538461536</v>
      </c>
    </row>
    <row r="190" spans="1:3" x14ac:dyDescent="0.3">
      <c r="A190" t="s">
        <v>350</v>
      </c>
      <c r="B190">
        <f>(Table12[[#This Row],[New_Followers]]-Table12[[#This Row],[Unfollows]])</f>
        <v>1539</v>
      </c>
      <c r="C190">
        <f t="shared" si="5"/>
        <v>847.16666666666663</v>
      </c>
    </row>
    <row r="191" spans="1:3" x14ac:dyDescent="0.3">
      <c r="A191" t="s">
        <v>350</v>
      </c>
      <c r="B191">
        <f>(Table12[[#This Row],[New_Followers]]-Table12[[#This Row],[Unfollows]])</f>
        <v>948</v>
      </c>
      <c r="C191">
        <f t="shared" si="5"/>
        <v>784.27272727272725</v>
      </c>
    </row>
    <row r="192" spans="1:3" x14ac:dyDescent="0.3">
      <c r="A192" t="s">
        <v>350</v>
      </c>
      <c r="B192">
        <f>(Table12[[#This Row],[New_Followers]]-Table12[[#This Row],[Unfollows]])</f>
        <v>637</v>
      </c>
      <c r="C192">
        <f t="shared" si="5"/>
        <v>767.9</v>
      </c>
    </row>
    <row r="193" spans="1:3" x14ac:dyDescent="0.3">
      <c r="A193" t="s">
        <v>350</v>
      </c>
      <c r="B193">
        <f>(Table12[[#This Row],[New_Followers]]-Table12[[#This Row],[Unfollows]])</f>
        <v>453</v>
      </c>
      <c r="C193">
        <f t="shared" si="5"/>
        <v>782.44444444444446</v>
      </c>
    </row>
    <row r="194" spans="1:3" x14ac:dyDescent="0.3">
      <c r="A194" t="s">
        <v>74</v>
      </c>
      <c r="B194">
        <f>(Table12[[#This Row],[New_Followers]]-Table12[[#This Row],[Unfollows]])</f>
        <v>1881</v>
      </c>
      <c r="C194">
        <f t="shared" ref="C194:C201" si="6">AVERAGE(B194:B393)</f>
        <v>823.625</v>
      </c>
    </row>
    <row r="195" spans="1:3" x14ac:dyDescent="0.3">
      <c r="A195" t="s">
        <v>74</v>
      </c>
      <c r="B195">
        <f>(Table12[[#This Row],[New_Followers]]-Table12[[#This Row],[Unfollows]])</f>
        <v>1510</v>
      </c>
      <c r="C195">
        <f t="shared" si="6"/>
        <v>672.57142857142856</v>
      </c>
    </row>
    <row r="196" spans="1:3" x14ac:dyDescent="0.3">
      <c r="A196" t="s">
        <v>74</v>
      </c>
      <c r="B196">
        <f>(Table12[[#This Row],[New_Followers]]-Table12[[#This Row],[Unfollows]])</f>
        <v>864</v>
      </c>
      <c r="C196">
        <f t="shared" si="6"/>
        <v>533</v>
      </c>
    </row>
    <row r="197" spans="1:3" x14ac:dyDescent="0.3">
      <c r="A197" t="s">
        <v>74</v>
      </c>
      <c r="B197">
        <f>(Table12[[#This Row],[New_Followers]]-Table12[[#This Row],[Unfollows]])</f>
        <v>339</v>
      </c>
      <c r="C197">
        <f t="shared" si="6"/>
        <v>466.8</v>
      </c>
    </row>
    <row r="198" spans="1:3" x14ac:dyDescent="0.3">
      <c r="A198" t="s">
        <v>24</v>
      </c>
      <c r="B198">
        <f>(Table12[[#This Row],[New_Followers]]-Table12[[#This Row],[Unfollows]])</f>
        <v>1656</v>
      </c>
      <c r="C198">
        <f t="shared" si="6"/>
        <v>498.75</v>
      </c>
    </row>
    <row r="199" spans="1:3" x14ac:dyDescent="0.3">
      <c r="A199" t="s">
        <v>24</v>
      </c>
      <c r="B199">
        <f>(Table12[[#This Row],[New_Followers]]-Table12[[#This Row],[Unfollows]])</f>
        <v>407</v>
      </c>
      <c r="C199">
        <f t="shared" si="6"/>
        <v>113</v>
      </c>
    </row>
    <row r="200" spans="1:3" x14ac:dyDescent="0.3">
      <c r="A200" t="s">
        <v>24</v>
      </c>
      <c r="B200">
        <f>(Table12[[#This Row],[New_Followers]]-Table12[[#This Row],[Unfollows]])</f>
        <v>269</v>
      </c>
      <c r="C200">
        <f t="shared" si="6"/>
        <v>-34</v>
      </c>
    </row>
    <row r="201" spans="1:3" x14ac:dyDescent="0.3">
      <c r="A201" t="s">
        <v>24</v>
      </c>
      <c r="B201">
        <f>(Table12[[#This Row],[New_Followers]]-Table12[[#This Row],[Unfollows]])</f>
        <v>-337</v>
      </c>
      <c r="C201">
        <f t="shared" si="6"/>
        <v>-337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4726C-C51C-4522-98F5-92C86D830220}">
  <sheetPr>
    <tabColor rgb="FF7030A0"/>
  </sheetPr>
  <dimension ref="A1:AC201"/>
  <sheetViews>
    <sheetView topLeftCell="A15" zoomScale="107" workbookViewId="0">
      <selection activeCell="E3" sqref="E3"/>
    </sheetView>
  </sheetViews>
  <sheetFormatPr defaultRowHeight="14.4" x14ac:dyDescent="0.3"/>
  <cols>
    <col min="1" max="1" width="15.5546875" customWidth="1"/>
    <col min="2" max="2" width="11.33203125" customWidth="1"/>
    <col min="3" max="3" width="10.6640625" customWidth="1"/>
    <col min="4" max="4" width="11.5546875" customWidth="1"/>
    <col min="5" max="5" width="12.21875" customWidth="1"/>
  </cols>
  <sheetData>
    <row r="1" spans="1:29" x14ac:dyDescent="0.3">
      <c r="A1" s="1" t="s">
        <v>548</v>
      </c>
      <c r="B1" s="1" t="s">
        <v>549</v>
      </c>
      <c r="C1" s="14" t="s">
        <v>700</v>
      </c>
      <c r="D1" s="1" t="s">
        <v>552</v>
      </c>
      <c r="E1" s="14" t="s">
        <v>706</v>
      </c>
    </row>
    <row r="2" spans="1:29" ht="23.4" x14ac:dyDescent="0.3">
      <c r="A2" s="5">
        <v>1135</v>
      </c>
      <c r="B2" s="5">
        <v>88</v>
      </c>
      <c r="C2">
        <f>(A2-B2)</f>
        <v>1047</v>
      </c>
      <c r="D2" s="5">
        <v>5904</v>
      </c>
      <c r="E2" s="15">
        <f>CORREL($D$2:$D$201,$C$2:$C$201)</f>
        <v>8.5932221904422137E-2</v>
      </c>
      <c r="V2" s="177" t="s">
        <v>711</v>
      </c>
      <c r="W2" s="74"/>
      <c r="X2" s="74"/>
      <c r="Y2" s="74"/>
      <c r="Z2" s="74"/>
      <c r="AA2" s="74"/>
      <c r="AB2" s="74"/>
    </row>
    <row r="3" spans="1:29" x14ac:dyDescent="0.3">
      <c r="A3" s="5">
        <v>1312</v>
      </c>
      <c r="B3" s="5">
        <v>310</v>
      </c>
      <c r="C3">
        <f t="shared" ref="C3:C66" si="0">(A3-B3)</f>
        <v>1002</v>
      </c>
      <c r="D3" s="5">
        <v>9566</v>
      </c>
      <c r="E3" s="15">
        <f t="shared" ref="E3:E66" si="1">CORREL($D$2:$D$201,$C$2:$C$201)</f>
        <v>8.5932221904422137E-2</v>
      </c>
      <c r="V3" s="108"/>
    </row>
    <row r="4" spans="1:29" x14ac:dyDescent="0.3">
      <c r="A4" s="5">
        <v>584</v>
      </c>
      <c r="B4" s="5">
        <v>169</v>
      </c>
      <c r="C4">
        <f t="shared" si="0"/>
        <v>415</v>
      </c>
      <c r="D4" s="5">
        <v>26752</v>
      </c>
      <c r="E4" s="15">
        <f t="shared" si="1"/>
        <v>8.5932221904422137E-2</v>
      </c>
      <c r="V4" s="178" t="s">
        <v>712</v>
      </c>
      <c r="W4" s="172"/>
      <c r="X4" s="172"/>
      <c r="Y4" s="172"/>
      <c r="Z4" s="172"/>
      <c r="AA4" s="172"/>
      <c r="AB4" s="172"/>
      <c r="AC4" s="172"/>
    </row>
    <row r="5" spans="1:29" x14ac:dyDescent="0.3">
      <c r="A5" s="5">
        <v>1535</v>
      </c>
      <c r="B5" s="5">
        <v>445</v>
      </c>
      <c r="C5">
        <f t="shared" si="0"/>
        <v>1090</v>
      </c>
      <c r="D5" s="5">
        <v>30671</v>
      </c>
      <c r="E5" s="15">
        <f t="shared" si="1"/>
        <v>8.5932221904422137E-2</v>
      </c>
      <c r="V5" s="179"/>
      <c r="W5" s="172"/>
      <c r="X5" s="172"/>
      <c r="Y5" s="172"/>
      <c r="Z5" s="172"/>
      <c r="AA5" s="172"/>
      <c r="AB5" s="172"/>
      <c r="AC5" s="172"/>
    </row>
    <row r="6" spans="1:29" x14ac:dyDescent="0.3">
      <c r="A6" s="5">
        <v>656</v>
      </c>
      <c r="B6" s="5">
        <v>139</v>
      </c>
      <c r="C6">
        <f t="shared" si="0"/>
        <v>517</v>
      </c>
      <c r="D6" s="5">
        <v>9920</v>
      </c>
      <c r="E6" s="15">
        <f t="shared" si="1"/>
        <v>8.5932221904422137E-2</v>
      </c>
      <c r="V6" s="178" t="s">
        <v>713</v>
      </c>
      <c r="W6" s="172"/>
      <c r="X6" s="172"/>
      <c r="Y6" s="172"/>
      <c r="Z6" s="172"/>
      <c r="AA6" s="172"/>
      <c r="AB6" s="172"/>
      <c r="AC6" s="172"/>
    </row>
    <row r="7" spans="1:29" x14ac:dyDescent="0.3">
      <c r="A7" s="5">
        <v>1697</v>
      </c>
      <c r="B7" s="5">
        <v>414</v>
      </c>
      <c r="C7">
        <f t="shared" si="0"/>
        <v>1283</v>
      </c>
      <c r="D7" s="5">
        <v>7924</v>
      </c>
      <c r="E7" s="15">
        <f t="shared" si="1"/>
        <v>8.5932221904422137E-2</v>
      </c>
      <c r="V7" s="179"/>
      <c r="W7" s="172"/>
      <c r="X7" s="172"/>
      <c r="Y7" s="172"/>
      <c r="Z7" s="172"/>
      <c r="AA7" s="172"/>
      <c r="AB7" s="172"/>
      <c r="AC7" s="172"/>
    </row>
    <row r="8" spans="1:29" x14ac:dyDescent="0.3">
      <c r="A8" s="5">
        <v>436</v>
      </c>
      <c r="B8" s="5">
        <v>250</v>
      </c>
      <c r="C8">
        <f t="shared" si="0"/>
        <v>186</v>
      </c>
      <c r="D8" s="5">
        <v>8912</v>
      </c>
      <c r="E8" s="15">
        <f t="shared" si="1"/>
        <v>8.5932221904422137E-2</v>
      </c>
      <c r="V8" s="178" t="s">
        <v>714</v>
      </c>
      <c r="W8" s="172"/>
      <c r="X8" s="172"/>
      <c r="Y8" s="172"/>
      <c r="Z8" s="172"/>
      <c r="AA8" s="172"/>
      <c r="AB8" s="172"/>
      <c r="AC8" s="172"/>
    </row>
    <row r="9" spans="1:29" x14ac:dyDescent="0.3">
      <c r="A9" s="5">
        <v>1197</v>
      </c>
      <c r="B9" s="5">
        <v>203</v>
      </c>
      <c r="C9">
        <f t="shared" si="0"/>
        <v>994</v>
      </c>
      <c r="D9" s="5">
        <v>21205</v>
      </c>
      <c r="E9" s="15">
        <f t="shared" si="1"/>
        <v>8.5932221904422137E-2</v>
      </c>
      <c r="V9" s="179"/>
      <c r="W9" s="172"/>
      <c r="X9" s="172"/>
      <c r="Y9" s="172"/>
      <c r="Z9" s="172"/>
      <c r="AA9" s="172"/>
      <c r="AB9" s="172"/>
      <c r="AC9" s="172"/>
    </row>
    <row r="10" spans="1:29" x14ac:dyDescent="0.3">
      <c r="A10" s="5">
        <v>1048</v>
      </c>
      <c r="B10" s="5">
        <v>155</v>
      </c>
      <c r="C10">
        <f t="shared" si="0"/>
        <v>893</v>
      </c>
      <c r="D10" s="5">
        <v>11329</v>
      </c>
      <c r="E10" s="15">
        <f t="shared" si="1"/>
        <v>8.5932221904422137E-2</v>
      </c>
      <c r="V10" s="178" t="s">
        <v>715</v>
      </c>
      <c r="W10" s="172"/>
      <c r="X10" s="172"/>
      <c r="Y10" s="172"/>
      <c r="Z10" s="172"/>
      <c r="AA10" s="172"/>
      <c r="AB10" s="172"/>
      <c r="AC10" s="172"/>
    </row>
    <row r="11" spans="1:29" x14ac:dyDescent="0.3">
      <c r="A11" s="5">
        <v>1753</v>
      </c>
      <c r="B11" s="5">
        <v>371</v>
      </c>
      <c r="C11">
        <f t="shared" si="0"/>
        <v>1382</v>
      </c>
      <c r="D11" s="5">
        <v>46670</v>
      </c>
      <c r="E11" s="15">
        <f t="shared" si="1"/>
        <v>8.5932221904422137E-2</v>
      </c>
      <c r="V11" s="179"/>
      <c r="W11" s="172"/>
      <c r="X11" s="172"/>
      <c r="Y11" s="172"/>
      <c r="Z11" s="172"/>
      <c r="AA11" s="172"/>
      <c r="AB11" s="172"/>
      <c r="AC11" s="172"/>
    </row>
    <row r="12" spans="1:29" x14ac:dyDescent="0.3">
      <c r="A12" s="5">
        <v>1335</v>
      </c>
      <c r="B12" s="5">
        <v>40</v>
      </c>
      <c r="C12">
        <f t="shared" si="0"/>
        <v>1295</v>
      </c>
      <c r="D12" s="5">
        <v>22482</v>
      </c>
      <c r="E12" s="15">
        <f t="shared" si="1"/>
        <v>8.5932221904422137E-2</v>
      </c>
      <c r="V12" s="178" t="s">
        <v>716</v>
      </c>
      <c r="W12" s="172"/>
      <c r="X12" s="172"/>
      <c r="Y12" s="172"/>
      <c r="Z12" s="172"/>
      <c r="AA12" s="172"/>
      <c r="AB12" s="172"/>
      <c r="AC12" s="172"/>
    </row>
    <row r="13" spans="1:29" x14ac:dyDescent="0.3">
      <c r="A13" s="5">
        <v>403</v>
      </c>
      <c r="B13" s="5">
        <v>66</v>
      </c>
      <c r="C13">
        <f t="shared" si="0"/>
        <v>337</v>
      </c>
      <c r="D13" s="5">
        <v>24313</v>
      </c>
      <c r="E13" s="15">
        <f t="shared" si="1"/>
        <v>8.5932221904422137E-2</v>
      </c>
      <c r="V13" s="172"/>
      <c r="W13" s="172"/>
      <c r="X13" s="172"/>
      <c r="Y13" s="172"/>
      <c r="Z13" s="172"/>
      <c r="AA13" s="172"/>
      <c r="AB13" s="172"/>
      <c r="AC13" s="172"/>
    </row>
    <row r="14" spans="1:29" x14ac:dyDescent="0.3">
      <c r="A14" s="5">
        <v>911</v>
      </c>
      <c r="B14" s="5">
        <v>282</v>
      </c>
      <c r="C14">
        <f t="shared" si="0"/>
        <v>629</v>
      </c>
      <c r="D14" s="5">
        <v>18050</v>
      </c>
      <c r="E14" s="15">
        <f t="shared" si="1"/>
        <v>8.5932221904422137E-2</v>
      </c>
    </row>
    <row r="15" spans="1:29" x14ac:dyDescent="0.3">
      <c r="A15" s="5">
        <v>1779</v>
      </c>
      <c r="B15" s="5">
        <v>109</v>
      </c>
      <c r="C15">
        <f t="shared" si="0"/>
        <v>1670</v>
      </c>
      <c r="D15" s="5">
        <v>30635</v>
      </c>
      <c r="E15" s="15">
        <f t="shared" si="1"/>
        <v>8.5932221904422137E-2</v>
      </c>
    </row>
    <row r="16" spans="1:29" x14ac:dyDescent="0.3">
      <c r="A16" s="5">
        <v>1238</v>
      </c>
      <c r="B16" s="5">
        <v>403</v>
      </c>
      <c r="C16">
        <f t="shared" si="0"/>
        <v>835</v>
      </c>
      <c r="D16" s="5">
        <v>31280</v>
      </c>
      <c r="E16" s="15">
        <f t="shared" si="1"/>
        <v>8.5932221904422137E-2</v>
      </c>
    </row>
    <row r="17" spans="1:18" x14ac:dyDescent="0.3">
      <c r="A17" s="5">
        <v>308</v>
      </c>
      <c r="B17" s="5">
        <v>431</v>
      </c>
      <c r="C17">
        <f t="shared" si="0"/>
        <v>-123</v>
      </c>
      <c r="D17" s="5">
        <v>1783</v>
      </c>
      <c r="E17" s="15">
        <f t="shared" si="1"/>
        <v>8.5932221904422137E-2</v>
      </c>
    </row>
    <row r="18" spans="1:18" x14ac:dyDescent="0.3">
      <c r="A18" s="5">
        <v>226</v>
      </c>
      <c r="B18" s="5">
        <v>445</v>
      </c>
      <c r="C18">
        <f t="shared" si="0"/>
        <v>-219</v>
      </c>
      <c r="D18" s="5">
        <v>9566</v>
      </c>
      <c r="E18" s="15">
        <f t="shared" si="1"/>
        <v>8.5932221904422137E-2</v>
      </c>
    </row>
    <row r="19" spans="1:18" x14ac:dyDescent="0.3">
      <c r="A19" s="5">
        <v>505</v>
      </c>
      <c r="B19" s="5">
        <v>441</v>
      </c>
      <c r="C19">
        <f t="shared" si="0"/>
        <v>64</v>
      </c>
      <c r="D19" s="5">
        <v>42307</v>
      </c>
      <c r="E19" s="15">
        <f t="shared" si="1"/>
        <v>8.5932221904422137E-2</v>
      </c>
    </row>
    <row r="20" spans="1:18" x14ac:dyDescent="0.3">
      <c r="A20" s="5">
        <v>1420</v>
      </c>
      <c r="B20" s="5">
        <v>63</v>
      </c>
      <c r="C20">
        <f t="shared" si="0"/>
        <v>1357</v>
      </c>
      <c r="D20" s="5">
        <v>5914</v>
      </c>
      <c r="E20" s="15">
        <f t="shared" si="1"/>
        <v>8.5932221904422137E-2</v>
      </c>
    </row>
    <row r="21" spans="1:18" x14ac:dyDescent="0.3">
      <c r="A21" s="5">
        <v>144</v>
      </c>
      <c r="B21" s="5">
        <v>53</v>
      </c>
      <c r="C21">
        <f t="shared" si="0"/>
        <v>91</v>
      </c>
      <c r="D21" s="5">
        <v>30060</v>
      </c>
      <c r="E21" s="15">
        <f t="shared" si="1"/>
        <v>8.5932221904422137E-2</v>
      </c>
    </row>
    <row r="22" spans="1:18" x14ac:dyDescent="0.3">
      <c r="A22" s="5">
        <v>1757</v>
      </c>
      <c r="B22" s="5">
        <v>85</v>
      </c>
      <c r="C22">
        <f t="shared" si="0"/>
        <v>1672</v>
      </c>
      <c r="D22" s="5">
        <v>22728</v>
      </c>
      <c r="E22" s="15">
        <f t="shared" si="1"/>
        <v>8.5932221904422137E-2</v>
      </c>
    </row>
    <row r="23" spans="1:18" x14ac:dyDescent="0.3">
      <c r="A23" s="5">
        <v>350</v>
      </c>
      <c r="B23" s="5">
        <v>41</v>
      </c>
      <c r="C23">
        <f t="shared" si="0"/>
        <v>309</v>
      </c>
      <c r="D23" s="5">
        <v>38610</v>
      </c>
      <c r="E23" s="15">
        <f t="shared" si="1"/>
        <v>8.5932221904422137E-2</v>
      </c>
    </row>
    <row r="24" spans="1:18" x14ac:dyDescent="0.3">
      <c r="A24" s="5">
        <v>987</v>
      </c>
      <c r="B24" s="5">
        <v>440</v>
      </c>
      <c r="C24">
        <f t="shared" si="0"/>
        <v>547</v>
      </c>
      <c r="D24" s="5">
        <v>2932</v>
      </c>
      <c r="E24" s="15">
        <f t="shared" si="1"/>
        <v>8.5932221904422137E-2</v>
      </c>
    </row>
    <row r="25" spans="1:18" x14ac:dyDescent="0.3">
      <c r="A25" s="5">
        <v>883</v>
      </c>
      <c r="B25" s="5">
        <v>369</v>
      </c>
      <c r="C25">
        <f t="shared" si="0"/>
        <v>514</v>
      </c>
      <c r="D25" s="5">
        <v>15071</v>
      </c>
      <c r="E25" s="15">
        <f t="shared" si="1"/>
        <v>8.5932221904422137E-2</v>
      </c>
    </row>
    <row r="26" spans="1:18" x14ac:dyDescent="0.3">
      <c r="A26" s="5">
        <v>1960</v>
      </c>
      <c r="B26" s="5">
        <v>115</v>
      </c>
      <c r="C26">
        <f t="shared" si="0"/>
        <v>1845</v>
      </c>
      <c r="D26" s="5">
        <v>10740</v>
      </c>
      <c r="E26" s="15">
        <f t="shared" si="1"/>
        <v>8.5932221904422137E-2</v>
      </c>
    </row>
    <row r="27" spans="1:18" ht="18" x14ac:dyDescent="0.35">
      <c r="A27" s="5">
        <v>170</v>
      </c>
      <c r="B27" s="5">
        <v>334</v>
      </c>
      <c r="C27">
        <f t="shared" si="0"/>
        <v>-164</v>
      </c>
      <c r="D27" s="5">
        <v>43420</v>
      </c>
      <c r="E27" s="15">
        <f t="shared" si="1"/>
        <v>8.5932221904422137E-2</v>
      </c>
      <c r="G27" s="170" t="s">
        <v>708</v>
      </c>
      <c r="H27" s="171"/>
      <c r="I27" s="171"/>
      <c r="J27" s="171"/>
      <c r="K27" s="171"/>
      <c r="L27" s="171"/>
      <c r="M27" s="171"/>
      <c r="N27" s="171"/>
      <c r="O27" s="171"/>
      <c r="P27" s="169"/>
      <c r="Q27" s="169"/>
      <c r="R27" s="169"/>
    </row>
    <row r="28" spans="1:18" ht="18" x14ac:dyDescent="0.35">
      <c r="A28" s="5">
        <v>704</v>
      </c>
      <c r="B28" s="5">
        <v>275</v>
      </c>
      <c r="C28">
        <f t="shared" si="0"/>
        <v>429</v>
      </c>
      <c r="D28" s="5">
        <v>32393</v>
      </c>
      <c r="E28" s="15">
        <f t="shared" si="1"/>
        <v>8.5932221904422137E-2</v>
      </c>
      <c r="G28" s="171" t="s">
        <v>707</v>
      </c>
      <c r="H28" s="171"/>
      <c r="I28" s="171"/>
      <c r="J28" s="171"/>
      <c r="K28" s="171"/>
      <c r="L28" s="171"/>
      <c r="M28" s="171"/>
      <c r="N28" s="171"/>
      <c r="O28" s="171"/>
      <c r="P28" s="169"/>
      <c r="Q28" s="169"/>
      <c r="R28" s="169"/>
    </row>
    <row r="29" spans="1:18" x14ac:dyDescent="0.3">
      <c r="A29" s="5">
        <v>224</v>
      </c>
      <c r="B29" s="5">
        <v>64</v>
      </c>
      <c r="C29">
        <f t="shared" si="0"/>
        <v>160</v>
      </c>
      <c r="D29" s="5">
        <v>28474</v>
      </c>
      <c r="E29" s="15">
        <f t="shared" si="1"/>
        <v>8.5932221904422137E-2</v>
      </c>
    </row>
    <row r="30" spans="1:18" x14ac:dyDescent="0.3">
      <c r="A30" s="5">
        <v>508</v>
      </c>
      <c r="B30" s="5">
        <v>349</v>
      </c>
      <c r="C30">
        <f t="shared" si="0"/>
        <v>159</v>
      </c>
      <c r="D30" s="5">
        <v>17328</v>
      </c>
      <c r="E30" s="15">
        <f t="shared" si="1"/>
        <v>8.5932221904422137E-2</v>
      </c>
    </row>
    <row r="31" spans="1:18" x14ac:dyDescent="0.3">
      <c r="A31" s="5">
        <v>1391</v>
      </c>
      <c r="B31" s="5">
        <v>430</v>
      </c>
      <c r="C31">
        <f t="shared" si="0"/>
        <v>961</v>
      </c>
      <c r="D31" s="5">
        <v>26067</v>
      </c>
      <c r="E31" s="15">
        <f t="shared" si="1"/>
        <v>8.5932221904422137E-2</v>
      </c>
    </row>
    <row r="32" spans="1:18" x14ac:dyDescent="0.3">
      <c r="A32" s="5">
        <v>1701</v>
      </c>
      <c r="B32" s="5">
        <v>385</v>
      </c>
      <c r="C32">
        <f t="shared" si="0"/>
        <v>1316</v>
      </c>
      <c r="D32" s="5">
        <v>32763</v>
      </c>
      <c r="E32" s="15">
        <f t="shared" si="1"/>
        <v>8.5932221904422137E-2</v>
      </c>
    </row>
    <row r="33" spans="1:5" x14ac:dyDescent="0.3">
      <c r="A33" s="5">
        <v>804</v>
      </c>
      <c r="B33" s="5">
        <v>487</v>
      </c>
      <c r="C33">
        <f t="shared" si="0"/>
        <v>317</v>
      </c>
      <c r="D33" s="5">
        <v>26452</v>
      </c>
      <c r="E33" s="15">
        <f t="shared" si="1"/>
        <v>8.5932221904422137E-2</v>
      </c>
    </row>
    <row r="34" spans="1:5" x14ac:dyDescent="0.3">
      <c r="A34" s="5">
        <v>653</v>
      </c>
      <c r="B34" s="5">
        <v>112</v>
      </c>
      <c r="C34">
        <f t="shared" si="0"/>
        <v>541</v>
      </c>
      <c r="D34" s="5">
        <v>15353</v>
      </c>
      <c r="E34" s="15">
        <f t="shared" si="1"/>
        <v>8.5932221904422137E-2</v>
      </c>
    </row>
    <row r="35" spans="1:5" x14ac:dyDescent="0.3">
      <c r="A35" s="5">
        <v>160</v>
      </c>
      <c r="B35" s="5">
        <v>478</v>
      </c>
      <c r="C35">
        <f t="shared" si="0"/>
        <v>-318</v>
      </c>
      <c r="D35" s="5">
        <v>4839</v>
      </c>
      <c r="E35" s="15">
        <f t="shared" si="1"/>
        <v>8.5932221904422137E-2</v>
      </c>
    </row>
    <row r="36" spans="1:5" x14ac:dyDescent="0.3">
      <c r="A36" s="5">
        <v>1756</v>
      </c>
      <c r="B36" s="5">
        <v>261</v>
      </c>
      <c r="C36">
        <f t="shared" si="0"/>
        <v>1495</v>
      </c>
      <c r="D36" s="5">
        <v>39272</v>
      </c>
      <c r="E36" s="15">
        <f t="shared" si="1"/>
        <v>8.5932221904422137E-2</v>
      </c>
    </row>
    <row r="37" spans="1:5" x14ac:dyDescent="0.3">
      <c r="A37" s="5">
        <v>576</v>
      </c>
      <c r="B37" s="5">
        <v>101</v>
      </c>
      <c r="C37">
        <f t="shared" si="0"/>
        <v>475</v>
      </c>
      <c r="D37" s="5">
        <v>16804</v>
      </c>
      <c r="E37" s="15">
        <f t="shared" si="1"/>
        <v>8.5932221904422137E-2</v>
      </c>
    </row>
    <row r="38" spans="1:5" x14ac:dyDescent="0.3">
      <c r="A38" s="5">
        <v>645</v>
      </c>
      <c r="B38" s="5">
        <v>293</v>
      </c>
      <c r="C38">
        <f t="shared" si="0"/>
        <v>352</v>
      </c>
      <c r="D38" s="5">
        <v>49303</v>
      </c>
      <c r="E38" s="15">
        <f t="shared" si="1"/>
        <v>8.5932221904422137E-2</v>
      </c>
    </row>
    <row r="39" spans="1:5" x14ac:dyDescent="0.3">
      <c r="A39" s="5">
        <v>214</v>
      </c>
      <c r="B39" s="5">
        <v>411</v>
      </c>
      <c r="C39">
        <f t="shared" si="0"/>
        <v>-197</v>
      </c>
      <c r="D39" s="5">
        <v>26455</v>
      </c>
      <c r="E39" s="15">
        <f t="shared" si="1"/>
        <v>8.5932221904422137E-2</v>
      </c>
    </row>
    <row r="40" spans="1:5" x14ac:dyDescent="0.3">
      <c r="A40" s="5">
        <v>826</v>
      </c>
      <c r="B40" s="5">
        <v>498</v>
      </c>
      <c r="C40">
        <f t="shared" si="0"/>
        <v>328</v>
      </c>
      <c r="D40" s="5">
        <v>12384</v>
      </c>
      <c r="E40" s="15">
        <f t="shared" si="1"/>
        <v>8.5932221904422137E-2</v>
      </c>
    </row>
    <row r="41" spans="1:5" x14ac:dyDescent="0.3">
      <c r="A41" s="5">
        <v>460</v>
      </c>
      <c r="B41" s="5">
        <v>141</v>
      </c>
      <c r="C41">
        <f t="shared" si="0"/>
        <v>319</v>
      </c>
      <c r="D41" s="5">
        <v>49372</v>
      </c>
      <c r="E41" s="15">
        <f t="shared" si="1"/>
        <v>8.5932221904422137E-2</v>
      </c>
    </row>
    <row r="42" spans="1:5" x14ac:dyDescent="0.3">
      <c r="A42" s="5">
        <v>1528</v>
      </c>
      <c r="B42" s="5">
        <v>203</v>
      </c>
      <c r="C42">
        <f t="shared" si="0"/>
        <v>1325</v>
      </c>
      <c r="D42" s="5">
        <v>47101</v>
      </c>
      <c r="E42" s="15">
        <f t="shared" si="1"/>
        <v>8.5932221904422137E-2</v>
      </c>
    </row>
    <row r="43" spans="1:5" x14ac:dyDescent="0.3">
      <c r="A43" s="5">
        <v>1534</v>
      </c>
      <c r="B43" s="5">
        <v>200</v>
      </c>
      <c r="C43">
        <f t="shared" si="0"/>
        <v>1334</v>
      </c>
      <c r="D43" s="5">
        <v>37903</v>
      </c>
      <c r="E43" s="15">
        <f t="shared" si="1"/>
        <v>8.5932221904422137E-2</v>
      </c>
    </row>
    <row r="44" spans="1:5" x14ac:dyDescent="0.3">
      <c r="A44" s="5">
        <v>485</v>
      </c>
      <c r="B44" s="5">
        <v>448</v>
      </c>
      <c r="C44">
        <f t="shared" si="0"/>
        <v>37</v>
      </c>
      <c r="D44" s="5">
        <v>33258</v>
      </c>
      <c r="E44" s="15">
        <f t="shared" si="1"/>
        <v>8.5932221904422137E-2</v>
      </c>
    </row>
    <row r="45" spans="1:5" x14ac:dyDescent="0.3">
      <c r="A45" s="5">
        <v>1210</v>
      </c>
      <c r="B45" s="5">
        <v>178</v>
      </c>
      <c r="C45">
        <f t="shared" si="0"/>
        <v>1032</v>
      </c>
      <c r="D45" s="5">
        <v>6915</v>
      </c>
      <c r="E45" s="15">
        <f t="shared" si="1"/>
        <v>8.5932221904422137E-2</v>
      </c>
    </row>
    <row r="46" spans="1:5" x14ac:dyDescent="0.3">
      <c r="A46" s="5">
        <v>215</v>
      </c>
      <c r="B46" s="5">
        <v>139</v>
      </c>
      <c r="C46">
        <f t="shared" si="0"/>
        <v>76</v>
      </c>
      <c r="D46" s="5">
        <v>35501</v>
      </c>
      <c r="E46" s="15">
        <f t="shared" si="1"/>
        <v>8.5932221904422137E-2</v>
      </c>
    </row>
    <row r="47" spans="1:5" x14ac:dyDescent="0.3">
      <c r="A47" s="5">
        <v>1078</v>
      </c>
      <c r="B47" s="5">
        <v>20</v>
      </c>
      <c r="C47">
        <f t="shared" si="0"/>
        <v>1058</v>
      </c>
      <c r="D47" s="5">
        <v>14203</v>
      </c>
      <c r="E47" s="15">
        <f t="shared" si="1"/>
        <v>8.5932221904422137E-2</v>
      </c>
    </row>
    <row r="48" spans="1:5" x14ac:dyDescent="0.3">
      <c r="A48" s="5">
        <v>1751</v>
      </c>
      <c r="B48" s="5">
        <v>86</v>
      </c>
      <c r="C48">
        <f t="shared" si="0"/>
        <v>1665</v>
      </c>
      <c r="D48" s="5">
        <v>22206</v>
      </c>
      <c r="E48" s="15">
        <f t="shared" si="1"/>
        <v>8.5932221904422137E-2</v>
      </c>
    </row>
    <row r="49" spans="1:5" x14ac:dyDescent="0.3">
      <c r="A49" s="5">
        <v>221</v>
      </c>
      <c r="B49" s="5">
        <v>31</v>
      </c>
      <c r="C49">
        <f t="shared" si="0"/>
        <v>190</v>
      </c>
      <c r="D49" s="5">
        <v>10283</v>
      </c>
      <c r="E49" s="15">
        <f t="shared" si="1"/>
        <v>8.5932221904422137E-2</v>
      </c>
    </row>
    <row r="50" spans="1:5" x14ac:dyDescent="0.3">
      <c r="A50" s="5">
        <v>1685</v>
      </c>
      <c r="B50" s="5">
        <v>76</v>
      </c>
      <c r="C50">
        <f t="shared" si="0"/>
        <v>1609</v>
      </c>
      <c r="D50" s="5">
        <v>24913</v>
      </c>
      <c r="E50" s="15">
        <f t="shared" si="1"/>
        <v>8.5932221904422137E-2</v>
      </c>
    </row>
    <row r="51" spans="1:5" x14ac:dyDescent="0.3">
      <c r="A51" s="5">
        <v>248</v>
      </c>
      <c r="B51" s="5">
        <v>211</v>
      </c>
      <c r="C51">
        <f t="shared" si="0"/>
        <v>37</v>
      </c>
      <c r="D51" s="5">
        <v>26925</v>
      </c>
      <c r="E51" s="15">
        <f t="shared" si="1"/>
        <v>8.5932221904422137E-2</v>
      </c>
    </row>
    <row r="52" spans="1:5" x14ac:dyDescent="0.3">
      <c r="A52" s="5">
        <v>1300</v>
      </c>
      <c r="B52" s="5">
        <v>71</v>
      </c>
      <c r="C52">
        <f t="shared" si="0"/>
        <v>1229</v>
      </c>
      <c r="D52" s="5">
        <v>9942</v>
      </c>
      <c r="E52" s="15">
        <f t="shared" si="1"/>
        <v>8.5932221904422137E-2</v>
      </c>
    </row>
    <row r="53" spans="1:5" x14ac:dyDescent="0.3">
      <c r="A53" s="5">
        <v>422</v>
      </c>
      <c r="B53" s="5">
        <v>394</v>
      </c>
      <c r="C53">
        <f t="shared" si="0"/>
        <v>28</v>
      </c>
      <c r="D53" s="5">
        <v>32929</v>
      </c>
      <c r="E53" s="15">
        <f t="shared" si="1"/>
        <v>8.5932221904422137E-2</v>
      </c>
    </row>
    <row r="54" spans="1:5" x14ac:dyDescent="0.3">
      <c r="A54" s="5">
        <v>1429</v>
      </c>
      <c r="B54" s="5">
        <v>182</v>
      </c>
      <c r="C54">
        <f t="shared" si="0"/>
        <v>1247</v>
      </c>
      <c r="D54" s="5">
        <v>37829</v>
      </c>
      <c r="E54" s="15">
        <f t="shared" si="1"/>
        <v>8.5932221904422137E-2</v>
      </c>
    </row>
    <row r="55" spans="1:5" x14ac:dyDescent="0.3">
      <c r="A55" s="5">
        <v>1520</v>
      </c>
      <c r="B55" s="5">
        <v>475</v>
      </c>
      <c r="C55">
        <f t="shared" si="0"/>
        <v>1045</v>
      </c>
      <c r="D55" s="5">
        <v>24384</v>
      </c>
      <c r="E55" s="15">
        <f t="shared" si="1"/>
        <v>8.5932221904422137E-2</v>
      </c>
    </row>
    <row r="56" spans="1:5" x14ac:dyDescent="0.3">
      <c r="A56" s="5">
        <v>557</v>
      </c>
      <c r="B56" s="5">
        <v>360</v>
      </c>
      <c r="C56">
        <f t="shared" si="0"/>
        <v>197</v>
      </c>
      <c r="D56" s="5">
        <v>25797</v>
      </c>
      <c r="E56" s="15">
        <f t="shared" si="1"/>
        <v>8.5932221904422137E-2</v>
      </c>
    </row>
    <row r="57" spans="1:5" x14ac:dyDescent="0.3">
      <c r="A57" s="5">
        <v>728</v>
      </c>
      <c r="B57" s="5">
        <v>395</v>
      </c>
      <c r="C57">
        <f t="shared" si="0"/>
        <v>333</v>
      </c>
      <c r="D57" s="5">
        <v>12646</v>
      </c>
      <c r="E57" s="15">
        <f t="shared" si="1"/>
        <v>8.5932221904422137E-2</v>
      </c>
    </row>
    <row r="58" spans="1:5" x14ac:dyDescent="0.3">
      <c r="A58" s="5">
        <v>1592</v>
      </c>
      <c r="B58" s="5">
        <v>20</v>
      </c>
      <c r="C58">
        <f t="shared" si="0"/>
        <v>1572</v>
      </c>
      <c r="D58" s="5">
        <v>26663</v>
      </c>
      <c r="E58" s="15">
        <f t="shared" si="1"/>
        <v>8.5932221904422137E-2</v>
      </c>
    </row>
    <row r="59" spans="1:5" x14ac:dyDescent="0.3">
      <c r="A59" s="5">
        <v>1842</v>
      </c>
      <c r="B59" s="5">
        <v>414</v>
      </c>
      <c r="C59">
        <f t="shared" si="0"/>
        <v>1428</v>
      </c>
      <c r="D59" s="5">
        <v>40478</v>
      </c>
      <c r="E59" s="15">
        <f t="shared" si="1"/>
        <v>8.5932221904422137E-2</v>
      </c>
    </row>
    <row r="60" spans="1:5" x14ac:dyDescent="0.3">
      <c r="A60" s="5">
        <v>751</v>
      </c>
      <c r="B60" s="5">
        <v>491</v>
      </c>
      <c r="C60">
        <f t="shared" si="0"/>
        <v>260</v>
      </c>
      <c r="D60" s="5">
        <v>15476</v>
      </c>
      <c r="E60" s="15">
        <f t="shared" si="1"/>
        <v>8.5932221904422137E-2</v>
      </c>
    </row>
    <row r="61" spans="1:5" x14ac:dyDescent="0.3">
      <c r="A61" s="5">
        <v>1409</v>
      </c>
      <c r="B61" s="5">
        <v>309</v>
      </c>
      <c r="C61">
        <f t="shared" si="0"/>
        <v>1100</v>
      </c>
      <c r="D61" s="5">
        <v>10217</v>
      </c>
      <c r="E61" s="15">
        <f t="shared" si="1"/>
        <v>8.5932221904422137E-2</v>
      </c>
    </row>
    <row r="62" spans="1:5" x14ac:dyDescent="0.3">
      <c r="A62" s="5">
        <v>778</v>
      </c>
      <c r="B62" s="5">
        <v>401</v>
      </c>
      <c r="C62">
        <f t="shared" si="0"/>
        <v>377</v>
      </c>
      <c r="D62" s="5">
        <v>21939</v>
      </c>
      <c r="E62" s="15">
        <f t="shared" si="1"/>
        <v>8.5932221904422137E-2</v>
      </c>
    </row>
    <row r="63" spans="1:5" x14ac:dyDescent="0.3">
      <c r="A63" s="5">
        <v>443</v>
      </c>
      <c r="B63" s="5">
        <v>345</v>
      </c>
      <c r="C63">
        <f t="shared" si="0"/>
        <v>98</v>
      </c>
      <c r="D63" s="5">
        <v>47462</v>
      </c>
      <c r="E63" s="15">
        <f t="shared" si="1"/>
        <v>8.5932221904422137E-2</v>
      </c>
    </row>
    <row r="64" spans="1:5" x14ac:dyDescent="0.3">
      <c r="A64" s="5">
        <v>1472</v>
      </c>
      <c r="B64" s="5">
        <v>347</v>
      </c>
      <c r="C64">
        <f t="shared" si="0"/>
        <v>1125</v>
      </c>
      <c r="D64" s="5">
        <v>30270</v>
      </c>
      <c r="E64" s="15">
        <f t="shared" si="1"/>
        <v>8.5932221904422137E-2</v>
      </c>
    </row>
    <row r="65" spans="1:5" x14ac:dyDescent="0.3">
      <c r="A65" s="5">
        <v>123</v>
      </c>
      <c r="B65" s="5">
        <v>155</v>
      </c>
      <c r="C65">
        <f t="shared" si="0"/>
        <v>-32</v>
      </c>
      <c r="D65" s="5">
        <v>5442</v>
      </c>
      <c r="E65" s="15">
        <f t="shared" si="1"/>
        <v>8.5932221904422137E-2</v>
      </c>
    </row>
    <row r="66" spans="1:5" x14ac:dyDescent="0.3">
      <c r="A66" s="5">
        <v>817</v>
      </c>
      <c r="B66" s="5">
        <v>151</v>
      </c>
      <c r="C66">
        <f t="shared" si="0"/>
        <v>666</v>
      </c>
      <c r="D66" s="5">
        <v>1083</v>
      </c>
      <c r="E66" s="15">
        <f t="shared" si="1"/>
        <v>8.5932221904422137E-2</v>
      </c>
    </row>
    <row r="67" spans="1:5" x14ac:dyDescent="0.3">
      <c r="A67" s="5">
        <v>198</v>
      </c>
      <c r="B67" s="5">
        <v>217</v>
      </c>
      <c r="C67">
        <f t="shared" ref="C67:C130" si="2">(A67-B67)</f>
        <v>-19</v>
      </c>
      <c r="D67" s="5">
        <v>11901</v>
      </c>
      <c r="E67" s="15">
        <f t="shared" ref="E67:E130" si="3">CORREL($D$2:$D$201,$C$2:$C$201)</f>
        <v>8.5932221904422137E-2</v>
      </c>
    </row>
    <row r="68" spans="1:5" x14ac:dyDescent="0.3">
      <c r="A68" s="5">
        <v>1911</v>
      </c>
      <c r="B68" s="5">
        <v>231</v>
      </c>
      <c r="C68">
        <f t="shared" si="2"/>
        <v>1680</v>
      </c>
      <c r="D68" s="5">
        <v>24018</v>
      </c>
      <c r="E68" s="15">
        <f t="shared" si="3"/>
        <v>8.5932221904422137E-2</v>
      </c>
    </row>
    <row r="69" spans="1:5" x14ac:dyDescent="0.3">
      <c r="A69" s="5">
        <v>1218</v>
      </c>
      <c r="B69" s="5">
        <v>212</v>
      </c>
      <c r="C69">
        <f t="shared" si="2"/>
        <v>1006</v>
      </c>
      <c r="D69" s="5">
        <v>38883</v>
      </c>
      <c r="E69" s="15">
        <f t="shared" si="3"/>
        <v>8.5932221904422137E-2</v>
      </c>
    </row>
    <row r="70" spans="1:5" x14ac:dyDescent="0.3">
      <c r="A70" s="5">
        <v>1433</v>
      </c>
      <c r="B70" s="5">
        <v>408</v>
      </c>
      <c r="C70">
        <f t="shared" si="2"/>
        <v>1025</v>
      </c>
      <c r="D70" s="5">
        <v>30575</v>
      </c>
      <c r="E70" s="15">
        <f t="shared" si="3"/>
        <v>8.5932221904422137E-2</v>
      </c>
    </row>
    <row r="71" spans="1:5" x14ac:dyDescent="0.3">
      <c r="A71" s="5">
        <v>250</v>
      </c>
      <c r="B71" s="5">
        <v>429</v>
      </c>
      <c r="C71">
        <f t="shared" si="2"/>
        <v>-179</v>
      </c>
      <c r="D71" s="5">
        <v>2315</v>
      </c>
      <c r="E71" s="15">
        <f t="shared" si="3"/>
        <v>8.5932221904422137E-2</v>
      </c>
    </row>
    <row r="72" spans="1:5" x14ac:dyDescent="0.3">
      <c r="A72" s="5">
        <v>752</v>
      </c>
      <c r="B72" s="5">
        <v>153</v>
      </c>
      <c r="C72">
        <f t="shared" si="2"/>
        <v>599</v>
      </c>
      <c r="D72" s="5">
        <v>12148</v>
      </c>
      <c r="E72" s="15">
        <f t="shared" si="3"/>
        <v>8.5932221904422137E-2</v>
      </c>
    </row>
    <row r="73" spans="1:5" x14ac:dyDescent="0.3">
      <c r="A73" s="5">
        <v>1918</v>
      </c>
      <c r="B73" s="5">
        <v>212</v>
      </c>
      <c r="C73">
        <f t="shared" si="2"/>
        <v>1706</v>
      </c>
      <c r="D73" s="5">
        <v>36851</v>
      </c>
      <c r="E73" s="15">
        <f t="shared" si="3"/>
        <v>8.5932221904422137E-2</v>
      </c>
    </row>
    <row r="74" spans="1:5" x14ac:dyDescent="0.3">
      <c r="A74" s="5">
        <v>1939</v>
      </c>
      <c r="B74" s="5">
        <v>67</v>
      </c>
      <c r="C74">
        <f t="shared" si="2"/>
        <v>1872</v>
      </c>
      <c r="D74" s="5">
        <v>41215</v>
      </c>
      <c r="E74" s="15">
        <f t="shared" si="3"/>
        <v>8.5932221904422137E-2</v>
      </c>
    </row>
    <row r="75" spans="1:5" x14ac:dyDescent="0.3">
      <c r="A75" s="5">
        <v>1929</v>
      </c>
      <c r="B75" s="5">
        <v>267</v>
      </c>
      <c r="C75">
        <f t="shared" si="2"/>
        <v>1662</v>
      </c>
      <c r="D75" s="5">
        <v>43836</v>
      </c>
      <c r="E75" s="15">
        <f t="shared" si="3"/>
        <v>8.5932221904422137E-2</v>
      </c>
    </row>
    <row r="76" spans="1:5" x14ac:dyDescent="0.3">
      <c r="A76" s="5">
        <v>437</v>
      </c>
      <c r="B76" s="5">
        <v>330</v>
      </c>
      <c r="C76">
        <f t="shared" si="2"/>
        <v>107</v>
      </c>
      <c r="D76" s="5">
        <v>4509</v>
      </c>
      <c r="E76" s="15">
        <f t="shared" si="3"/>
        <v>8.5932221904422137E-2</v>
      </c>
    </row>
    <row r="77" spans="1:5" x14ac:dyDescent="0.3">
      <c r="A77" s="5">
        <v>307</v>
      </c>
      <c r="B77" s="5">
        <v>189</v>
      </c>
      <c r="C77">
        <f t="shared" si="2"/>
        <v>118</v>
      </c>
      <c r="D77" s="5">
        <v>27822</v>
      </c>
      <c r="E77" s="15">
        <f t="shared" si="3"/>
        <v>8.5932221904422137E-2</v>
      </c>
    </row>
    <row r="78" spans="1:5" x14ac:dyDescent="0.3">
      <c r="A78" s="5">
        <v>1527</v>
      </c>
      <c r="B78" s="5">
        <v>303</v>
      </c>
      <c r="C78">
        <f t="shared" si="2"/>
        <v>1224</v>
      </c>
      <c r="D78" s="5">
        <v>36397</v>
      </c>
      <c r="E78" s="15">
        <f t="shared" si="3"/>
        <v>8.5932221904422137E-2</v>
      </c>
    </row>
    <row r="79" spans="1:5" x14ac:dyDescent="0.3">
      <c r="A79" s="5">
        <v>643</v>
      </c>
      <c r="B79" s="5">
        <v>358</v>
      </c>
      <c r="C79">
        <f t="shared" si="2"/>
        <v>285</v>
      </c>
      <c r="D79" s="5">
        <v>7285</v>
      </c>
      <c r="E79" s="15">
        <f t="shared" si="3"/>
        <v>8.5932221904422137E-2</v>
      </c>
    </row>
    <row r="80" spans="1:5" x14ac:dyDescent="0.3">
      <c r="A80" s="5">
        <v>201</v>
      </c>
      <c r="B80" s="5">
        <v>221</v>
      </c>
      <c r="C80">
        <f t="shared" si="2"/>
        <v>-20</v>
      </c>
      <c r="D80" s="5">
        <v>33174</v>
      </c>
      <c r="E80" s="15">
        <f t="shared" si="3"/>
        <v>8.5932221904422137E-2</v>
      </c>
    </row>
    <row r="81" spans="1:5" x14ac:dyDescent="0.3">
      <c r="A81" s="5">
        <v>414</v>
      </c>
      <c r="B81" s="5">
        <v>47</v>
      </c>
      <c r="C81">
        <f t="shared" si="2"/>
        <v>367</v>
      </c>
      <c r="D81" s="5">
        <v>6742</v>
      </c>
      <c r="E81" s="15">
        <f t="shared" si="3"/>
        <v>8.5932221904422137E-2</v>
      </c>
    </row>
    <row r="82" spans="1:5" x14ac:dyDescent="0.3">
      <c r="A82" s="5">
        <v>703</v>
      </c>
      <c r="B82" s="5">
        <v>441</v>
      </c>
      <c r="C82">
        <f t="shared" si="2"/>
        <v>262</v>
      </c>
      <c r="D82" s="5">
        <v>32478</v>
      </c>
      <c r="E82" s="15">
        <f t="shared" si="3"/>
        <v>8.5932221904422137E-2</v>
      </c>
    </row>
    <row r="83" spans="1:5" x14ac:dyDescent="0.3">
      <c r="A83" s="5">
        <v>508</v>
      </c>
      <c r="B83" s="5">
        <v>69</v>
      </c>
      <c r="C83">
        <f t="shared" si="2"/>
        <v>439</v>
      </c>
      <c r="D83" s="5">
        <v>42824</v>
      </c>
      <c r="E83" s="15">
        <f t="shared" si="3"/>
        <v>8.5932221904422137E-2</v>
      </c>
    </row>
    <row r="84" spans="1:5" x14ac:dyDescent="0.3">
      <c r="A84" s="5">
        <v>697</v>
      </c>
      <c r="B84" s="5">
        <v>61</v>
      </c>
      <c r="C84">
        <f t="shared" si="2"/>
        <v>636</v>
      </c>
      <c r="D84" s="5">
        <v>21208</v>
      </c>
      <c r="E84" s="15">
        <f t="shared" si="3"/>
        <v>8.5932221904422137E-2</v>
      </c>
    </row>
    <row r="85" spans="1:5" x14ac:dyDescent="0.3">
      <c r="A85" s="5">
        <v>1707</v>
      </c>
      <c r="B85" s="5">
        <v>223</v>
      </c>
      <c r="C85">
        <f t="shared" si="2"/>
        <v>1484</v>
      </c>
      <c r="D85" s="5">
        <v>44321</v>
      </c>
      <c r="E85" s="15">
        <f t="shared" si="3"/>
        <v>8.5932221904422137E-2</v>
      </c>
    </row>
    <row r="86" spans="1:5" x14ac:dyDescent="0.3">
      <c r="A86" s="5">
        <v>642</v>
      </c>
      <c r="B86" s="5">
        <v>66</v>
      </c>
      <c r="C86">
        <f t="shared" si="2"/>
        <v>576</v>
      </c>
      <c r="D86" s="5">
        <v>13116</v>
      </c>
      <c r="E86" s="15">
        <f t="shared" si="3"/>
        <v>8.5932221904422137E-2</v>
      </c>
    </row>
    <row r="87" spans="1:5" x14ac:dyDescent="0.3">
      <c r="A87" s="5">
        <v>859</v>
      </c>
      <c r="B87" s="5">
        <v>473</v>
      </c>
      <c r="C87">
        <f t="shared" si="2"/>
        <v>386</v>
      </c>
      <c r="D87" s="5">
        <v>30214</v>
      </c>
      <c r="E87" s="15">
        <f t="shared" si="3"/>
        <v>8.5932221904422137E-2</v>
      </c>
    </row>
    <row r="88" spans="1:5" x14ac:dyDescent="0.3">
      <c r="A88" s="5">
        <v>191</v>
      </c>
      <c r="B88" s="5">
        <v>154</v>
      </c>
      <c r="C88">
        <f t="shared" si="2"/>
        <v>37</v>
      </c>
      <c r="D88" s="5">
        <v>15827</v>
      </c>
      <c r="E88" s="15">
        <f t="shared" si="3"/>
        <v>8.5932221904422137E-2</v>
      </c>
    </row>
    <row r="89" spans="1:5" x14ac:dyDescent="0.3">
      <c r="A89" s="5">
        <v>1814</v>
      </c>
      <c r="B89" s="5">
        <v>157</v>
      </c>
      <c r="C89">
        <f t="shared" si="2"/>
        <v>1657</v>
      </c>
      <c r="D89" s="5">
        <v>46643</v>
      </c>
      <c r="E89" s="15">
        <f t="shared" si="3"/>
        <v>8.5932221904422137E-2</v>
      </c>
    </row>
    <row r="90" spans="1:5" x14ac:dyDescent="0.3">
      <c r="A90" s="5">
        <v>1466</v>
      </c>
      <c r="B90" s="5">
        <v>69</v>
      </c>
      <c r="C90">
        <f t="shared" si="2"/>
        <v>1397</v>
      </c>
      <c r="D90" s="5">
        <v>36484</v>
      </c>
      <c r="E90" s="15">
        <f t="shared" si="3"/>
        <v>8.5932221904422137E-2</v>
      </c>
    </row>
    <row r="91" spans="1:5" x14ac:dyDescent="0.3">
      <c r="A91" s="5">
        <v>947</v>
      </c>
      <c r="B91" s="5">
        <v>407</v>
      </c>
      <c r="C91">
        <f t="shared" si="2"/>
        <v>540</v>
      </c>
      <c r="D91" s="5">
        <v>4996</v>
      </c>
      <c r="E91" s="15">
        <f t="shared" si="3"/>
        <v>8.5932221904422137E-2</v>
      </c>
    </row>
    <row r="92" spans="1:5" x14ac:dyDescent="0.3">
      <c r="A92" s="5">
        <v>1821</v>
      </c>
      <c r="B92" s="5">
        <v>218</v>
      </c>
      <c r="C92">
        <f t="shared" si="2"/>
        <v>1603</v>
      </c>
      <c r="D92" s="5">
        <v>36095</v>
      </c>
      <c r="E92" s="15">
        <f t="shared" si="3"/>
        <v>8.5932221904422137E-2</v>
      </c>
    </row>
    <row r="93" spans="1:5" x14ac:dyDescent="0.3">
      <c r="A93" s="5">
        <v>1507</v>
      </c>
      <c r="B93" s="5">
        <v>463</v>
      </c>
      <c r="C93">
        <f t="shared" si="2"/>
        <v>1044</v>
      </c>
      <c r="D93" s="5">
        <v>16443</v>
      </c>
      <c r="E93" s="15">
        <f t="shared" si="3"/>
        <v>8.5932221904422137E-2</v>
      </c>
    </row>
    <row r="94" spans="1:5" x14ac:dyDescent="0.3">
      <c r="A94" s="5">
        <v>1075</v>
      </c>
      <c r="B94" s="5">
        <v>173</v>
      </c>
      <c r="C94">
        <f t="shared" si="2"/>
        <v>902</v>
      </c>
      <c r="D94" s="5">
        <v>47812</v>
      </c>
      <c r="E94" s="15">
        <f t="shared" si="3"/>
        <v>8.5932221904422137E-2</v>
      </c>
    </row>
    <row r="95" spans="1:5" x14ac:dyDescent="0.3">
      <c r="A95" s="5">
        <v>171</v>
      </c>
      <c r="B95" s="5">
        <v>277</v>
      </c>
      <c r="C95">
        <f t="shared" si="2"/>
        <v>-106</v>
      </c>
      <c r="D95" s="5">
        <v>38452</v>
      </c>
      <c r="E95" s="15">
        <f t="shared" si="3"/>
        <v>8.5932221904422137E-2</v>
      </c>
    </row>
    <row r="96" spans="1:5" x14ac:dyDescent="0.3">
      <c r="A96" s="5">
        <v>1487</v>
      </c>
      <c r="B96" s="5">
        <v>337</v>
      </c>
      <c r="C96">
        <f t="shared" si="2"/>
        <v>1150</v>
      </c>
      <c r="D96" s="5">
        <v>30428</v>
      </c>
      <c r="E96" s="15">
        <f t="shared" si="3"/>
        <v>8.5932221904422137E-2</v>
      </c>
    </row>
    <row r="97" spans="1:5" x14ac:dyDescent="0.3">
      <c r="A97" s="5">
        <v>454</v>
      </c>
      <c r="B97" s="5">
        <v>105</v>
      </c>
      <c r="C97">
        <f t="shared" si="2"/>
        <v>349</v>
      </c>
      <c r="D97" s="5">
        <v>9269</v>
      </c>
      <c r="E97" s="15">
        <f t="shared" si="3"/>
        <v>8.5932221904422137E-2</v>
      </c>
    </row>
    <row r="98" spans="1:5" x14ac:dyDescent="0.3">
      <c r="A98" s="5">
        <v>187</v>
      </c>
      <c r="B98" s="5">
        <v>236</v>
      </c>
      <c r="C98">
        <f t="shared" si="2"/>
        <v>-49</v>
      </c>
      <c r="D98" s="5">
        <v>29533</v>
      </c>
      <c r="E98" s="15">
        <f t="shared" si="3"/>
        <v>8.5932221904422137E-2</v>
      </c>
    </row>
    <row r="99" spans="1:5" x14ac:dyDescent="0.3">
      <c r="A99" s="5">
        <v>513</v>
      </c>
      <c r="B99" s="5">
        <v>441</v>
      </c>
      <c r="C99">
        <f t="shared" si="2"/>
        <v>72</v>
      </c>
      <c r="D99" s="5">
        <v>39997</v>
      </c>
      <c r="E99" s="15">
        <f t="shared" si="3"/>
        <v>8.5932221904422137E-2</v>
      </c>
    </row>
    <row r="100" spans="1:5" x14ac:dyDescent="0.3">
      <c r="A100" s="5">
        <v>628</v>
      </c>
      <c r="B100" s="5">
        <v>183</v>
      </c>
      <c r="C100">
        <f t="shared" si="2"/>
        <v>445</v>
      </c>
      <c r="D100" s="5">
        <v>5391</v>
      </c>
      <c r="E100" s="15">
        <f t="shared" si="3"/>
        <v>8.5932221904422137E-2</v>
      </c>
    </row>
    <row r="101" spans="1:5" x14ac:dyDescent="0.3">
      <c r="A101" s="5">
        <v>278</v>
      </c>
      <c r="B101" s="5">
        <v>218</v>
      </c>
      <c r="C101">
        <f t="shared" si="2"/>
        <v>60</v>
      </c>
      <c r="D101" s="5">
        <v>22373</v>
      </c>
      <c r="E101" s="15">
        <f t="shared" si="3"/>
        <v>8.5932221904422137E-2</v>
      </c>
    </row>
    <row r="102" spans="1:5" x14ac:dyDescent="0.3">
      <c r="A102" s="5">
        <v>1854</v>
      </c>
      <c r="B102" s="5">
        <v>161</v>
      </c>
      <c r="C102">
        <f t="shared" si="2"/>
        <v>1693</v>
      </c>
      <c r="D102" s="5">
        <v>1810</v>
      </c>
      <c r="E102" s="15">
        <f t="shared" si="3"/>
        <v>8.5932221904422137E-2</v>
      </c>
    </row>
    <row r="103" spans="1:5" x14ac:dyDescent="0.3">
      <c r="A103" s="5">
        <v>1710</v>
      </c>
      <c r="B103" s="5">
        <v>378</v>
      </c>
      <c r="C103">
        <f t="shared" si="2"/>
        <v>1332</v>
      </c>
      <c r="D103" s="5">
        <v>28498</v>
      </c>
      <c r="E103" s="15">
        <f t="shared" si="3"/>
        <v>8.5932221904422137E-2</v>
      </c>
    </row>
    <row r="104" spans="1:5" x14ac:dyDescent="0.3">
      <c r="A104" s="5">
        <v>330</v>
      </c>
      <c r="B104" s="5">
        <v>232</v>
      </c>
      <c r="C104">
        <f t="shared" si="2"/>
        <v>98</v>
      </c>
      <c r="D104" s="5">
        <v>39530</v>
      </c>
      <c r="E104" s="15">
        <f t="shared" si="3"/>
        <v>8.5932221904422137E-2</v>
      </c>
    </row>
    <row r="105" spans="1:5" x14ac:dyDescent="0.3">
      <c r="A105" s="5">
        <v>1293</v>
      </c>
      <c r="B105" s="5">
        <v>408</v>
      </c>
      <c r="C105">
        <f t="shared" si="2"/>
        <v>885</v>
      </c>
      <c r="D105" s="5">
        <v>37876</v>
      </c>
      <c r="E105" s="15">
        <f t="shared" si="3"/>
        <v>8.5932221904422137E-2</v>
      </c>
    </row>
    <row r="106" spans="1:5" x14ac:dyDescent="0.3">
      <c r="A106" s="5">
        <v>1696</v>
      </c>
      <c r="B106" s="5">
        <v>71</v>
      </c>
      <c r="C106">
        <f t="shared" si="2"/>
        <v>1625</v>
      </c>
      <c r="D106" s="5">
        <v>36103</v>
      </c>
      <c r="E106" s="15">
        <f t="shared" si="3"/>
        <v>8.5932221904422137E-2</v>
      </c>
    </row>
    <row r="107" spans="1:5" x14ac:dyDescent="0.3">
      <c r="A107" s="5">
        <v>1902</v>
      </c>
      <c r="B107" s="5">
        <v>196</v>
      </c>
      <c r="C107">
        <f t="shared" si="2"/>
        <v>1706</v>
      </c>
      <c r="D107" s="5">
        <v>26103</v>
      </c>
      <c r="E107" s="15">
        <f t="shared" si="3"/>
        <v>8.5932221904422137E-2</v>
      </c>
    </row>
    <row r="108" spans="1:5" x14ac:dyDescent="0.3">
      <c r="A108" s="5">
        <v>1441</v>
      </c>
      <c r="B108" s="5">
        <v>268</v>
      </c>
      <c r="C108">
        <f t="shared" si="2"/>
        <v>1173</v>
      </c>
      <c r="D108" s="5">
        <v>3455</v>
      </c>
      <c r="E108" s="15">
        <f t="shared" si="3"/>
        <v>8.5932221904422137E-2</v>
      </c>
    </row>
    <row r="109" spans="1:5" x14ac:dyDescent="0.3">
      <c r="A109" s="5">
        <v>452</v>
      </c>
      <c r="B109" s="5">
        <v>161</v>
      </c>
      <c r="C109">
        <f t="shared" si="2"/>
        <v>291</v>
      </c>
      <c r="D109" s="5">
        <v>40888</v>
      </c>
      <c r="E109" s="15">
        <f t="shared" si="3"/>
        <v>8.5932221904422137E-2</v>
      </c>
    </row>
    <row r="110" spans="1:5" x14ac:dyDescent="0.3">
      <c r="A110" s="5">
        <v>1494</v>
      </c>
      <c r="B110" s="5">
        <v>375</v>
      </c>
      <c r="C110">
        <f t="shared" si="2"/>
        <v>1119</v>
      </c>
      <c r="D110" s="5">
        <v>22724</v>
      </c>
      <c r="E110" s="15">
        <f t="shared" si="3"/>
        <v>8.5932221904422137E-2</v>
      </c>
    </row>
    <row r="111" spans="1:5" x14ac:dyDescent="0.3">
      <c r="A111" s="5">
        <v>1514</v>
      </c>
      <c r="B111" s="5">
        <v>141</v>
      </c>
      <c r="C111">
        <f t="shared" si="2"/>
        <v>1373</v>
      </c>
      <c r="D111" s="5">
        <v>18601</v>
      </c>
      <c r="E111" s="15">
        <f t="shared" si="3"/>
        <v>8.5932221904422137E-2</v>
      </c>
    </row>
    <row r="112" spans="1:5" x14ac:dyDescent="0.3">
      <c r="A112" s="5">
        <v>1937</v>
      </c>
      <c r="B112" s="5">
        <v>210</v>
      </c>
      <c r="C112">
        <f t="shared" si="2"/>
        <v>1727</v>
      </c>
      <c r="D112" s="5">
        <v>20861</v>
      </c>
      <c r="E112" s="15">
        <f t="shared" si="3"/>
        <v>8.5932221904422137E-2</v>
      </c>
    </row>
    <row r="113" spans="1:5" x14ac:dyDescent="0.3">
      <c r="A113" s="5">
        <v>736</v>
      </c>
      <c r="B113" s="5">
        <v>163</v>
      </c>
      <c r="C113">
        <f t="shared" si="2"/>
        <v>573</v>
      </c>
      <c r="D113" s="5">
        <v>46625</v>
      </c>
      <c r="E113" s="15">
        <f t="shared" si="3"/>
        <v>8.5932221904422137E-2</v>
      </c>
    </row>
    <row r="114" spans="1:5" x14ac:dyDescent="0.3">
      <c r="A114" s="5">
        <v>1502</v>
      </c>
      <c r="B114" s="5">
        <v>70</v>
      </c>
      <c r="C114">
        <f t="shared" si="2"/>
        <v>1432</v>
      </c>
      <c r="D114" s="5">
        <v>20692</v>
      </c>
      <c r="E114" s="15">
        <f t="shared" si="3"/>
        <v>8.5932221904422137E-2</v>
      </c>
    </row>
    <row r="115" spans="1:5" x14ac:dyDescent="0.3">
      <c r="A115" s="5">
        <v>1623</v>
      </c>
      <c r="B115" s="5">
        <v>246</v>
      </c>
      <c r="C115">
        <f t="shared" si="2"/>
        <v>1377</v>
      </c>
      <c r="D115" s="5">
        <v>18656</v>
      </c>
      <c r="E115" s="15">
        <f t="shared" si="3"/>
        <v>8.5932221904422137E-2</v>
      </c>
    </row>
    <row r="116" spans="1:5" x14ac:dyDescent="0.3">
      <c r="A116" s="5">
        <v>1592</v>
      </c>
      <c r="B116" s="5">
        <v>233</v>
      </c>
      <c r="C116">
        <f t="shared" si="2"/>
        <v>1359</v>
      </c>
      <c r="D116" s="5">
        <v>13316</v>
      </c>
      <c r="E116" s="15">
        <f t="shared" si="3"/>
        <v>8.5932221904422137E-2</v>
      </c>
    </row>
    <row r="117" spans="1:5" x14ac:dyDescent="0.3">
      <c r="A117" s="5">
        <v>1004</v>
      </c>
      <c r="B117" s="5">
        <v>128</v>
      </c>
      <c r="C117">
        <f t="shared" si="2"/>
        <v>876</v>
      </c>
      <c r="D117" s="5">
        <v>49558</v>
      </c>
      <c r="E117" s="15">
        <f t="shared" si="3"/>
        <v>8.5932221904422137E-2</v>
      </c>
    </row>
    <row r="118" spans="1:5" x14ac:dyDescent="0.3">
      <c r="A118" s="5">
        <v>1092</v>
      </c>
      <c r="B118" s="5">
        <v>408</v>
      </c>
      <c r="C118">
        <f t="shared" si="2"/>
        <v>684</v>
      </c>
      <c r="D118" s="5">
        <v>4683</v>
      </c>
      <c r="E118" s="15">
        <f t="shared" si="3"/>
        <v>8.5932221904422137E-2</v>
      </c>
    </row>
    <row r="119" spans="1:5" x14ac:dyDescent="0.3">
      <c r="A119" s="5">
        <v>1155</v>
      </c>
      <c r="B119" s="5">
        <v>425</v>
      </c>
      <c r="C119">
        <f t="shared" si="2"/>
        <v>730</v>
      </c>
      <c r="D119" s="5">
        <v>47502</v>
      </c>
      <c r="E119" s="15">
        <f t="shared" si="3"/>
        <v>8.5932221904422137E-2</v>
      </c>
    </row>
    <row r="120" spans="1:5" x14ac:dyDescent="0.3">
      <c r="A120" s="5">
        <v>1137</v>
      </c>
      <c r="B120" s="5">
        <v>226</v>
      </c>
      <c r="C120">
        <f t="shared" si="2"/>
        <v>911</v>
      </c>
      <c r="D120" s="5">
        <v>35359</v>
      </c>
      <c r="E120" s="15">
        <f t="shared" si="3"/>
        <v>8.5932221904422137E-2</v>
      </c>
    </row>
    <row r="121" spans="1:5" x14ac:dyDescent="0.3">
      <c r="A121" s="5">
        <v>1900</v>
      </c>
      <c r="B121" s="5">
        <v>311</v>
      </c>
      <c r="C121">
        <f t="shared" si="2"/>
        <v>1589</v>
      </c>
      <c r="D121" s="5">
        <v>14154</v>
      </c>
      <c r="E121" s="15">
        <f t="shared" si="3"/>
        <v>8.5932221904422137E-2</v>
      </c>
    </row>
    <row r="122" spans="1:5" x14ac:dyDescent="0.3">
      <c r="A122" s="5">
        <v>1814</v>
      </c>
      <c r="B122" s="5">
        <v>49</v>
      </c>
      <c r="C122">
        <f t="shared" si="2"/>
        <v>1765</v>
      </c>
      <c r="D122" s="5">
        <v>4313</v>
      </c>
      <c r="E122" s="15">
        <f t="shared" si="3"/>
        <v>8.5932221904422137E-2</v>
      </c>
    </row>
    <row r="123" spans="1:5" x14ac:dyDescent="0.3">
      <c r="A123" s="5">
        <v>1980</v>
      </c>
      <c r="B123" s="5">
        <v>204</v>
      </c>
      <c r="C123">
        <f t="shared" si="2"/>
        <v>1776</v>
      </c>
      <c r="D123" s="5">
        <v>25140</v>
      </c>
      <c r="E123" s="15">
        <f t="shared" si="3"/>
        <v>8.5932221904422137E-2</v>
      </c>
    </row>
    <row r="124" spans="1:5" x14ac:dyDescent="0.3">
      <c r="A124" s="5">
        <v>1786</v>
      </c>
      <c r="B124" s="5">
        <v>257</v>
      </c>
      <c r="C124">
        <f t="shared" si="2"/>
        <v>1529</v>
      </c>
      <c r="D124" s="5">
        <v>9118</v>
      </c>
      <c r="E124" s="15">
        <f t="shared" si="3"/>
        <v>8.5932221904422137E-2</v>
      </c>
    </row>
    <row r="125" spans="1:5" x14ac:dyDescent="0.3">
      <c r="A125" s="5">
        <v>1495</v>
      </c>
      <c r="B125" s="5">
        <v>35</v>
      </c>
      <c r="C125">
        <f t="shared" si="2"/>
        <v>1460</v>
      </c>
      <c r="D125" s="5">
        <v>39931</v>
      </c>
      <c r="E125" s="15">
        <f t="shared" si="3"/>
        <v>8.5932221904422137E-2</v>
      </c>
    </row>
    <row r="126" spans="1:5" x14ac:dyDescent="0.3">
      <c r="A126" s="5">
        <v>1013</v>
      </c>
      <c r="B126" s="5">
        <v>110</v>
      </c>
      <c r="C126">
        <f t="shared" si="2"/>
        <v>903</v>
      </c>
      <c r="D126" s="5">
        <v>37132</v>
      </c>
      <c r="E126" s="15">
        <f t="shared" si="3"/>
        <v>8.5932221904422137E-2</v>
      </c>
    </row>
    <row r="127" spans="1:5" x14ac:dyDescent="0.3">
      <c r="A127" s="5">
        <v>816</v>
      </c>
      <c r="B127" s="5">
        <v>196</v>
      </c>
      <c r="C127">
        <f t="shared" si="2"/>
        <v>620</v>
      </c>
      <c r="D127" s="5">
        <v>17951</v>
      </c>
      <c r="E127" s="15">
        <f t="shared" si="3"/>
        <v>8.5932221904422137E-2</v>
      </c>
    </row>
    <row r="128" spans="1:5" x14ac:dyDescent="0.3">
      <c r="A128" s="5">
        <v>1633</v>
      </c>
      <c r="B128" s="5">
        <v>445</v>
      </c>
      <c r="C128">
        <f t="shared" si="2"/>
        <v>1188</v>
      </c>
      <c r="D128" s="5">
        <v>2798</v>
      </c>
      <c r="E128" s="15">
        <f t="shared" si="3"/>
        <v>8.5932221904422137E-2</v>
      </c>
    </row>
    <row r="129" spans="1:5" x14ac:dyDescent="0.3">
      <c r="A129" s="5">
        <v>891</v>
      </c>
      <c r="B129" s="5">
        <v>45</v>
      </c>
      <c r="C129">
        <f t="shared" si="2"/>
        <v>846</v>
      </c>
      <c r="D129" s="5">
        <v>15045</v>
      </c>
      <c r="E129" s="15">
        <f t="shared" si="3"/>
        <v>8.5932221904422137E-2</v>
      </c>
    </row>
    <row r="130" spans="1:5" x14ac:dyDescent="0.3">
      <c r="A130" s="5">
        <v>1855</v>
      </c>
      <c r="B130" s="5">
        <v>133</v>
      </c>
      <c r="C130">
        <f t="shared" si="2"/>
        <v>1722</v>
      </c>
      <c r="D130" s="5">
        <v>14548</v>
      </c>
      <c r="E130" s="15">
        <f t="shared" si="3"/>
        <v>8.5932221904422137E-2</v>
      </c>
    </row>
    <row r="131" spans="1:5" x14ac:dyDescent="0.3">
      <c r="A131" s="5">
        <v>651</v>
      </c>
      <c r="B131" s="5">
        <v>353</v>
      </c>
      <c r="C131">
        <f t="shared" ref="C131:C194" si="4">(A131-B131)</f>
        <v>298</v>
      </c>
      <c r="D131" s="5">
        <v>45708</v>
      </c>
      <c r="E131" s="15">
        <f t="shared" ref="E131:E194" si="5">CORREL($D$2:$D$201,$C$2:$C$201)</f>
        <v>8.5932221904422137E-2</v>
      </c>
    </row>
    <row r="132" spans="1:5" x14ac:dyDescent="0.3">
      <c r="A132" s="5">
        <v>118</v>
      </c>
      <c r="B132" s="5">
        <v>262</v>
      </c>
      <c r="C132">
        <f t="shared" si="4"/>
        <v>-144</v>
      </c>
      <c r="D132" s="5">
        <v>12350</v>
      </c>
      <c r="E132" s="15">
        <f t="shared" si="5"/>
        <v>8.5932221904422137E-2</v>
      </c>
    </row>
    <row r="133" spans="1:5" x14ac:dyDescent="0.3">
      <c r="A133" s="5">
        <v>1331</v>
      </c>
      <c r="B133" s="5">
        <v>430</v>
      </c>
      <c r="C133">
        <f t="shared" si="4"/>
        <v>901</v>
      </c>
      <c r="D133" s="5">
        <v>40868</v>
      </c>
      <c r="E133" s="15">
        <f t="shared" si="5"/>
        <v>8.5932221904422137E-2</v>
      </c>
    </row>
    <row r="134" spans="1:5" x14ac:dyDescent="0.3">
      <c r="A134" s="5">
        <v>1748</v>
      </c>
      <c r="B134" s="5">
        <v>176</v>
      </c>
      <c r="C134">
        <f t="shared" si="4"/>
        <v>1572</v>
      </c>
      <c r="D134" s="5">
        <v>43122</v>
      </c>
      <c r="E134" s="15">
        <f t="shared" si="5"/>
        <v>8.5932221904422137E-2</v>
      </c>
    </row>
    <row r="135" spans="1:5" x14ac:dyDescent="0.3">
      <c r="A135" s="5">
        <v>663</v>
      </c>
      <c r="B135" s="5">
        <v>236</v>
      </c>
      <c r="C135">
        <f t="shared" si="4"/>
        <v>427</v>
      </c>
      <c r="D135" s="5">
        <v>23853</v>
      </c>
      <c r="E135" s="15">
        <f t="shared" si="5"/>
        <v>8.5932221904422137E-2</v>
      </c>
    </row>
    <row r="136" spans="1:5" x14ac:dyDescent="0.3">
      <c r="A136" s="5">
        <v>1040</v>
      </c>
      <c r="B136" s="5">
        <v>149</v>
      </c>
      <c r="C136">
        <f t="shared" si="4"/>
        <v>891</v>
      </c>
      <c r="D136" s="5">
        <v>45380</v>
      </c>
      <c r="E136" s="15">
        <f t="shared" si="5"/>
        <v>8.5932221904422137E-2</v>
      </c>
    </row>
    <row r="137" spans="1:5" x14ac:dyDescent="0.3">
      <c r="A137" s="5">
        <v>1166</v>
      </c>
      <c r="B137" s="5">
        <v>442</v>
      </c>
      <c r="C137">
        <f t="shared" si="4"/>
        <v>724</v>
      </c>
      <c r="D137" s="5">
        <v>7705</v>
      </c>
      <c r="E137" s="15">
        <f t="shared" si="5"/>
        <v>8.5932221904422137E-2</v>
      </c>
    </row>
    <row r="138" spans="1:5" x14ac:dyDescent="0.3">
      <c r="A138" s="5">
        <v>115</v>
      </c>
      <c r="B138" s="5">
        <v>281</v>
      </c>
      <c r="C138">
        <f t="shared" si="4"/>
        <v>-166</v>
      </c>
      <c r="D138" s="5">
        <v>25525</v>
      </c>
      <c r="E138" s="15">
        <f t="shared" si="5"/>
        <v>8.5932221904422137E-2</v>
      </c>
    </row>
    <row r="139" spans="1:5" x14ac:dyDescent="0.3">
      <c r="A139" s="5">
        <v>1249</v>
      </c>
      <c r="B139" s="5">
        <v>351</v>
      </c>
      <c r="C139">
        <f t="shared" si="4"/>
        <v>898</v>
      </c>
      <c r="D139" s="5">
        <v>20560</v>
      </c>
      <c r="E139" s="15">
        <f t="shared" si="5"/>
        <v>8.5932221904422137E-2</v>
      </c>
    </row>
    <row r="140" spans="1:5" x14ac:dyDescent="0.3">
      <c r="A140" s="5">
        <v>1501</v>
      </c>
      <c r="B140" s="5">
        <v>75</v>
      </c>
      <c r="C140">
        <f t="shared" si="4"/>
        <v>1426</v>
      </c>
      <c r="D140" s="5">
        <v>19119</v>
      </c>
      <c r="E140" s="15">
        <f t="shared" si="5"/>
        <v>8.5932221904422137E-2</v>
      </c>
    </row>
    <row r="141" spans="1:5" x14ac:dyDescent="0.3">
      <c r="A141" s="5">
        <v>1411</v>
      </c>
      <c r="B141" s="5">
        <v>186</v>
      </c>
      <c r="C141">
        <f t="shared" si="4"/>
        <v>1225</v>
      </c>
      <c r="D141" s="5">
        <v>43999</v>
      </c>
      <c r="E141" s="15">
        <f t="shared" si="5"/>
        <v>8.5932221904422137E-2</v>
      </c>
    </row>
    <row r="142" spans="1:5" x14ac:dyDescent="0.3">
      <c r="A142" s="5">
        <v>1556</v>
      </c>
      <c r="B142" s="5">
        <v>476</v>
      </c>
      <c r="C142">
        <f t="shared" si="4"/>
        <v>1080</v>
      </c>
      <c r="D142" s="5">
        <v>10825</v>
      </c>
      <c r="E142" s="15">
        <f t="shared" si="5"/>
        <v>8.5932221904422137E-2</v>
      </c>
    </row>
    <row r="143" spans="1:5" x14ac:dyDescent="0.3">
      <c r="A143" s="5">
        <v>1159</v>
      </c>
      <c r="B143" s="5">
        <v>411</v>
      </c>
      <c r="C143">
        <f t="shared" si="4"/>
        <v>748</v>
      </c>
      <c r="D143" s="5">
        <v>40323</v>
      </c>
      <c r="E143" s="15">
        <f t="shared" si="5"/>
        <v>8.5932221904422137E-2</v>
      </c>
    </row>
    <row r="144" spans="1:5" x14ac:dyDescent="0.3">
      <c r="A144" s="5">
        <v>927</v>
      </c>
      <c r="B144" s="5">
        <v>358</v>
      </c>
      <c r="C144">
        <f t="shared" si="4"/>
        <v>569</v>
      </c>
      <c r="D144" s="5">
        <v>48270</v>
      </c>
      <c r="E144" s="15">
        <f t="shared" si="5"/>
        <v>8.5932221904422137E-2</v>
      </c>
    </row>
    <row r="145" spans="1:5" x14ac:dyDescent="0.3">
      <c r="A145" s="5">
        <v>152</v>
      </c>
      <c r="B145" s="5">
        <v>355</v>
      </c>
      <c r="C145">
        <f t="shared" si="4"/>
        <v>-203</v>
      </c>
      <c r="D145" s="5">
        <v>18001</v>
      </c>
      <c r="E145" s="15">
        <f t="shared" si="5"/>
        <v>8.5932221904422137E-2</v>
      </c>
    </row>
    <row r="146" spans="1:5" x14ac:dyDescent="0.3">
      <c r="A146" s="5">
        <v>1957</v>
      </c>
      <c r="B146" s="5">
        <v>234</v>
      </c>
      <c r="C146">
        <f t="shared" si="4"/>
        <v>1723</v>
      </c>
      <c r="D146" s="5">
        <v>3314</v>
      </c>
      <c r="E146" s="15">
        <f t="shared" si="5"/>
        <v>8.5932221904422137E-2</v>
      </c>
    </row>
    <row r="147" spans="1:5" x14ac:dyDescent="0.3">
      <c r="A147" s="5">
        <v>1294</v>
      </c>
      <c r="B147" s="5">
        <v>382</v>
      </c>
      <c r="C147">
        <f t="shared" si="4"/>
        <v>912</v>
      </c>
      <c r="D147" s="5">
        <v>23489</v>
      </c>
      <c r="E147" s="15">
        <f t="shared" si="5"/>
        <v>8.5932221904422137E-2</v>
      </c>
    </row>
    <row r="148" spans="1:5" x14ac:dyDescent="0.3">
      <c r="A148" s="5">
        <v>1587</v>
      </c>
      <c r="B148" s="5">
        <v>385</v>
      </c>
      <c r="C148">
        <f t="shared" si="4"/>
        <v>1202</v>
      </c>
      <c r="D148" s="5">
        <v>42832</v>
      </c>
      <c r="E148" s="15">
        <f t="shared" si="5"/>
        <v>8.5932221904422137E-2</v>
      </c>
    </row>
    <row r="149" spans="1:5" x14ac:dyDescent="0.3">
      <c r="A149" s="5">
        <v>1707</v>
      </c>
      <c r="B149" s="5">
        <v>263</v>
      </c>
      <c r="C149">
        <f t="shared" si="4"/>
        <v>1444</v>
      </c>
      <c r="D149" s="5">
        <v>24494</v>
      </c>
      <c r="E149" s="15">
        <f t="shared" si="5"/>
        <v>8.5932221904422137E-2</v>
      </c>
    </row>
    <row r="150" spans="1:5" x14ac:dyDescent="0.3">
      <c r="A150" s="5">
        <v>1138</v>
      </c>
      <c r="B150" s="5">
        <v>173</v>
      </c>
      <c r="C150">
        <f t="shared" si="4"/>
        <v>965</v>
      </c>
      <c r="D150" s="5">
        <v>44097</v>
      </c>
      <c r="E150" s="15">
        <f t="shared" si="5"/>
        <v>8.5932221904422137E-2</v>
      </c>
    </row>
    <row r="151" spans="1:5" x14ac:dyDescent="0.3">
      <c r="A151" s="5">
        <v>1895</v>
      </c>
      <c r="B151" s="5">
        <v>305</v>
      </c>
      <c r="C151">
        <f t="shared" si="4"/>
        <v>1590</v>
      </c>
      <c r="D151" s="5">
        <v>31853</v>
      </c>
      <c r="E151" s="15">
        <f t="shared" si="5"/>
        <v>8.5932221904422137E-2</v>
      </c>
    </row>
    <row r="152" spans="1:5" x14ac:dyDescent="0.3">
      <c r="A152" s="5">
        <v>362</v>
      </c>
      <c r="B152" s="5">
        <v>399</v>
      </c>
      <c r="C152">
        <f t="shared" si="4"/>
        <v>-37</v>
      </c>
      <c r="D152" s="5">
        <v>37636</v>
      </c>
      <c r="E152" s="15">
        <f t="shared" si="5"/>
        <v>8.5932221904422137E-2</v>
      </c>
    </row>
    <row r="153" spans="1:5" x14ac:dyDescent="0.3">
      <c r="A153" s="5">
        <v>1662</v>
      </c>
      <c r="B153" s="5">
        <v>487</v>
      </c>
      <c r="C153">
        <f t="shared" si="4"/>
        <v>1175</v>
      </c>
      <c r="D153" s="5">
        <v>22996</v>
      </c>
      <c r="E153" s="15">
        <f t="shared" si="5"/>
        <v>8.5932221904422137E-2</v>
      </c>
    </row>
    <row r="154" spans="1:5" x14ac:dyDescent="0.3">
      <c r="A154" s="5">
        <v>1440</v>
      </c>
      <c r="B154" s="5">
        <v>65</v>
      </c>
      <c r="C154">
        <f t="shared" si="4"/>
        <v>1375</v>
      </c>
      <c r="D154" s="5">
        <v>49772</v>
      </c>
      <c r="E154" s="15">
        <f t="shared" si="5"/>
        <v>8.5932221904422137E-2</v>
      </c>
    </row>
    <row r="155" spans="1:5" x14ac:dyDescent="0.3">
      <c r="A155" s="5">
        <v>1884</v>
      </c>
      <c r="B155" s="5">
        <v>177</v>
      </c>
      <c r="C155">
        <f t="shared" si="4"/>
        <v>1707</v>
      </c>
      <c r="D155" s="5">
        <v>22713</v>
      </c>
      <c r="E155" s="15">
        <f t="shared" si="5"/>
        <v>8.5932221904422137E-2</v>
      </c>
    </row>
    <row r="156" spans="1:5" x14ac:dyDescent="0.3">
      <c r="A156" s="5">
        <v>861</v>
      </c>
      <c r="B156" s="5">
        <v>153</v>
      </c>
      <c r="C156">
        <f t="shared" si="4"/>
        <v>708</v>
      </c>
      <c r="D156" s="5">
        <v>8718</v>
      </c>
      <c r="E156" s="15">
        <f t="shared" si="5"/>
        <v>8.5932221904422137E-2</v>
      </c>
    </row>
    <row r="157" spans="1:5" x14ac:dyDescent="0.3">
      <c r="A157" s="5">
        <v>1063</v>
      </c>
      <c r="B157" s="5">
        <v>47</v>
      </c>
      <c r="C157">
        <f t="shared" si="4"/>
        <v>1016</v>
      </c>
      <c r="D157" s="5">
        <v>39031</v>
      </c>
      <c r="E157" s="15">
        <f t="shared" si="5"/>
        <v>8.5932221904422137E-2</v>
      </c>
    </row>
    <row r="158" spans="1:5" x14ac:dyDescent="0.3">
      <c r="A158" s="5">
        <v>1371</v>
      </c>
      <c r="B158" s="5">
        <v>56</v>
      </c>
      <c r="C158">
        <f t="shared" si="4"/>
        <v>1315</v>
      </c>
      <c r="D158" s="5">
        <v>33799</v>
      </c>
      <c r="E158" s="15">
        <f t="shared" si="5"/>
        <v>8.5932221904422137E-2</v>
      </c>
    </row>
    <row r="159" spans="1:5" x14ac:dyDescent="0.3">
      <c r="A159" s="5">
        <v>345</v>
      </c>
      <c r="B159" s="5">
        <v>464</v>
      </c>
      <c r="C159">
        <f t="shared" si="4"/>
        <v>-119</v>
      </c>
      <c r="D159" s="5">
        <v>20553</v>
      </c>
      <c r="E159" s="15">
        <f t="shared" si="5"/>
        <v>8.5932221904422137E-2</v>
      </c>
    </row>
    <row r="160" spans="1:5" x14ac:dyDescent="0.3">
      <c r="A160" s="5">
        <v>946</v>
      </c>
      <c r="B160" s="5">
        <v>47</v>
      </c>
      <c r="C160">
        <f t="shared" si="4"/>
        <v>899</v>
      </c>
      <c r="D160" s="5">
        <v>10002</v>
      </c>
      <c r="E160" s="15">
        <f t="shared" si="5"/>
        <v>8.5932221904422137E-2</v>
      </c>
    </row>
    <row r="161" spans="1:5" x14ac:dyDescent="0.3">
      <c r="A161" s="5">
        <v>510</v>
      </c>
      <c r="B161" s="5">
        <v>195</v>
      </c>
      <c r="C161">
        <f t="shared" si="4"/>
        <v>315</v>
      </c>
      <c r="D161" s="5">
        <v>30987</v>
      </c>
      <c r="E161" s="15">
        <f t="shared" si="5"/>
        <v>8.5932221904422137E-2</v>
      </c>
    </row>
    <row r="162" spans="1:5" x14ac:dyDescent="0.3">
      <c r="A162" s="5">
        <v>393</v>
      </c>
      <c r="B162" s="5">
        <v>181</v>
      </c>
      <c r="C162">
        <f t="shared" si="4"/>
        <v>212</v>
      </c>
      <c r="D162" s="5">
        <v>6296</v>
      </c>
      <c r="E162" s="15">
        <f t="shared" si="5"/>
        <v>8.5932221904422137E-2</v>
      </c>
    </row>
    <row r="163" spans="1:5" x14ac:dyDescent="0.3">
      <c r="A163" s="5">
        <v>1098</v>
      </c>
      <c r="B163" s="5">
        <v>190</v>
      </c>
      <c r="C163">
        <f t="shared" si="4"/>
        <v>908</v>
      </c>
      <c r="D163" s="5">
        <v>21539</v>
      </c>
      <c r="E163" s="15">
        <f t="shared" si="5"/>
        <v>8.5932221904422137E-2</v>
      </c>
    </row>
    <row r="164" spans="1:5" x14ac:dyDescent="0.3">
      <c r="A164" s="5">
        <v>1399</v>
      </c>
      <c r="B164" s="5">
        <v>49</v>
      </c>
      <c r="C164">
        <f t="shared" si="4"/>
        <v>1350</v>
      </c>
      <c r="D164" s="5">
        <v>14722</v>
      </c>
      <c r="E164" s="15">
        <f t="shared" si="5"/>
        <v>8.5932221904422137E-2</v>
      </c>
    </row>
    <row r="165" spans="1:5" x14ac:dyDescent="0.3">
      <c r="A165" s="5">
        <v>1658</v>
      </c>
      <c r="B165" s="5">
        <v>416</v>
      </c>
      <c r="C165">
        <f t="shared" si="4"/>
        <v>1242</v>
      </c>
      <c r="D165" s="5">
        <v>11383</v>
      </c>
      <c r="E165" s="15">
        <f t="shared" si="5"/>
        <v>8.5932221904422137E-2</v>
      </c>
    </row>
    <row r="166" spans="1:5" x14ac:dyDescent="0.3">
      <c r="A166" s="5">
        <v>1102</v>
      </c>
      <c r="B166" s="5">
        <v>422</v>
      </c>
      <c r="C166">
        <f t="shared" si="4"/>
        <v>680</v>
      </c>
      <c r="D166" s="5">
        <v>9480</v>
      </c>
      <c r="E166" s="15">
        <f t="shared" si="5"/>
        <v>8.5932221904422137E-2</v>
      </c>
    </row>
    <row r="167" spans="1:5" x14ac:dyDescent="0.3">
      <c r="A167" s="5">
        <v>1358</v>
      </c>
      <c r="B167" s="5">
        <v>242</v>
      </c>
      <c r="C167">
        <f t="shared" si="4"/>
        <v>1116</v>
      </c>
      <c r="D167" s="5">
        <v>29116</v>
      </c>
      <c r="E167" s="15">
        <f t="shared" si="5"/>
        <v>8.5932221904422137E-2</v>
      </c>
    </row>
    <row r="168" spans="1:5" x14ac:dyDescent="0.3">
      <c r="A168" s="5">
        <v>1077</v>
      </c>
      <c r="B168" s="5">
        <v>216</v>
      </c>
      <c r="C168">
        <f t="shared" si="4"/>
        <v>861</v>
      </c>
      <c r="D168" s="5">
        <v>14068</v>
      </c>
      <c r="E168" s="15">
        <f t="shared" si="5"/>
        <v>8.5932221904422137E-2</v>
      </c>
    </row>
    <row r="169" spans="1:5" x14ac:dyDescent="0.3">
      <c r="A169" s="5">
        <v>1596</v>
      </c>
      <c r="B169" s="5">
        <v>211</v>
      </c>
      <c r="C169">
        <f t="shared" si="4"/>
        <v>1385</v>
      </c>
      <c r="D169" s="5">
        <v>35801</v>
      </c>
      <c r="E169" s="15">
        <f t="shared" si="5"/>
        <v>8.5932221904422137E-2</v>
      </c>
    </row>
    <row r="170" spans="1:5" x14ac:dyDescent="0.3">
      <c r="A170" s="5">
        <v>490</v>
      </c>
      <c r="B170" s="5">
        <v>29</v>
      </c>
      <c r="C170">
        <f t="shared" si="4"/>
        <v>461</v>
      </c>
      <c r="D170" s="5">
        <v>49077</v>
      </c>
      <c r="E170" s="15">
        <f t="shared" si="5"/>
        <v>8.5932221904422137E-2</v>
      </c>
    </row>
    <row r="171" spans="1:5" x14ac:dyDescent="0.3">
      <c r="A171" s="5">
        <v>609</v>
      </c>
      <c r="B171" s="5">
        <v>135</v>
      </c>
      <c r="C171">
        <f t="shared" si="4"/>
        <v>474</v>
      </c>
      <c r="D171" s="5">
        <v>21453</v>
      </c>
      <c r="E171" s="15">
        <f t="shared" si="5"/>
        <v>8.5932221904422137E-2</v>
      </c>
    </row>
    <row r="172" spans="1:5" x14ac:dyDescent="0.3">
      <c r="A172" s="5">
        <v>364</v>
      </c>
      <c r="B172" s="5">
        <v>72</v>
      </c>
      <c r="C172">
        <f t="shared" si="4"/>
        <v>292</v>
      </c>
      <c r="D172" s="5">
        <v>21061</v>
      </c>
      <c r="E172" s="15">
        <f t="shared" si="5"/>
        <v>8.5932221904422137E-2</v>
      </c>
    </row>
    <row r="173" spans="1:5" x14ac:dyDescent="0.3">
      <c r="A173" s="5">
        <v>442</v>
      </c>
      <c r="B173" s="5">
        <v>53</v>
      </c>
      <c r="C173">
        <f t="shared" si="4"/>
        <v>389</v>
      </c>
      <c r="D173" s="5">
        <v>20059</v>
      </c>
      <c r="E173" s="15">
        <f t="shared" si="5"/>
        <v>8.5932221904422137E-2</v>
      </c>
    </row>
    <row r="174" spans="1:5" x14ac:dyDescent="0.3">
      <c r="A174" s="5">
        <v>1033</v>
      </c>
      <c r="B174" s="5">
        <v>392</v>
      </c>
      <c r="C174">
        <f t="shared" si="4"/>
        <v>641</v>
      </c>
      <c r="D174" s="5">
        <v>23140</v>
      </c>
      <c r="E174" s="15">
        <f t="shared" si="5"/>
        <v>8.5932221904422137E-2</v>
      </c>
    </row>
    <row r="175" spans="1:5" x14ac:dyDescent="0.3">
      <c r="A175" s="5">
        <v>988</v>
      </c>
      <c r="B175" s="5">
        <v>474</v>
      </c>
      <c r="C175">
        <f t="shared" si="4"/>
        <v>514</v>
      </c>
      <c r="D175" s="5">
        <v>23461</v>
      </c>
      <c r="E175" s="15">
        <f t="shared" si="5"/>
        <v>8.5932221904422137E-2</v>
      </c>
    </row>
    <row r="176" spans="1:5" x14ac:dyDescent="0.3">
      <c r="A176" s="5">
        <v>1946</v>
      </c>
      <c r="B176" s="5">
        <v>270</v>
      </c>
      <c r="C176">
        <f t="shared" si="4"/>
        <v>1676</v>
      </c>
      <c r="D176" s="5">
        <v>11805</v>
      </c>
      <c r="E176" s="15">
        <f t="shared" si="5"/>
        <v>8.5932221904422137E-2</v>
      </c>
    </row>
    <row r="177" spans="1:5" x14ac:dyDescent="0.3">
      <c r="A177" s="5">
        <v>1957</v>
      </c>
      <c r="B177" s="5">
        <v>490</v>
      </c>
      <c r="C177">
        <f t="shared" si="4"/>
        <v>1467</v>
      </c>
      <c r="D177" s="5">
        <v>15969</v>
      </c>
      <c r="E177" s="15">
        <f t="shared" si="5"/>
        <v>8.5932221904422137E-2</v>
      </c>
    </row>
    <row r="178" spans="1:5" x14ac:dyDescent="0.3">
      <c r="A178" s="5">
        <v>559</v>
      </c>
      <c r="B178" s="5">
        <v>392</v>
      </c>
      <c r="C178">
        <f t="shared" si="4"/>
        <v>167</v>
      </c>
      <c r="D178" s="5">
        <v>2436</v>
      </c>
      <c r="E178" s="15">
        <f t="shared" si="5"/>
        <v>8.5932221904422137E-2</v>
      </c>
    </row>
    <row r="179" spans="1:5" x14ac:dyDescent="0.3">
      <c r="A179" s="5">
        <v>1307</v>
      </c>
      <c r="B179" s="5">
        <v>278</v>
      </c>
      <c r="C179">
        <f t="shared" si="4"/>
        <v>1029</v>
      </c>
      <c r="D179" s="5">
        <v>47603</v>
      </c>
      <c r="E179" s="15">
        <f t="shared" si="5"/>
        <v>8.5932221904422137E-2</v>
      </c>
    </row>
    <row r="180" spans="1:5" x14ac:dyDescent="0.3">
      <c r="A180" s="5">
        <v>1432</v>
      </c>
      <c r="B180" s="5">
        <v>425</v>
      </c>
      <c r="C180">
        <f t="shared" si="4"/>
        <v>1007</v>
      </c>
      <c r="D180" s="5">
        <v>42964</v>
      </c>
      <c r="E180" s="15">
        <f t="shared" si="5"/>
        <v>8.5932221904422137E-2</v>
      </c>
    </row>
    <row r="181" spans="1:5" x14ac:dyDescent="0.3">
      <c r="A181" s="5">
        <v>623</v>
      </c>
      <c r="B181" s="5">
        <v>414</v>
      </c>
      <c r="C181">
        <f t="shared" si="4"/>
        <v>209</v>
      </c>
      <c r="D181" s="5">
        <v>39923</v>
      </c>
      <c r="E181" s="15">
        <f t="shared" si="5"/>
        <v>8.5932221904422137E-2</v>
      </c>
    </row>
    <row r="182" spans="1:5" x14ac:dyDescent="0.3">
      <c r="A182" s="5">
        <v>198</v>
      </c>
      <c r="B182" s="5">
        <v>358</v>
      </c>
      <c r="C182">
        <f t="shared" si="4"/>
        <v>-160</v>
      </c>
      <c r="D182" s="5">
        <v>2293</v>
      </c>
      <c r="E182" s="15">
        <f t="shared" si="5"/>
        <v>8.5932221904422137E-2</v>
      </c>
    </row>
    <row r="183" spans="1:5" x14ac:dyDescent="0.3">
      <c r="A183" s="5">
        <v>198</v>
      </c>
      <c r="B183" s="5">
        <v>373</v>
      </c>
      <c r="C183">
        <f t="shared" si="4"/>
        <v>-175</v>
      </c>
      <c r="D183" s="5">
        <v>25920</v>
      </c>
      <c r="E183" s="15">
        <f t="shared" si="5"/>
        <v>8.5932221904422137E-2</v>
      </c>
    </row>
    <row r="184" spans="1:5" x14ac:dyDescent="0.3">
      <c r="A184" s="5">
        <v>353</v>
      </c>
      <c r="B184" s="5">
        <v>300</v>
      </c>
      <c r="C184">
        <f t="shared" si="4"/>
        <v>53</v>
      </c>
      <c r="D184" s="5">
        <v>11035</v>
      </c>
      <c r="E184" s="15">
        <f t="shared" si="5"/>
        <v>8.5932221904422137E-2</v>
      </c>
    </row>
    <row r="185" spans="1:5" x14ac:dyDescent="0.3">
      <c r="A185" s="5">
        <v>520</v>
      </c>
      <c r="B185" s="5">
        <v>375</v>
      </c>
      <c r="C185">
        <f t="shared" si="4"/>
        <v>145</v>
      </c>
      <c r="D185" s="5">
        <v>20733</v>
      </c>
      <c r="E185" s="15">
        <f t="shared" si="5"/>
        <v>8.5932221904422137E-2</v>
      </c>
    </row>
    <row r="186" spans="1:5" x14ac:dyDescent="0.3">
      <c r="A186" s="5">
        <v>961</v>
      </c>
      <c r="B186" s="5">
        <v>358</v>
      </c>
      <c r="C186">
        <f t="shared" si="4"/>
        <v>603</v>
      </c>
      <c r="D186" s="5">
        <v>18693</v>
      </c>
      <c r="E186" s="15">
        <f t="shared" si="5"/>
        <v>8.5932221904422137E-2</v>
      </c>
    </row>
    <row r="187" spans="1:5" x14ac:dyDescent="0.3">
      <c r="A187" s="5">
        <v>1375</v>
      </c>
      <c r="B187" s="5">
        <v>330</v>
      </c>
      <c r="C187">
        <f t="shared" si="4"/>
        <v>1045</v>
      </c>
      <c r="D187" s="5">
        <v>7875</v>
      </c>
      <c r="E187" s="15">
        <f t="shared" si="5"/>
        <v>8.5932221904422137E-2</v>
      </c>
    </row>
    <row r="188" spans="1:5" x14ac:dyDescent="0.3">
      <c r="A188" s="5">
        <v>1147</v>
      </c>
      <c r="B188" s="5">
        <v>388</v>
      </c>
      <c r="C188">
        <f t="shared" si="4"/>
        <v>759</v>
      </c>
      <c r="D188" s="5">
        <v>8471</v>
      </c>
      <c r="E188" s="15">
        <f t="shared" si="5"/>
        <v>8.5932221904422137E-2</v>
      </c>
    </row>
    <row r="189" spans="1:5" x14ac:dyDescent="0.3">
      <c r="A189" s="5">
        <v>1707</v>
      </c>
      <c r="B189" s="5">
        <v>74</v>
      </c>
      <c r="C189">
        <f t="shared" si="4"/>
        <v>1633</v>
      </c>
      <c r="D189" s="5">
        <v>14090</v>
      </c>
      <c r="E189" s="15">
        <f t="shared" si="5"/>
        <v>8.5932221904422137E-2</v>
      </c>
    </row>
    <row r="190" spans="1:5" x14ac:dyDescent="0.3">
      <c r="A190" s="5">
        <v>1693</v>
      </c>
      <c r="B190" s="5">
        <v>154</v>
      </c>
      <c r="C190">
        <f t="shared" si="4"/>
        <v>1539</v>
      </c>
      <c r="D190" s="5">
        <v>14216</v>
      </c>
      <c r="E190" s="15">
        <f t="shared" si="5"/>
        <v>8.5932221904422137E-2</v>
      </c>
    </row>
    <row r="191" spans="1:5" x14ac:dyDescent="0.3">
      <c r="A191" s="5">
        <v>833</v>
      </c>
      <c r="B191" s="5">
        <v>380</v>
      </c>
      <c r="C191">
        <f t="shared" si="4"/>
        <v>453</v>
      </c>
      <c r="D191" s="5">
        <v>3582</v>
      </c>
      <c r="E191" s="15">
        <f t="shared" si="5"/>
        <v>8.5932221904422137E-2</v>
      </c>
    </row>
    <row r="192" spans="1:5" x14ac:dyDescent="0.3">
      <c r="A192" s="5">
        <v>1222</v>
      </c>
      <c r="B192" s="5">
        <v>274</v>
      </c>
      <c r="C192">
        <f t="shared" si="4"/>
        <v>948</v>
      </c>
      <c r="D192" s="5">
        <v>32500</v>
      </c>
      <c r="E192" s="15">
        <f t="shared" si="5"/>
        <v>8.5932221904422137E-2</v>
      </c>
    </row>
    <row r="193" spans="1:5" x14ac:dyDescent="0.3">
      <c r="A193" s="5">
        <v>777</v>
      </c>
      <c r="B193" s="5">
        <v>140</v>
      </c>
      <c r="C193">
        <f t="shared" si="4"/>
        <v>637</v>
      </c>
      <c r="D193" s="5">
        <v>6832</v>
      </c>
      <c r="E193" s="15">
        <f t="shared" si="5"/>
        <v>8.5932221904422137E-2</v>
      </c>
    </row>
    <row r="194" spans="1:5" x14ac:dyDescent="0.3">
      <c r="A194" s="5">
        <v>1957</v>
      </c>
      <c r="B194" s="5">
        <v>76</v>
      </c>
      <c r="C194">
        <f t="shared" si="4"/>
        <v>1881</v>
      </c>
      <c r="D194" s="5">
        <v>33381</v>
      </c>
      <c r="E194" s="15">
        <f t="shared" si="5"/>
        <v>8.5932221904422137E-2</v>
      </c>
    </row>
    <row r="195" spans="1:5" x14ac:dyDescent="0.3">
      <c r="A195" s="5">
        <v>405</v>
      </c>
      <c r="B195" s="5">
        <v>66</v>
      </c>
      <c r="C195">
        <f t="shared" ref="C195:C201" si="6">(A195-B195)</f>
        <v>339</v>
      </c>
      <c r="D195" s="5">
        <v>48419</v>
      </c>
      <c r="E195" s="15">
        <f t="shared" ref="E195:E201" si="7">CORREL($D$2:$D$201,$C$2:$C$201)</f>
        <v>8.5932221904422137E-2</v>
      </c>
    </row>
    <row r="196" spans="1:5" x14ac:dyDescent="0.3">
      <c r="A196" s="5">
        <v>1581</v>
      </c>
      <c r="B196" s="5">
        <v>71</v>
      </c>
      <c r="C196">
        <f t="shared" si="6"/>
        <v>1510</v>
      </c>
      <c r="D196" s="5">
        <v>16149</v>
      </c>
      <c r="E196" s="15">
        <f t="shared" si="7"/>
        <v>8.5932221904422137E-2</v>
      </c>
    </row>
    <row r="197" spans="1:5" x14ac:dyDescent="0.3">
      <c r="A197" s="5">
        <v>1035</v>
      </c>
      <c r="B197" s="5">
        <v>171</v>
      </c>
      <c r="C197">
        <f t="shared" si="6"/>
        <v>864</v>
      </c>
      <c r="D197" s="5">
        <v>7541</v>
      </c>
      <c r="E197" s="15">
        <f t="shared" si="7"/>
        <v>8.5932221904422137E-2</v>
      </c>
    </row>
    <row r="198" spans="1:5" x14ac:dyDescent="0.3">
      <c r="A198" s="5">
        <v>1765</v>
      </c>
      <c r="B198" s="5">
        <v>109</v>
      </c>
      <c r="C198">
        <f t="shared" si="6"/>
        <v>1656</v>
      </c>
      <c r="D198" s="5">
        <v>20042</v>
      </c>
      <c r="E198" s="15">
        <f t="shared" si="7"/>
        <v>8.5932221904422137E-2</v>
      </c>
    </row>
    <row r="199" spans="1:5" x14ac:dyDescent="0.3">
      <c r="A199" s="5">
        <v>837</v>
      </c>
      <c r="B199" s="5">
        <v>430</v>
      </c>
      <c r="C199">
        <f t="shared" si="6"/>
        <v>407</v>
      </c>
      <c r="D199" s="5">
        <v>49400</v>
      </c>
      <c r="E199" s="15">
        <f t="shared" si="7"/>
        <v>8.5932221904422137E-2</v>
      </c>
    </row>
    <row r="200" spans="1:5" x14ac:dyDescent="0.3">
      <c r="A200" s="5">
        <v>337</v>
      </c>
      <c r="B200" s="5">
        <v>68</v>
      </c>
      <c r="C200">
        <f t="shared" si="6"/>
        <v>269</v>
      </c>
      <c r="D200" s="5">
        <v>4007</v>
      </c>
      <c r="E200" s="15">
        <f t="shared" si="7"/>
        <v>8.5932221904422137E-2</v>
      </c>
    </row>
    <row r="201" spans="1:5" x14ac:dyDescent="0.3">
      <c r="A201" s="5">
        <v>119</v>
      </c>
      <c r="B201" s="5">
        <v>456</v>
      </c>
      <c r="C201">
        <f t="shared" si="6"/>
        <v>-337</v>
      </c>
      <c r="D201" s="5">
        <v>12174</v>
      </c>
      <c r="E201" s="15">
        <f t="shared" si="7"/>
        <v>8.5932221904422137E-2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01802-3D58-48DA-9A40-3C2875D2F0ED}">
  <sheetPr>
    <tabColor rgb="FF33CC33"/>
  </sheetPr>
  <dimension ref="G3:S7"/>
  <sheetViews>
    <sheetView workbookViewId="0">
      <selection activeCell="K7" sqref="K7"/>
    </sheetView>
  </sheetViews>
  <sheetFormatPr defaultRowHeight="14.4" x14ac:dyDescent="0.3"/>
  <sheetData>
    <row r="3" spans="7:19" ht="25.8" x14ac:dyDescent="0.5">
      <c r="G3" s="203" t="s">
        <v>739</v>
      </c>
      <c r="H3" s="203"/>
      <c r="I3" s="203"/>
      <c r="J3" s="203"/>
      <c r="K3" s="203"/>
      <c r="L3" s="203"/>
      <c r="M3" s="203"/>
      <c r="N3" s="204"/>
      <c r="O3" s="204"/>
      <c r="P3" s="204"/>
      <c r="Q3" s="204"/>
      <c r="R3" s="204"/>
      <c r="S3" s="204"/>
    </row>
    <row r="6" spans="7:19" ht="21" x14ac:dyDescent="0.4">
      <c r="G6" s="205" t="s">
        <v>740</v>
      </c>
    </row>
    <row r="7" spans="7:19" x14ac:dyDescent="0.3">
      <c r="I7" s="206" t="s">
        <v>741</v>
      </c>
      <c r="J7" s="206"/>
      <c r="K7" s="206"/>
      <c r="L7" s="206"/>
      <c r="M7" s="206"/>
      <c r="N7" s="206"/>
      <c r="O7" s="206"/>
      <c r="P7" s="206"/>
      <c r="Q7" s="206"/>
      <c r="R7" s="206"/>
      <c r="S7" s="206"/>
    </row>
  </sheetData>
  <hyperlinks>
    <hyperlink ref="I7:O7" r:id="rId1" display="https://www.loom.com/share/cc7b7f2fcbb843d7b15e624c813d82db" xr:uid="{455F4651-9FFF-479D-95B2-086DEFA01539}"/>
    <hyperlink ref="I7" r:id="rId2" xr:uid="{DB1409E9-56A2-46C5-A2B5-1362F75AD21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F213E0-96D8-41BD-BCA1-BBFF920E6E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Task1_Data Preprocessing and Cl</vt:lpstr>
      <vt:lpstr>Task 2_Engagement Analysis </vt:lpstr>
      <vt:lpstr>Task2.3 Hastage_Table</vt:lpstr>
      <vt:lpstr>Task3_Social Media Platform ana</vt:lpstr>
      <vt:lpstr>Task4_Hashtag &amp; Content Strateg</vt:lpstr>
      <vt:lpstr>Task4.3_Compare_performance</vt:lpstr>
      <vt:lpstr>Task5_Campaign Effectiveness</vt:lpstr>
      <vt:lpstr>Task5.2Engagement_uplift</vt:lpstr>
      <vt:lpstr>Task5.3_Campaign_ROI</vt:lpstr>
      <vt:lpstr>Task5.4 campaign_strongest foll</vt:lpstr>
      <vt:lpstr>Task6 Follower Retention </vt:lpstr>
      <vt:lpstr>Task6.3Moving_Average_chart</vt:lpstr>
      <vt:lpstr>Task6.4 Correlation</vt:lpstr>
      <vt:lpstr>Task7Video_Explanation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Jitesh Singh Rathore</cp:lastModifiedBy>
  <dcterms:created xsi:type="dcterms:W3CDTF">2025-05-26T02:16:03Z</dcterms:created>
  <dcterms:modified xsi:type="dcterms:W3CDTF">2026-07-03T16:48:27Z</dcterms:modified>
</cp:coreProperties>
</file>